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This Week" sheetId="2" state="visible" r:id="rId4"/>
    <sheet name="Explore" sheetId="3" state="visible" r:id="rId5"/>
    <sheet name="My Colleges" sheetId="4" state="visible" r:id="rId6"/>
    <sheet name="Next Steps" sheetId="5" state="visible" r:id="rId7"/>
    <sheet name="Essays" sheetId="6" state="visible" r:id="rId8"/>
    <sheet name="Money" sheetId="7" state="visible" r:id="rId9"/>
    <sheet name="Me" sheetId="8" state="visible" r:id="rId10"/>
    <sheet name="Summary" sheetId="9" state="visible" r:id="rId11"/>
    <sheet name="DB_Colleges" sheetId="10" state="visible" r:id="rId12"/>
    <sheet name="DB_Prompts" sheetId="11" state="visible" r:id="rId13"/>
  </sheets>
  <definedNames>
    <definedName function="false" hidden="true" localSheetId="2" name="_xlnm._FilterDatabase" vbProcedure="false">Explore!$A$7:$T$406</definedName>
  </definedNames>
  <calcPr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<sst xmlns="http://schemas.openxmlformats.org/spreadsheetml/2006/main" count="4167" uniqueCount="1565">
  <si>
    <t xml:space="preserve">UB College Tracker  |  Class of 2027</t>
  </si>
  <si>
    <t xml:space="preserve">University Bridges  |  DeKalb County Department of Youth Services  |  Tracker for Aaliyah Hilton</t>
  </si>
  <si>
    <t xml:space="preserve">HOW IT WORKS</t>
  </si>
  <si>
    <t xml:space="preserve">1. Explore</t>
  </si>
  <si>
    <t xml:space="preserve">Browse about 200 colleges. Each one is labeled Likely, Target or Reach for you, based on your GPA and SAT. Use the filter arrows to sort and narrow.</t>
  </si>
  <si>
    <t xml:space="preserve">2. My Colleges</t>
  </si>
  <si>
    <t xml:space="preserve">Pick a college from the dropdown (or type one that is not listed) and choose your round. Deadlines, fees and requirements fill in by themselves.</t>
  </si>
  <si>
    <t xml:space="preserve">3. Next Steps</t>
  </si>
  <si>
    <t xml:space="preserve">Every college you add gets its own checklist with due dates counted back from its real deadline. Check each step off as you finish it.</t>
  </si>
  <si>
    <t xml:space="preserve">4. This Week</t>
  </si>
  <si>
    <t xml:space="preserve">Your UB plan for every Thursday session, plus your next 10 college steps in date order.</t>
  </si>
  <si>
    <t xml:space="preserve">5. Essays</t>
  </si>
  <si>
    <t xml:space="preserve">Your personal statement, your two main essays, and every extra essay prompt from your colleges, pulled in automatically.</t>
  </si>
  <si>
    <t xml:space="preserve">6. Money</t>
  </si>
  <si>
    <t xml:space="preserve">Scholarships, and in spring, comparing award letters.</t>
  </si>
  <si>
    <t xml:space="preserve">7. Me</t>
  </si>
  <si>
    <t xml:space="preserve">Your profile, account usernames and recommenders.</t>
  </si>
  <si>
    <t xml:space="preserve">COLORS</t>
  </si>
  <si>
    <t xml:space="preserve">White cells</t>
  </si>
  <si>
    <t xml:space="preserve">Type here or use the dropdown.</t>
  </si>
  <si>
    <t xml:space="preserve">Gray cells</t>
  </si>
  <si>
    <t xml:space="preserve">Fill in automatically. Do not type over them.</t>
  </si>
  <si>
    <t xml:space="preserve">Red row</t>
  </si>
  <si>
    <t xml:space="preserve">Past due and not done.</t>
  </si>
  <si>
    <t xml:space="preserve">Orange row</t>
  </si>
  <si>
    <t xml:space="preserve">Due in the next 7 days.</t>
  </si>
  <si>
    <t xml:space="preserve">RULES THAT DO NOT BEND</t>
  </si>
  <si>
    <t xml:space="preserve">Earliest date wins</t>
  </si>
  <si>
    <t xml:space="preserve">If a college's scholarship deadline is earlier than its application deadline, the scholarship date is your real deadline. The tracker uses it automatically.</t>
  </si>
  <si>
    <t xml:space="preserve">Early Decision is binding</t>
  </si>
  <si>
    <t xml:space="preserve">If admitted Early Decision you must attend and withdraw every other application. Only one Early Decision can be active at a time.</t>
  </si>
  <si>
    <t xml:space="preserve">Verify every date</t>
  </si>
  <si>
    <t xml:space="preserve">Deadline Verified stays No until you check the date on the college's own website. Some dates in the list are last year's pattern.</t>
  </si>
  <si>
    <t xml:space="preserve">Personal statement first</t>
  </si>
  <si>
    <t xml:space="preserve">Get your personal statement to a near-final draft before you start any college's extra essays.</t>
  </si>
  <si>
    <t xml:space="preserve">Never delete or reorder</t>
  </si>
  <si>
    <t xml:space="preserve">To drop a college, set On Final List to No. Deleting or moving rows mixes up your checklists.</t>
  </si>
  <si>
    <t xml:space="preserve">No passwords</t>
  </si>
  <si>
    <t xml:space="preserve">Never type a password anywhere in this tracker.</t>
  </si>
  <si>
    <t xml:space="preserve">Every Sunday</t>
  </si>
  <si>
    <t xml:space="preserve">Check off what you finished and type the date in the Last updated box on This Week.</t>
  </si>
  <si>
    <t xml:space="preserve">This Week</t>
  </si>
  <si>
    <t xml:space="preserve">Top: your next 10 college steps, in date order, pulled from Next Steps (check them off there). Bottom: your UB plan, one block per Thursday session. Every Sunday: check off what you finished and type today's date in Last updated.</t>
  </si>
  <si>
    <t xml:space="preserve">College steps overdue</t>
  </si>
  <si>
    <t xml:space="preserve">College steps due in 7 days</t>
  </si>
  <si>
    <t xml:space="preserve">UB tasks overdue</t>
  </si>
  <si>
    <t xml:space="preserve">UB tasks due in 7 days</t>
  </si>
  <si>
    <t xml:space="preserve">LAST UPDATED: type today's date every Sunday</t>
  </si>
  <si>
    <t xml:space="preserve">Due</t>
  </si>
  <si>
    <t xml:space="preserve">Days Out</t>
  </si>
  <si>
    <t xml:space="preserve">College</t>
  </si>
  <si>
    <t xml:space="preserve">Step</t>
  </si>
  <si>
    <t xml:space="preserve">Check these off on the Next Steps tab.</t>
  </si>
  <si>
    <t xml:space="preserve">Session</t>
  </si>
  <si>
    <t xml:space="preserve">Track</t>
  </si>
  <si>
    <t xml:space="preserve">Owner</t>
  </si>
  <si>
    <t xml:space="preserve">Deliverable</t>
  </si>
  <si>
    <t xml:space="preserve">Done</t>
  </si>
  <si>
    <t xml:space="preserve">Notes</t>
  </si>
  <si>
    <t xml:space="preserve">Getting started  |  due Thursday October 15</t>
  </si>
  <si>
    <t xml:space="preserve">Foundation</t>
  </si>
  <si>
    <t xml:space="preserve">Student</t>
  </si>
  <si>
    <t xml:space="preserve">Fill in the Me tab: GPA, SAT/ACT, accounts, recommenders</t>
  </si>
  <si>
    <t xml:space="preserve">Create Common App and GAfutures accounts</t>
  </si>
  <si>
    <t xml:space="preserve">Parent</t>
  </si>
  <si>
    <t xml:space="preserve">Create StudentAID.gov accounts (FSA ID): one for you, one for a parent</t>
  </si>
  <si>
    <t xml:space="preserve">Applications</t>
  </si>
  <si>
    <t xml:space="preserve">Explore: add 6 to 10 colleges to My Colleges (about 2 Likely, 3 to 4 Target, 2 Reach) and pick a round for each</t>
  </si>
  <si>
    <t xml:space="preserve">UB Session  |  Thursday October 8</t>
  </si>
  <si>
    <t xml:space="preserve">Personal statement: topic locked and full Draft 1 (about 650 words)</t>
  </si>
  <si>
    <t xml:space="preserve">Close the early list: every college due on or before November 1 confirmed in or out</t>
  </si>
  <si>
    <t xml:space="preserve">Ask two teachers and your school counselor for recommendations. Give them your brag sheet and deadline list</t>
  </si>
  <si>
    <t xml:space="preserve">Gather FAFSA documents: 2025 tax returns and W-2s</t>
  </si>
  <si>
    <t xml:space="preserve">UGA and Georgia Tech Early Action due today, if on your list</t>
  </si>
  <si>
    <t xml:space="preserve">Personal statement Draft 2, near-final</t>
  </si>
  <si>
    <t xml:space="preserve">Submit the 2027-28 FAFSA together (student and parent sections)</t>
  </si>
  <si>
    <t xml:space="preserve">Scholarships</t>
  </si>
  <si>
    <t xml:space="preserve">Add at least ten scholarships to Money, local ones first</t>
  </si>
  <si>
    <t xml:space="preserve">UB Session  |  Thursday October 22</t>
  </si>
  <si>
    <t xml:space="preserve">Personal statement final</t>
  </si>
  <si>
    <t xml:space="preserve">Extra essays done for every college due November 1</t>
  </si>
  <si>
    <t xml:space="preserve">Georgia Match: log into GAfutures and claim your spot at up to three colleges</t>
  </si>
  <si>
    <t xml:space="preserve">Two scholarship submissions</t>
  </si>
  <si>
    <t xml:space="preserve">UB Session  |  Thursday October 29</t>
  </si>
  <si>
    <t xml:space="preserve">Submit every November 1 application. Confirm transcript and scores were sent</t>
  </si>
  <si>
    <t xml:space="preserve">CSS Profile, only if a college on your list requires it</t>
  </si>
  <si>
    <t xml:space="preserve">UB Session  |  Thursday November 5</t>
  </si>
  <si>
    <t xml:space="preserve">Close the full list. Any college added after today must replace one</t>
  </si>
  <si>
    <t xml:space="preserve">Apply to College Month: submit Georgia applications while fees are waived</t>
  </si>
  <si>
    <t xml:space="preserve">Open your FAFSA Submission Summary and fix any errors</t>
  </si>
  <si>
    <t xml:space="preserve">UB Session  |  Thursday November 12</t>
  </si>
  <si>
    <t xml:space="preserve">Log into every portal: confirm early applications show everything received</t>
  </si>
  <si>
    <t xml:space="preserve">Draft extra essays for Regular Decision colleges</t>
  </si>
  <si>
    <t xml:space="preserve">UB Session  |  Thursday November 19</t>
  </si>
  <si>
    <t xml:space="preserve">Submit any college scholarship (merit) application due December 1</t>
  </si>
  <si>
    <t xml:space="preserve">Regular Decision essays near-final</t>
  </si>
  <si>
    <t xml:space="preserve">Thank-you notes to every recommender</t>
  </si>
  <si>
    <t xml:space="preserve">UB Session  |  Thursday December 3</t>
  </si>
  <si>
    <t xml:space="preserve">Regular Decision essays final</t>
  </si>
  <si>
    <t xml:space="preserve">UB Session  |  Thursday December 10</t>
  </si>
  <si>
    <t xml:space="preserve">Record early decisions. If deferred, send a short update letter</t>
  </si>
  <si>
    <t xml:space="preserve">Submit Regular Decision applications</t>
  </si>
  <si>
    <t xml:space="preserve">UB Session  |  Thursday December 17</t>
  </si>
  <si>
    <t xml:space="preserve">Every remaining application submitted before winter break</t>
  </si>
  <si>
    <t xml:space="preserve">If admitted Early Decision: accept and withdraw every other application</t>
  </si>
  <si>
    <t xml:space="preserve">UB Session  |  Thursday January 7</t>
  </si>
  <si>
    <t xml:space="preserve">Ask your school counselor to send your mid-year report</t>
  </si>
  <si>
    <t xml:space="preserve">Confirm every Regular Decision application shows complete</t>
  </si>
  <si>
    <t xml:space="preserve">UB Session  |  Thursday January 14</t>
  </si>
  <si>
    <t xml:space="preserve">Check every portal for missing items</t>
  </si>
  <si>
    <t xml:space="preserve">UB Session  |  Thursday January 21</t>
  </si>
  <si>
    <t xml:space="preserve">FAFSA check: submitted, signed by both, no open verification requests</t>
  </si>
  <si>
    <t xml:space="preserve">Check your HOPE GPA in GAfutures</t>
  </si>
  <si>
    <t xml:space="preserve">UB Session  |  Thursday January 28</t>
  </si>
  <si>
    <t xml:space="preserve">Spring plan: watch for decisions and award letters (Money tab)</t>
  </si>
  <si>
    <t xml:space="preserve">No sessions November 26, December 24 or December 31.</t>
  </si>
  <si>
    <t xml:space="preserve">Explore Colleges</t>
  </si>
  <si>
    <t xml:space="preserve">Every college in the UB database, labeled for you. Use the filter arrows on the header row to sort or narrow (for example Fit = Likely, or Category = HBCU). To add a college, pick it on My Colleges.</t>
  </si>
  <si>
    <t xml:space="preserve">Colleges in database</t>
  </si>
  <si>
    <t xml:space="preserve">Likely for me</t>
  </si>
  <si>
    <t xml:space="preserve">Target for me</t>
  </si>
  <si>
    <t xml:space="preserve">Reach for me</t>
  </si>
  <si>
    <t xml:space="preserve">Based on</t>
  </si>
  <si>
    <t xml:space="preserve">Labels are estimates. Each college is judged on both your test score and your GPA, and the weaker of the two counts. Colleges admitting under 15% are always Reach.</t>
  </si>
  <si>
    <t xml:space="preserve">On My List</t>
  </si>
  <si>
    <t xml:space="preserve">Category</t>
  </si>
  <si>
    <t xml:space="preserve">Location</t>
  </si>
  <si>
    <t xml:space="preserve">Fit for Me</t>
  </si>
  <si>
    <t xml:space="preserve">Admit Rate</t>
  </si>
  <si>
    <t xml:space="preserve">SAT Middle 50%</t>
  </si>
  <si>
    <t xml:space="preserve">Avg HS GPA</t>
  </si>
  <si>
    <t xml:space="preserve">Earliest Deadline</t>
  </si>
  <si>
    <t xml:space="preserve">Earliest Round</t>
  </si>
  <si>
    <t xml:space="preserve">Regular Deadline</t>
  </si>
  <si>
    <t xml:space="preserve">How to Apply</t>
  </si>
  <si>
    <t xml:space="preserve">App Fee</t>
  </si>
  <si>
    <t xml:space="preserve">Test Policy</t>
  </si>
  <si>
    <t xml:space="preserve">Extra Essays</t>
  </si>
  <si>
    <t xml:space="preserve">CSS Profile</t>
  </si>
  <si>
    <t xml:space="preserve">Net Price (income under $30k)</t>
  </si>
  <si>
    <t xml:space="preserve">6-Yr Grad Rate</t>
  </si>
  <si>
    <t xml:space="preserve">Data Status</t>
  </si>
  <si>
    <t xml:space="preserve">Admissions Page</t>
  </si>
  <si>
    <t xml:space="preserve">sat score</t>
  </si>
  <si>
    <t xml:space="preserve">gpa score</t>
  </si>
  <si>
    <t xml:space="preserve">combined</t>
  </si>
  <si>
    <t xml:space="preserve">My Colleges</t>
  </si>
  <si>
    <t xml:space="preserve">Pick each college from the dropdown in column B (or type one that is not listed), then choose your round in column E. Everything gray fills in by itself. Aim for a balanced list: about 2 Likely, 3 to 4 Target, 2 Reach.</t>
  </si>
  <si>
    <t xml:space="preserve">Colleges on my list</t>
  </si>
  <si>
    <t xml:space="preserve">Likely / Target / Reach</t>
  </si>
  <si>
    <t xml:space="preserve">Next filing date</t>
  </si>
  <si>
    <t xml:space="preserve">Days until next</t>
  </si>
  <si>
    <t xml:space="preserve">Submitted</t>
  </si>
  <si>
    <t xml:space="preserve">Admitted</t>
  </si>
  <si>
    <t xml:space="preserve">Dates not verified</t>
  </si>
  <si>
    <t xml:space="preserve">#</t>
  </si>
  <si>
    <t xml:space="preserve">In Database?</t>
  </si>
  <si>
    <t xml:space="preserve">Fit</t>
  </si>
  <si>
    <t xml:space="preserve">Round</t>
  </si>
  <si>
    <t xml:space="preserve">Deadline for My Round</t>
  </si>
  <si>
    <t xml:space="preserve">My Deadline (only if not listed or Rolling)</t>
  </si>
  <si>
    <t xml:space="preserve">Scholarship (Merit) Deadline</t>
  </si>
  <si>
    <t xml:space="preserve">Effective Filing Date</t>
  </si>
  <si>
    <t xml:space="preserve">Fee Waiver?</t>
  </si>
  <si>
    <t xml:space="preserve">Recommendations</t>
  </si>
  <si>
    <t xml:space="preserve">Steps Done</t>
  </si>
  <si>
    <t xml:space="preserve">Next Step</t>
  </si>
  <si>
    <t xml:space="preserve">Next Step Due</t>
  </si>
  <si>
    <t xml:space="preserve">Status</t>
  </si>
  <si>
    <t xml:space="preserve">Decision</t>
  </si>
  <si>
    <t xml:space="preserve">On Final List</t>
  </si>
  <si>
    <t xml:space="preserve">Deadline Verified</t>
  </si>
  <si>
    <t xml:space="preserve">Watch For</t>
  </si>
  <si>
    <t xml:space="preserve">m</t>
  </si>
  <si>
    <t xml:space="preserve">css</t>
  </si>
  <si>
    <t xml:space="preserve">interview</t>
  </si>
  <si>
    <t xml:space="preserve">data status</t>
  </si>
  <si>
    <t xml:space="preserve">common app</t>
  </si>
  <si>
    <t xml:space="preserve">platform</t>
  </si>
  <si>
    <t xml:space="preserve">How this tab works</t>
  </si>
  <si>
    <t xml:space="preserve">- Effective Filing Date is the earlier of your round's deadline and the college's scholarship deadline. Every due date on Next Steps counts back from it.</t>
  </si>
  <si>
    <t xml:space="preserve">- Cream rows are binding Early Decision. Only one Early Decision can be active at a time; Early Decision II is only for after an Early Decision I result.</t>
  </si>
  <si>
    <t xml:space="preserve">- If a college is not in the list, type its name in column B anyway and type the deadline in column G. Then check its requirements on its own website.</t>
  </si>
  <si>
    <t xml:space="preserve">- To drop a college, set On Final List to No. Never delete or reorder rows: your Next Steps checklists and Essays are tied to these rows.</t>
  </si>
  <si>
    <t xml:space="preserve">- Status Complete in portal means you logged in after submitting and saw every item (transcript, scores, recommendations) marked received.</t>
  </si>
  <si>
    <t xml:space="preserve">Next Steps</t>
  </si>
  <si>
    <t xml:space="preserve">One checklist per college, in the same order as My Colleges. Due dates count back from each college's Effective Filing Date. Check the box when a step is done. n/a means the step does not apply to that college.</t>
  </si>
  <si>
    <t xml:space="preserve">Steps overdue</t>
  </si>
  <si>
    <t xml:space="preserve">Due in next 7 days</t>
  </si>
  <si>
    <t xml:space="preserve">Steps done</t>
  </si>
  <si>
    <t xml:space="preserve">Confirm requirements on college site</t>
  </si>
  <si>
    <t xml:space="preserve">Ask recommenders</t>
  </si>
  <si>
    <t xml:space="preserve">Draft extra essays</t>
  </si>
  <si>
    <t xml:space="preserve">Final extra essays</t>
  </si>
  <si>
    <t xml:space="preserve">Request transcript</t>
  </si>
  <si>
    <t xml:space="preserve">Send test scores</t>
  </si>
  <si>
    <t xml:space="preserve">Fee paid or waiver</t>
  </si>
  <si>
    <t xml:space="preserve">Submit application</t>
  </si>
  <si>
    <t xml:space="preserve">Scholarship application</t>
  </si>
  <si>
    <t xml:space="preserve">Confirm all received in portal</t>
  </si>
  <si>
    <t xml:space="preserve">Interview</t>
  </si>
  <si>
    <t xml:space="preserve">Filing Date</t>
  </si>
  <si>
    <t xml:space="preserve">Steps Total</t>
  </si>
  <si>
    <t xml:space="preserve">Next Due</t>
  </si>
  <si>
    <t xml:space="preserve">Due dates: confirm requirements 5 weeks out, start essays 4 weeks out, ask recommenders 3 weeks out, transcript and scores 2 weeks out, final essays 10 days out, fee 5 days out, submit 3 days before the deadline, scholarship application a week before its own deadline, then confirm everything shows received in the portal 10 days after.</t>
  </si>
  <si>
    <t xml:space="preserve">Essays  |  Written by Type, Not by College</t>
  </si>
  <si>
    <t xml:space="preserve">Most extra essays ask one of two things: why this college, or who you are. Write one long version of each first (your two main drafts), then cut every college's essay down from them. Prompts for the colleges on your list appear below by themselves.</t>
  </si>
  <si>
    <t xml:space="preserve">Prompts on my list</t>
  </si>
  <si>
    <t xml:space="preserve">Final</t>
  </si>
  <si>
    <t xml:space="preserve">Main drafts done</t>
  </si>
  <si>
    <t xml:space="preserve">Prompt</t>
  </si>
  <si>
    <t xml:space="preserve">Word Limit</t>
  </si>
  <si>
    <t xml:space="preserve">Type</t>
  </si>
  <si>
    <t xml:space="preserve">Write It As</t>
  </si>
  <si>
    <t xml:space="preserve">Required</t>
  </si>
  <si>
    <t xml:space="preserve">Target Date</t>
  </si>
  <si>
    <t xml:space="preserve">Link to My Draft</t>
  </si>
  <si>
    <t xml:space="preserve">ALL COLLEGES</t>
  </si>
  <si>
    <t xml:space="preserve">Personal statement (Common App: choose one of the seven prompts)</t>
  </si>
  <si>
    <t xml:space="preserve">650 words</t>
  </si>
  <si>
    <t xml:space="preserve">Own track</t>
  </si>
  <si>
    <t xml:space="preserve">Yes</t>
  </si>
  <si>
    <t xml:space="preserve">Not Started</t>
  </si>
  <si>
    <t xml:space="preserve">MAIN DRAFT 1</t>
  </si>
  <si>
    <t xml:space="preserve">Why this college / why this major: your longest version. Every why-this-college essay is cut from it.</t>
  </si>
  <si>
    <t xml:space="preserve">Longest on your list</t>
  </si>
  <si>
    <t xml:space="preserve">Main draft</t>
  </si>
  <si>
    <t xml:space="preserve">MAIN DRAFT 2</t>
  </si>
  <si>
    <t xml:space="preserve">Who I am / what I will contribute: your longest version. Every identity or community essay is cut from it.</t>
  </si>
  <si>
    <t xml:space="preserve">From your colleges (fills in automatically)</t>
  </si>
  <si>
    <t xml:space="preserve">Money</t>
  </si>
  <si>
    <t xml:space="preserve">Scholarships first. Local and community scholarships usually have fewer applicants, so better odds. In spring, compare award letters at the bottom.</t>
  </si>
  <si>
    <t xml:space="preserve">Scholarships logged</t>
  </si>
  <si>
    <t xml:space="preserve">Total awarded</t>
  </si>
  <si>
    <t xml:space="preserve">Scholarship</t>
  </si>
  <si>
    <t xml:space="preserve">Website</t>
  </si>
  <si>
    <t xml:space="preserve">Level</t>
  </si>
  <si>
    <t xml:space="preserve">Deadline</t>
  </si>
  <si>
    <t xml:space="preserve">Amount ($)</t>
  </si>
  <si>
    <t xml:space="preserve">Requirements</t>
  </si>
  <si>
    <t xml:space="preserve">Awarded ($)</t>
  </si>
  <si>
    <t xml:space="preserve">HOPE Scholarship (Georgia)</t>
  </si>
  <si>
    <t xml:space="preserve">gafutures.org</t>
  </si>
  <si>
    <t xml:space="preserve">State</t>
  </si>
  <si>
    <t xml:space="preserve">Automatic with a 3.0 HOPE GPA and a completed FAFSA or GSFAPP. Check your HOPE GPA in GAfutures.</t>
  </si>
  <si>
    <t xml:space="preserve">In Progress</t>
  </si>
  <si>
    <t xml:space="preserve">Zell Miller Scholarship (Georgia)</t>
  </si>
  <si>
    <t xml:space="preserve">Automatic with a 3.7 HOPE GPA plus test score and course requirements.</t>
  </si>
  <si>
    <t xml:space="preserve">Federal Pell Grant</t>
  </si>
  <si>
    <t xml:space="preserve">studentaid.gov</t>
  </si>
  <si>
    <t xml:space="preserve">National</t>
  </si>
  <si>
    <t xml:space="preserve">Awarded through the FAFSA. Nothing extra to apply for.</t>
  </si>
  <si>
    <t xml:space="preserve">Award Letter Comparison (spring)</t>
  </si>
  <si>
    <t xml:space="preserve">Tuition &amp; fees</t>
  </si>
  <si>
    <t xml:space="preserve">Housing &amp; meals</t>
  </si>
  <si>
    <t xml:space="preserve">Total direct cost</t>
  </si>
  <si>
    <t xml:space="preserve">Pell Grant</t>
  </si>
  <si>
    <t xml:space="preserve">HOPE or Zell Miller</t>
  </si>
  <si>
    <t xml:space="preserve">College grants &amp; scholarships</t>
  </si>
  <si>
    <t xml:space="preserve">Outside scholarships used here</t>
  </si>
  <si>
    <t xml:space="preserve">Total free money</t>
  </si>
  <si>
    <t xml:space="preserve">Federal Direct Subsidized Loan</t>
  </si>
  <si>
    <t xml:space="preserve">Federal Direct Unsubsidized Loan</t>
  </si>
  <si>
    <t xml:space="preserve">Gap before loans (negative = refund)</t>
  </si>
  <si>
    <t xml:space="preserve">Gap after federal loans</t>
  </si>
  <si>
    <t xml:space="preserve">Per semester after loans</t>
  </si>
  <si>
    <t xml:space="preserve">Parent PLUS offered (not counted)</t>
  </si>
  <si>
    <t xml:space="preserve">Also budget about $2,000 to $3,000 a year for books, transportation and personal costs that are not on the bill.</t>
  </si>
  <si>
    <t xml:space="preserve">Me</t>
  </si>
  <si>
    <t xml:space="preserve">Your profile, logins (usernames only) and recommenders. Your GPA and SAT drive the Likely / Target / Reach labels on Explore.</t>
  </si>
  <si>
    <t xml:space="preserve">About me</t>
  </si>
  <si>
    <t xml:space="preserve">Answer</t>
  </si>
  <si>
    <t xml:space="preserve">Full name</t>
  </si>
  <si>
    <t xml:space="preserve">Aaliyah Hilton</t>
  </si>
  <si>
    <t xml:space="preserve">High school</t>
  </si>
  <si>
    <t xml:space="preserve">Arabia Mountain High School</t>
  </si>
  <si>
    <t xml:space="preserve">Personal email</t>
  </si>
  <si>
    <t xml:space="preserve">aaliyahhilton97@gmail.com</t>
  </si>
  <si>
    <t xml:space="preserve">Parent/guardian email</t>
  </si>
  <si>
    <t xml:space="preserve">nwesley.otcn89@gmail.com</t>
  </si>
  <si>
    <t xml:space="preserve">UB counselor</t>
  </si>
  <si>
    <t xml:space="preserve">Weighted GPA</t>
  </si>
  <si>
    <t xml:space="preserve">Unweighted GPA</t>
  </si>
  <si>
    <t xml:space="preserve">From the GPA range on your UB application. Replace it with your exact unweighted GPA.</t>
  </si>
  <si>
    <t xml:space="preserve">HOPE GPA (from GAfutures)</t>
  </si>
  <si>
    <t xml:space="preserve">SAT (highest total)</t>
  </si>
  <si>
    <t xml:space="preserve">ACT (highest composite)</t>
  </si>
  <si>
    <t xml:space="preserve">Intended major or career interest</t>
  </si>
  <si>
    <t xml:space="preserve">Your SAT (or GPA if you have no SAT) sets your Likely / Target / Reach labels. Update it when you get a new score.</t>
  </si>
  <si>
    <t xml:space="preserve">Account</t>
  </si>
  <si>
    <t xml:space="preserve">Username / login email</t>
  </si>
  <si>
    <t xml:space="preserve">Created?</t>
  </si>
  <si>
    <t xml:space="preserve">Common App</t>
  </si>
  <si>
    <t xml:space="preserve">commonapp.org</t>
  </si>
  <si>
    <t xml:space="preserve">GAfutures (HOPE, Georgia Match, transcripts)</t>
  </si>
  <si>
    <t xml:space="preserve">StudentAID.gov FSA ID (student)</t>
  </si>
  <si>
    <t xml:space="preserve">StudentAID.gov FSA ID (parent)</t>
  </si>
  <si>
    <t xml:space="preserve">College Board (SAT scores, CSS Profile)</t>
  </si>
  <si>
    <t xml:space="preserve">collegeboard.org</t>
  </si>
  <si>
    <t xml:space="preserve">ACT</t>
  </si>
  <si>
    <t xml:space="preserve">act.org</t>
  </si>
  <si>
    <t xml:space="preserve">Add every college portal here after you apply. Never write a password in this tracker.</t>
  </si>
  <si>
    <t xml:space="preserve">Recommender</t>
  </si>
  <si>
    <t xml:space="preserve">Role</t>
  </si>
  <si>
    <t xml:space="preserve">For which colleges</t>
  </si>
  <si>
    <t xml:space="preserve">Date asked</t>
  </si>
  <si>
    <t xml:space="preserve">Brag sheet given?</t>
  </si>
  <si>
    <t xml:space="preserve">Said yes?</t>
  </si>
  <si>
    <t xml:space="preserve">Submitted?</t>
  </si>
  <si>
    <t xml:space="preserve">Teacher 1</t>
  </si>
  <si>
    <t xml:space="preserve">Teacher 2</t>
  </si>
  <si>
    <t xml:space="preserve">School counselor</t>
  </si>
  <si>
    <t xml:space="preserve">Ask at least three weeks before your first deadline. Some colleges (Dartmouth, for example) also want a peer recommendation from a classmate, teammate or cousin.</t>
  </si>
  <si>
    <t xml:space="preserve">Summary</t>
  </si>
  <si>
    <t xml:space="preserve">Filled in automatically. Your counselor's dashboard reads row 5 of this tab, so do not edit anything here.</t>
  </si>
  <si>
    <t xml:space="preserve">Last Updated</t>
  </si>
  <si>
    <t xml:space="preserve">Colleges on List</t>
  </si>
  <si>
    <t xml:space="preserve">Next Filing Date</t>
  </si>
  <si>
    <t xml:space="preserve">Days to Next</t>
  </si>
  <si>
    <t xml:space="preserve">Overdue (college + UB)</t>
  </si>
  <si>
    <t xml:space="preserve">Due in 7 Days</t>
  </si>
  <si>
    <t xml:space="preserve">College Steps Done</t>
  </si>
  <si>
    <t xml:space="preserve">FAFSA Submitted</t>
  </si>
  <si>
    <t xml:space="preserve">Scholarships Submitted</t>
  </si>
  <si>
    <t xml:space="preserve">Scholarship $ Awarded</t>
  </si>
  <si>
    <t xml:space="preserve">Dates Not Verified</t>
  </si>
  <si>
    <t xml:space="preserve">Tracker start date</t>
  </si>
  <si>
    <t xml:space="preserve">Set automatically when the tracker is created. Steps that would fall before it are moved to one week after it.</t>
  </si>
  <si>
    <t xml:space="preserve">City</t>
  </si>
  <si>
    <t xml:space="preserve">Public/Private</t>
  </si>
  <si>
    <t xml:space="preserve">HBCU</t>
  </si>
  <si>
    <t xml:space="preserve">ED</t>
  </si>
  <si>
    <t xml:space="preserve">ED II</t>
  </si>
  <si>
    <t xml:space="preserve">EA</t>
  </si>
  <si>
    <t xml:space="preserve">EA II</t>
  </si>
  <si>
    <t xml:space="preserve">REA</t>
  </si>
  <si>
    <t xml:space="preserve">RD</t>
  </si>
  <si>
    <t xml:space="preserve">Priority</t>
  </si>
  <si>
    <t xml:space="preserve">Rolling</t>
  </si>
  <si>
    <t xml:space="preserve">Merit / Scholarship Deadline</t>
  </si>
  <si>
    <t xml:space="preserve">Merit Note</t>
  </si>
  <si>
    <t xml:space="preserve">Fee Waiver</t>
  </si>
  <si>
    <t xml:space="preserve">SAT 25th</t>
  </si>
  <si>
    <t xml:space="preserve">SAT 75th</t>
  </si>
  <si>
    <t xml:space="preserve">ACT 25th</t>
  </si>
  <si>
    <t xml:space="preserve">ACT 75th</t>
  </si>
  <si>
    <t xml:space="preserve">Avg Net Price</t>
  </si>
  <si>
    <t xml:space="preserve">Net Price, Income Under $30k</t>
  </si>
  <si>
    <t xml:space="preserve">Required Extra Essays</t>
  </si>
  <si>
    <t xml:space="preserve">Essay Prompts Page</t>
  </si>
  <si>
    <t xml:space="preserve">University of Georgia</t>
  </si>
  <si>
    <t xml:space="preserve">Georgia Public (USG)</t>
  </si>
  <si>
    <t xml:space="preserve">Athens</t>
  </si>
  <si>
    <t xml:space="preserve">GA</t>
  </si>
  <si>
    <t xml:space="preserve">Public</t>
  </si>
  <si>
    <t xml:space="preserve">No</t>
  </si>
  <si>
    <t xml:space="preserve">Automatic merit consideration with admission application; Foundation Fellowship application due 2026-11-01; Honors College application due 2027-01-15</t>
  </si>
  <si>
    <t xml:space="preserve">Common App automatic waiver, College Board, ACT, NACAC waivers accepted (US citizens/permanent residents)</t>
  </si>
  <si>
    <t xml:space="preserve">None required (1 letter recommended)</t>
  </si>
  <si>
    <t xml:space="preserve">Not required</t>
  </si>
  <si>
    <t xml:space="preserve">https://admissions.uga.edu/apply/first-year-applicants/</t>
  </si>
  <si>
    <t xml:space="preserve">https://admissions.uga.edu/blog/changes-for-the-2027-freshman-application/</t>
  </si>
  <si>
    <t xml:space="preserve">Official 2026-27</t>
  </si>
  <si>
    <t xml:space="preserve">Supplemental essay eliminated for Fall 2027; only the Common App essay is required. Georgia students must have GAfutures transcripts sent electronically. Materials deadlines: EA 2026-10-29, RD 2027-01-15. Stats (admit rate, SAT/ACT, GPA) are for the admitted Class of 2026 as published by UGA (SAT/ACT = mid-range of admitted students' strongest scores; GPA = recalculated core GPA average); 6-year grad rate from an aggregator of IPEDS data. Net price figures left blank: NCES College Navigator and College Scorecard could not be accessed.</t>
  </si>
  <si>
    <t xml:space="preserve">Georgia Institute of Technology</t>
  </si>
  <si>
    <t xml:space="preserve">Atlanta</t>
  </si>
  <si>
    <t xml:space="preserve">Scholarship consideration requires applying through an Early Action plan</t>
  </si>
  <si>
    <t xml:space="preserve">Fee waiver requests in the Georgia Tech section of Common App (SAT/ACT waiver, free/reduced lunch, TRIO, etc.)</t>
  </si>
  <si>
    <t xml:space="preserve">None required (counselor and teacher letters optional)</t>
  </si>
  <si>
    <t xml:space="preserve">https://admission.gatech.edu/first-year/</t>
  </si>
  <si>
    <t xml:space="preserve">Mixed</t>
  </si>
  <si>
    <t xml:space="preserve">EA1 is aimed at Georgia residents, EA2 at out-of-state/international. Document deadlines: EA1 10/30, EA2 11/16, RD 1/22. Short-answer supplemental essay eliminated starting 2026-27 cycle; only Common App essay. Georgia Tech news release (July 2026) says test scores are still required, while the 2025-26 Common Data Set lists tests as 'considered', so confirm with the school. Admit rate, SAT/ACT, GPA, grad rate are from the 2025-26 Common Data Set via collegedata.fyi (aggregator). Net price figures left blank: NCES College Navigator and College Scorecard could not be accessed.</t>
  </si>
  <si>
    <t xml:space="preserve">Georgia State University</t>
  </si>
  <si>
    <t xml:space="preserve">Honors and scholarship priority deadline is the Early Action deadline (Nov 15)</t>
  </si>
  <si>
    <t xml:space="preserve">Common App fee waiver; NACAC/College Board/ACT waivers (fee from aggregator, unverified)</t>
  </si>
  <si>
    <t xml:space="preserve">None listed</t>
  </si>
  <si>
    <t xml:space="preserve">https://admissions.gsu.edu/bachelors-degree/apply/</t>
  </si>
  <si>
    <t xml:space="preserve">SAT/ACT required since Fall 2026 admissions; admission uses Freshman Index (HS GPA + test). Official transcripts and test scores due 2027-06-01. Fee, admit rate (2024-25, 42,323 applicants) from CollegeData aggregator; SAT/ACT ranges not reported there. admissions.gsu.edu/timeline returned 403 so some details unread. Net price figures left blank: NCES College Navigator and College Scorecard could not be accessed.</t>
  </si>
  <si>
    <t xml:space="preserve">Kennesaw State University</t>
  </si>
  <si>
    <t xml:space="preserve">Kennesaw</t>
  </si>
  <si>
    <t xml:space="preserve">Common App; School portal</t>
  </si>
  <si>
    <t xml:space="preserve">Scholarship Universe deadline March 1, 2027; priority admission deadline Nov 2 for aid, scholarships and housing</t>
  </si>
  <si>
    <t xml:space="preserve">Common App fee waiver for eligible students</t>
  </si>
  <si>
    <t xml:space="preserve">https://www.kennesaw.edu/admissions/undergraduate/admission-requirements/freshman.php</t>
  </si>
  <si>
    <t xml:space="preserve">Starting Fall 2027, minimum 3.0 required-curriculum HS GPA (was 2.5). SAT/ACT required (CLT accepted from Fall 2027). Priority document deadline 2026-11-16. Admit rate and SAT/ACT from 2024-25 CollegeData (aggregator); SAT composite approximated by summing section 25th/75th percentiles (EBRW 510-620 + Math 480-610). Avg GPA 3.5 is KSU's published entering-freshman average. Net price figures left blank: NCES College Navigator and College Scorecard could not be accessed.</t>
  </si>
  <si>
    <t xml:space="preserve">Georgia Southern University</t>
  </si>
  <si>
    <t xml:space="preserve">Statesboro</t>
  </si>
  <si>
    <t xml:space="preserve">Jan 15 priority deadline for Honors College scholarships; final scholarship deadline April 15</t>
  </si>
  <si>
    <t xml:space="preserve">Not verified</t>
  </si>
  <si>
    <t xml:space="preserve">https://www.georgiasouthern.edu/admissions-aid/first-year-students</t>
  </si>
  <si>
    <t xml:space="preserve">Rolling admission; Aug 1 application deadline for fall. Traditional admission needs 2.5 RHSC GPA plus SAT/ACT; University College flexible admission (2.0 GPA) does not require test scores. Apply via discover.georgiasouthern.edu portal or Common App (Common App page exists). Fee, admit rate, test ranges from 2024-25 CollegeData (aggregator); SAT composite approximated from section percentiles. Net price figures left blank: NCES College Navigator and College Scorecard could not be accessed.</t>
  </si>
  <si>
    <t xml:space="preserve">Augusta University</t>
  </si>
  <si>
    <t xml:space="preserve">Augusta</t>
  </si>
  <si>
    <t xml:space="preserve">February 1 scholarship consideration deadline</t>
  </si>
  <si>
    <t xml:space="preserve">NACAC, College Board and ACT waivers accepted</t>
  </si>
  <si>
    <t xml:space="preserve">https://www.augusta.edu/admissions/freshman.php</t>
  </si>
  <si>
    <t xml:space="preserve">Deadline page lists Oct 31 / Feb 1 / July 1 without a year; dates assumed to be 2026/2027 for Fall 2027 (Augusta's 2026-27 test-requirement announcement referred to the cycle that opened Aug 2025, so verify the year). SAT, ACT or CLT required; 3.0 RHSC GPA minimum. Admit rate not reported. SAT/ACT from 2024-25 CollegeData (aggregator). Net price figures left blank: NCES College Navigator and College Scorecard could not be accessed.</t>
  </si>
  <si>
    <t xml:space="preserve">Valdosta State University</t>
  </si>
  <si>
    <t xml:space="preserve">Valdosta</t>
  </si>
  <si>
    <t xml:space="preserve">School portal</t>
  </si>
  <si>
    <t xml:space="preserve">Fall 2026 pattern was Mar 1 scholarship deadline, Jun 1 priority, Aug 1 final; Fall 2027 dates not yet published</t>
  </si>
  <si>
    <t xml:space="preserve">Optional</t>
  </si>
  <si>
    <t xml:space="preserve">https://www.valdosta.edu/admissions/undergraduate/dates-and-events.php</t>
  </si>
  <si>
    <t xml:space="preserve">Rolling admission. Official page showed only Fall 2026 deadlines, so Fall 2027 dates left blank. Test-optional if academic GPA 3.2+; below 3.1 must submit SAT/ACT; Freshman Index 2040 minimum. Application fee not confirmed (aggregator said no fee). Applies through VSU admissions portal; Common App membership not verified. Admit rate and test ranges from 2024-25 CollegeData (aggregator). Net price figures left blank: NCES College Navigator and College Scorecard could not be accessed.</t>
  </si>
  <si>
    <t xml:space="preserve">University of West Georgia</t>
  </si>
  <si>
    <t xml:space="preserve">Carrollton</t>
  </si>
  <si>
    <t xml:space="preserve">Scholarship consideration by Feb 1 (must be admitted with complete scholarship application)</t>
  </si>
  <si>
    <t xml:space="preserve">Fee waivers available (per aggregator)</t>
  </si>
  <si>
    <t xml:space="preserve">Flexible</t>
  </si>
  <si>
    <t xml:space="preserve">https://www.westga.edu/undergraduate-admissions/dates-deadlines.php</t>
  </si>
  <si>
    <t xml:space="preserve">Dates from official page dated Aug 2026 (EA 10/31/2026, priority 1/31/2027, final 8/8/2027). Late applications considered space-available. Test policy listed as 'required for some' (aggregator), details unverified. Application platform and Common App membership not verified. Fee, admit rate, test ranges from 2024-25 CollegeData (aggregator). Net price figures left blank: NCES College Navigator and College Scorecard could not be accessed.</t>
  </si>
  <si>
    <t xml:space="preserve">Georgia College &amp; State University</t>
  </si>
  <si>
    <t xml:space="preserve">Milledgeville</t>
  </si>
  <si>
    <t xml:space="preserve">Early Action applicants are eligible for the President's Scholarship competition</t>
  </si>
  <si>
    <t xml:space="preserve">NACAC, College Board, ACT waivers; dual enrollment; FEMA disaster area residents</t>
  </si>
  <si>
    <t xml:space="preserve">1 to 2 teacher/counselor letters highly recommended (not required)</t>
  </si>
  <si>
    <t xml:space="preserve">https://www.gcsu.edu/admissions/first-year</t>
  </si>
  <si>
    <t xml:space="preserve">Early Action is non-binding with decisions in late November; rolling decisions begin in January with no fixed RD date published on the page read. Common App essay required. Self-reported scores accepted initially; official scores due April 1. SAT, ACT or CLT accepted. SAT/ACT/GPA (middle 50% GPA 3.50-3.93) are GCSU's published first-year profile; admit rate from 2024-25 CollegeData (aggregator). Net price figures left blank: NCES College Navigator and College Scorecard could not be accessed.</t>
  </si>
  <si>
    <t xml:space="preserve">Columbus State University</t>
  </si>
  <si>
    <t xml:space="preserve">Columbus</t>
  </si>
  <si>
    <t xml:space="preserve">https://www.columbusstate.edu/admissions/undergraduate/first-time-freshmen.php</t>
  </si>
  <si>
    <t xml:space="preserve">Fall 2027: priority 4/15/2027, regular 6/30/2027, documents 7/15/2027. 2.5 RHSC GPA minimum. SAT/ACT waived for freshmen with 3.0+ RHSC GPA only 'through Summer 2027', so Fall 2027 applicants should expect to submit scores; confirm. Apply at columbusstate.edu/apply; Common App membership not verified. Admit rate and test ranges from 2024-25 CollegeData (aggregator). Net price figures left blank: NCES College Navigator and College Scorecard could not be accessed.</t>
  </si>
  <si>
    <t xml:space="preserve">Georgia Southwestern State University</t>
  </si>
  <si>
    <t xml:space="preserve">Americus</t>
  </si>
  <si>
    <t xml:space="preserve">GAfutures; School portal</t>
  </si>
  <si>
    <t xml:space="preserve">Feb 1 priority for Southwestern Promise scholarships (separate GSW scholarship application)</t>
  </si>
  <si>
    <t xml:space="preserve">https://www.gsw.edu/admissions/undergraduate/freshman</t>
  </si>
  <si>
    <t xml:space="preserve">Application completed online via a GAfutures account. Tests optional, but without scores a 3.6 GPA is needed for Southwestern Promise Blue Level; 2.0 RHSC minimum (University College 2.0). Application fee not confirmed (aggregator listed $1, unverified). No Fall 2027 admission deadline found on the official page. Common App membership not verified. Admit rate/test ranges from 2024-25 CollegeData (aggregator). Net price figures left blank: NCES College Navigator and College Scorecard could not be accessed.</t>
  </si>
  <si>
    <t xml:space="preserve">Clayton State University</t>
  </si>
  <si>
    <t xml:space="preserve">Morrow</t>
  </si>
  <si>
    <t xml:space="preserve">Waivers available (per aggregator)</t>
  </si>
  <si>
    <t xml:space="preserve">https://www.clayton.edu/admissions/undergrad/freshman.php</t>
  </si>
  <si>
    <t xml:space="preserve">Aggregator only</t>
  </si>
  <si>
    <t xml:space="preserve">Official Clayton deadline and requirements pages could not be read (fetch rate limit), so deadlines are left blank; check clayton.edu/admissions/undergrad/deadlines.php. Fee, test policy ('recommended'), admit rate and test ranges are from 2024-25 CollegeData only. Net price figures left blank: NCES College Navigator and College Scorecard could not be accessed.</t>
  </si>
  <si>
    <t xml:space="preserve">Middle Georgia State University</t>
  </si>
  <si>
    <t xml:space="preserve">Macon</t>
  </si>
  <si>
    <t xml:space="preserve">https://www.mga.edu/admissions/new-students/first-time-students.php</t>
  </si>
  <si>
    <t xml:space="preserve">Official MGA admissions pages could not be read (fetch rate limit), so deadlines and policies are unverified; all values from 2024-25 CollegeData only (test 'recommended', rolling admission). Common App membership not verified. Net price figures left blank: NCES College Navigator and College Scorecard could not be accessed.</t>
  </si>
  <si>
    <t xml:space="preserve">University of North Georgia</t>
  </si>
  <si>
    <t xml:space="preserve">Dahlonega</t>
  </si>
  <si>
    <t xml:space="preserve">https://ung.edu/undergraduate-admissions/new-freshmen.php</t>
  </si>
  <si>
    <t xml:space="preserve">Official UNG deadline page could not be read (fetch rate limit), so deadlines are left blank; check ung.edu/undergraduate-admissions/new-freshmen.php. Fee, test policy ('considered if submitted'), admit rate and test ranges are from 2024-25 CollegeData only. Net price figures left blank: NCES College Navigator and College Scorecard could not be accessed.</t>
  </si>
  <si>
    <t xml:space="preserve">Georgia Gwinnett College</t>
  </si>
  <si>
    <t xml:space="preserve">Lawrenceville</t>
  </si>
  <si>
    <t xml:space="preserve">https://www.ggc.edu/admission-aid/admissions/how-to-apply/freshmen-admission</t>
  </si>
  <si>
    <t xml:space="preserve">Official GGC deadline and requirements pages could not be read (fetch rate limit), so deadlines are left blank; apply through admissionsapp.ggc.edu (Common App membership not verified). Fee, test policy ('considered if submitted'), admit rate and test ranges are from 2024-25 CollegeData only. Net price figures left blank: NCES College Navigator and College Scorecard could not be accessed.</t>
  </si>
  <si>
    <t xml:space="preserve">Dalton State College</t>
  </si>
  <si>
    <t xml:space="preserve">Dalton</t>
  </si>
  <si>
    <t xml:space="preserve">School portal (Nest Portal)</t>
  </si>
  <si>
    <t xml:space="preserve">Fee waivers available to qualified students (College Board listing)</t>
  </si>
  <si>
    <t xml:space="preserve">None required</t>
  </si>
  <si>
    <t xml:space="preserve">https://www.daltonstate.edu/admissions/</t>
  </si>
  <si>
    <t xml:space="preserve">Open admission (HS diploma or GED). Official page says test scores currently waived and lists no fall deadline; the July 1, 2027 date comes from an aggregator (CollegeSimply). Confirm with admissions. Stats not published.</t>
  </si>
  <si>
    <t xml:space="preserve">College of Coastal Georgia</t>
  </si>
  <si>
    <t xml:space="preserve">Brunswick</t>
  </si>
  <si>
    <t xml:space="preserve">Accepts College Board, ACT and NACAC fee waivers</t>
  </si>
  <si>
    <t xml:space="preserve">https://www.ccga.edu/admissions/requirements/freshman/</t>
  </si>
  <si>
    <t xml:space="preserve">Official page does not state the year; Dec 1 priority and Aug 1 final are listed. Min 2.0 GPA in required HS curriculum; students below that or missing curriculum should submit SAT/ACT. Stats and GPA from CollegeSimply (IPEDS 2024-25).</t>
  </si>
  <si>
    <t xml:space="preserve">Georgia Highlands College</t>
  </si>
  <si>
    <t xml:space="preserve">Rome</t>
  </si>
  <si>
    <t xml:space="preserve">School portal (apply.highlands.edu)</t>
  </si>
  <si>
    <t xml:space="preserve">SAT/ACT fee waiver or NACAC waiver accepted</t>
  </si>
  <si>
    <t xml:space="preserve">https://www.highlands.edu/how-do-i-apply/high-school-applicants/</t>
  </si>
  <si>
    <t xml:space="preserve">Open admission. No test scores needed if calculated HS GPA is 2.0 or higher. Deadlines page: July 28 for August start, Sept 15 for October start (no year stated, assumed recurring). Aggregator lists July 15, 2027, so confirm date. Multi-campus (Rome, Cartersville, Marietta, Douglasville, Dallas).</t>
  </si>
  <si>
    <t xml:space="preserve">Gordon State College</t>
  </si>
  <si>
    <t xml:space="preserve">Barnesville</t>
  </si>
  <si>
    <t xml:space="preserve">Aggregator says no waiver needed (apply free); verify</t>
  </si>
  <si>
    <t xml:space="preserve">https://www.gordonstate.edu/admissions/types-of-students/freshmen/index.html</t>
  </si>
  <si>
    <t xml:space="preserve">Official page: fall deadline July 15 (year not stated). Fee and stats from BigFuture. Min 2.0 GPA in required HS curriculum. Scores optional but used to opt out of Learning Support.</t>
  </si>
  <si>
    <t xml:space="preserve">East Georgia State College</t>
  </si>
  <si>
    <t xml:space="preserve">Swainsboro</t>
  </si>
  <si>
    <t xml:space="preserve">GAfutures (USG common application)</t>
  </si>
  <si>
    <t xml:space="preserve">Fee waivers available to qualified students (BigFuture)</t>
  </si>
  <si>
    <t xml:space="preserve">https://www.ega.edu/admissions/index.html</t>
  </si>
  <si>
    <t xml:space="preserve">Official admissions page could not be read. BigFuture lists regular deadline Aug 1 and an Early Action date of Aug 14; confirm on ega.edu. Portal link via CollegeFactual.</t>
  </si>
  <si>
    <t xml:space="preserve">Abraham Baldwin Agricultural College</t>
  </si>
  <si>
    <t xml:space="preserve">Tifton</t>
  </si>
  <si>
    <t xml:space="preserve">GAfutures</t>
  </si>
  <si>
    <t xml:space="preserve">SAT/ACT or NACAC waivers accepted (send to admissions@abac.edu)</t>
  </si>
  <si>
    <t xml:space="preserve">https://www.abac.edu/admissions/applicants/freshmen-applicants.html</t>
  </si>
  <si>
    <t xml:space="preserve">Official page: SAT/ACT required unless HS GPA is 2.5 or higher. No fall deadline found on the official page. Stats from CollegeSimply (IPEDS 2024-25).</t>
  </si>
  <si>
    <t xml:space="preserve">South Georgia State College</t>
  </si>
  <si>
    <t xml:space="preserve">Douglas</t>
  </si>
  <si>
    <t xml:space="preserve">https://www.sgsc.edu/admissions/</t>
  </si>
  <si>
    <t xml:space="preserve">Official site blocked or unreachable. Open admission per CollegeSimply (HS diploma or GED; tests, GPA and recommendations not used). Verify deadline and portal with the college. Admissions URL is a best guess of the college domain, check it.</t>
  </si>
  <si>
    <t xml:space="preserve">Atlanta Metropolitan State College</t>
  </si>
  <si>
    <t xml:space="preserve">School portal (apply.atlm.edu)</t>
  </si>
  <si>
    <t xml:space="preserve">https://www.atlm.edu/students/admissions_checklist.aspx</t>
  </si>
  <si>
    <t xml:space="preserve">Official checklist lists preferred priority date of Aug 1 for fall (year not stated). Required: application, $20 fee, transcript or GED, lawful presence verification, immunization certificate. Test scores only needed for dual enrollment and some programs. Stats not retrieved.</t>
  </si>
  <si>
    <t xml:space="preserve">Emory University</t>
  </si>
  <si>
    <t xml:space="preserve">Georgia Private</t>
  </si>
  <si>
    <t xml:space="preserve">Private</t>
  </si>
  <si>
    <t xml:space="preserve">Common App; QuestBridge</t>
  </si>
  <si>
    <t xml:space="preserve">Emory Scholar Programs deadline Nov 15 (notification by March 1)</t>
  </si>
  <si>
    <t xml:space="preserve">Common App fee waiver accepted</t>
  </si>
  <si>
    <t xml:space="preserve">2 teacher + school report (counselor)</t>
  </si>
  <si>
    <t xml:space="preserve">https://apply.emory.edu/apply/first-year/plans-deadlines/index.html</t>
  </si>
  <si>
    <t xml:space="preserve">https://www.collegeessayguy.com/blog/emory-university-supplemental-essays</t>
  </si>
  <si>
    <t xml:space="preserve">No Early Action. ED I and ED II are binding. Apply to Emory College, Oxford College, or both. Prompts come from College Essay Guy (updated Aug 2026), not emory.edu, and the 4 choices in prompt 2 should be double checked. CSS Profile and interview not confirmed. Admit rate and test ranges from CollegeSimply (IPEDS 2024-25). Net price not retrieved.</t>
  </si>
  <si>
    <t xml:space="preserve">Mercer University</t>
  </si>
  <si>
    <t xml:space="preserve">Common App; Mercer Application</t>
  </si>
  <si>
    <t xml:space="preserve">https://undergrad.mercer.edu/first-year-admissions/</t>
  </si>
  <si>
    <t xml:space="preserve">Official page lists EA I Nov 1, EA II Dec 1, RD Feb 1. The Common App requirement grid labels the early rounds as ED, so verify whether Nov 1 and Dec 1 are binding. Scores may be self-reported and are superscored; CollegeSimply says SAT/ACT required for 2026-27. Official scholarship deadlines and fee not read from mercer.edu (fee from Common App grid). Official class profile: SAT 1120-1320, ACT 23-31, GPA 3.99.</t>
  </si>
  <si>
    <t xml:space="preserve">Agnes Scott College</t>
  </si>
  <si>
    <t xml:space="preserve">Decatur</t>
  </si>
  <si>
    <t xml:space="preserve">Presidential Scholarship Jan 15; Lettie Pate Whitehead and Nannette Hopkins Music Jan 31; merit scholarships by weighted GPA, test optional</t>
  </si>
  <si>
    <t xml:space="preserve">Common App grid lists fee waiver for U.S. applicants</t>
  </si>
  <si>
    <t xml:space="preserve">Optional (teacher/counselor via Common App)</t>
  </si>
  <si>
    <t xml:space="preserve">https://www.agnesscott.edu/admission/undergraduate-admission/high-school-students/index.html</t>
  </si>
  <si>
    <t xml:space="preserve">Women's college. Official table: ED Nov 1, EA I Nov 15, EA II Jan 15 (merit priority), RD Mar 15 (rolling decisions). FAFSA due with each round. Application fee not confirmed (Common App grid shows $0/$30). No school-specific essay found.</t>
  </si>
  <si>
    <t xml:space="preserve">Oglethorpe University</t>
  </si>
  <si>
    <t xml:space="preserve">Common App; Petrel Portal (apply.oglethorpe.edu)</t>
  </si>
  <si>
    <t xml:space="preserve">EA I applicants eligible for full-tuition awards at Scholarship Weekend; all applicants considered for merit and Flagship 50</t>
  </si>
  <si>
    <t xml:space="preserve">Fee waived for Early Action applicants; Common App fee waiver accepted</t>
  </si>
  <si>
    <t xml:space="preserve">Up to 2 optional</t>
  </si>
  <si>
    <t xml:space="preserve">Optional evaluative interview (Zoom or phone)</t>
  </si>
  <si>
    <t xml:space="preserve">https://oglethorpe.edu/admission/apply/first-year/</t>
  </si>
  <si>
    <t xml:space="preserve">Rolling regular admission with May 1 priority date. No essay required; optional 1-2 minute video about what you would bring to the community. Common App grid also lists ED Nov 1, confirm whether a binding option exists. Stats from CollegeSimply.</t>
  </si>
  <si>
    <t xml:space="preserve">Berry College</t>
  </si>
  <si>
    <t xml:space="preserve">Mount Berry</t>
  </si>
  <si>
    <t xml:space="preserve">Common App; Berry Application (myportal.berry.edu)</t>
  </si>
  <si>
    <t xml:space="preserve">FAFSA by Jan 15 priority date for full scholarship consideration; tests not required for scholarships</t>
  </si>
  <si>
    <t xml:space="preserve">No application fee</t>
  </si>
  <si>
    <t xml:space="preserve">https://berry.edu/admission/how-to-apply/first-year</t>
  </si>
  <si>
    <t xml:space="preserve">Free to apply via either application. Personal essay required (Common App essay or Berry app). Optional short Why Berry essay exists but prompt text was not published on the pages read, so it is not listed under supplements. Stats from CollegeSimply.</t>
  </si>
  <si>
    <t xml:space="preserve">Savannah College of Art and Design</t>
  </si>
  <si>
    <t xml:space="preserve">Savannah</t>
  </si>
  <si>
    <t xml:space="preserve">Common App; SCAD application (MyAdmission portal)</t>
  </si>
  <si>
    <t xml:space="preserve">Portfolio strongly encouraged for achievement scholarships (not required for admission)</t>
  </si>
  <si>
    <t xml:space="preserve">Optional (suggested)</t>
  </si>
  <si>
    <t xml:space="preserve">https://www.scad.edu/admission/admission-information/first-year</t>
  </si>
  <si>
    <t xml:space="preserve">No deadlines; apply at least 30 days before term (6 months recommended). Decisions in 2 to 4 weeks. Portfolio and audition not required. Fee is $100 on scad.edu apply page; Common App fee not confirmed. No personal essay required. Stats from CollegeSimply.</t>
  </si>
  <si>
    <t xml:space="preserve">Piedmont University</t>
  </si>
  <si>
    <t xml:space="preserve">Demorest</t>
  </si>
  <si>
    <t xml:space="preserve">Common App; Piedmont application</t>
  </si>
  <si>
    <t xml:space="preserve">None required (needed only if GPA below 3.0, as an alternative)</t>
  </si>
  <si>
    <t xml:space="preserve">https://www.piedmont.edu/admissions-aid/apply/first-year-students/</t>
  </si>
  <si>
    <t xml:space="preserve">Official deadlines: fall Aug 1, spring Dec 1, summer May 1 (year not stated). Min 3.0 GPA; below that, submit SAT/ACT, a recommendation, or a one-page essay. Common App grid shows EA 7/17/2027. First-year fee not confirmed (grid shows $25/$30). Stats from CollegeSimply.</t>
  </si>
  <si>
    <t xml:space="preserve">LaGrange College</t>
  </si>
  <si>
    <t xml:space="preserve">LaGrange</t>
  </si>
  <si>
    <t xml:space="preserve">Blind</t>
  </si>
  <si>
    <t xml:space="preserve">https://www.lagrange.edu/ADMISSIONS/UNDERGRADUATE/dates-and-deadlines.html</t>
  </si>
  <si>
    <t xml:space="preserve">Rolling admission with 'preferred' deadlines (official page still showed the 2025-26 cycle: Fall 2025 July 1; Spring Dec 15; FAFSA Mar 15). No EA/ED/RD plans. Preferred-deadline applicants get priority for admission and scholarships. Fee ($0) and test-blind status per aggregators (collegetuitioncompare, collegesimply) quoting the college; Common App participation and recommendation requirements not verified. Stats are IPEDS 2024-25 via aggregator; SAT/ACT figures are sums of section percentiles (approximate).</t>
  </si>
  <si>
    <t xml:space="preserve">Wesleyan College</t>
  </si>
  <si>
    <t xml:space="preserve">Entrance scholarships ($40,000-$64,000 over four years) are automatic with admission. Premier Scholarships and the CEO Scholarship require a separate application by Feb 1, 2027 (admission required first).</t>
  </si>
  <si>
    <t xml:space="preserve">https://www.wesleyancollege.edu/admission/undergraduate/admission-undergraduate.cfm</t>
  </si>
  <si>
    <t xml:space="preserve">Women's college (undergraduate residential program). Rolling admission, free application, no essay or recommendations required, unofficial transcript accepted; minimum weighted GPA 3.0 (exceptions case by case). Admission stats and net price are IPEDS via aggregator (collegesimply); SAT/ACT figures are sums of section percentiles (approximate).</t>
  </si>
  <si>
    <t xml:space="preserve">Brenau University</t>
  </si>
  <si>
    <t xml:space="preserve">Gainesville</t>
  </si>
  <si>
    <t xml:space="preserve">https://www.brenau.edu/admissions/freshman/</t>
  </si>
  <si>
    <t xml:space="preserve">Rolling admission; apply via Brenau's own application or Common App. Official page: SAT/ACT not required; minimum 2.5 GPA in core classes. The Common App 2026-27 requirements grid lists a $25 US fee, while collegesimply lists $0, so confirm the fee before advising. Women's college for traditional-age undergraduates on the Gainesville campus (coordinate model). Stats are IPEDS 2024-25 via aggregator.</t>
  </si>
  <si>
    <t xml:space="preserve">Shorter University</t>
  </si>
  <si>
    <t xml:space="preserve">https://www.shorter.edu/admissions/</t>
  </si>
  <si>
    <t xml:space="preserve">Official Shorter pages could not be read (fetch tool rate limited), so deadlines, fee, recommendations, and platform (Common App participation) are unverified and the fee comes from an aggregator reporting the fall 2023 class. Admission stats are fall 2023 (aggregator).</t>
  </si>
  <si>
    <t xml:space="preserve">Reinhardt University</t>
  </si>
  <si>
    <t xml:space="preserve">Waleska</t>
  </si>
  <si>
    <t xml:space="preserve">1 (per Common App grid)</t>
  </si>
  <si>
    <t xml:space="preserve">https://www.reinhardt.edu/admissions-aid/how-to-apply/</t>
  </si>
  <si>
    <t xml:space="preserve">Rolling admission, no application fee, no school-specific writing supplement per the Common App 2026-27 requirements grid (updated 09-25-2026). Reinhardt's own site could not be read (fetch tool rate limited), so own-portal option and scholarship deadlines are unverified. Stats are IPEDS 2024-25 via aggregator.</t>
  </si>
  <si>
    <t xml:space="preserve">Covenant College</t>
  </si>
  <si>
    <t xml:space="preserve">Lookout Mountain</t>
  </si>
  <si>
    <t xml:space="preserve">https://covenant.edu/admissions/</t>
  </si>
  <si>
    <t xml:space="preserve">Dates from the Common App 2026-27 grid (ED 11/10/2026; a second date of 03/01/2027 that matches the March 1, 2027 deadline reported by collegesimply, treated here as the final deadline). Covenant's own site could not be read (fetch tool rate limited), so confirm round names, whether ED is binding, and scholarship deadlines. Presbyterian (PCA) affiliated; Common App grid shows a faith-based essay or short response may be part of the application (unverified). Stats are IPEDS 2024-25 via aggregator.</t>
  </si>
  <si>
    <t xml:space="preserve">Young Harris College</t>
  </si>
  <si>
    <t xml:space="preserve">Young Harris</t>
  </si>
  <si>
    <t xml:space="preserve">https://www.yhc.edu/admissions/</t>
  </si>
  <si>
    <t xml:space="preserve">Official YHC pages could not be read (fetch tool rate limited): deadlines, recommendations, Common App participation, and rolling status are unverified. Aggregator says test-blind and $0 fee. Six-year graduation rate not available from the sources used. ACT range is as listed by collegesimply and may be approximate.</t>
  </si>
  <si>
    <t xml:space="preserve">Point University</t>
  </si>
  <si>
    <t xml:space="preserve">West Point</t>
  </si>
  <si>
    <t xml:space="preserve">https://www.point.edu/admissions/</t>
  </si>
  <si>
    <t xml:space="preserve">Official Point pages could not be read (fetch tool rate limited): deadlines, recommendations, and platform unverified. Aggregator says test-blind, free application, high school GPA required. Only about 4% of enrolled freshmen submitted SAT scores, so the SAT range is based on few students. Net price for $0-30K families ($23,992) is higher than the overall average.</t>
  </si>
  <si>
    <t xml:space="preserve">Thomas University</t>
  </si>
  <si>
    <t xml:space="preserve">Thomasville</t>
  </si>
  <si>
    <t xml:space="preserve">https://www.thomasu.edu/admissions/</t>
  </si>
  <si>
    <t xml:space="preserve">Official Thomas pages could not be read (fetch tool rate limited). Aggregator describes open admission with a high school diploma or GED, free application, test-optional. The 8% six-year rate is the bachelor's-degree rate reported by collegesimply for a very small cohort (largely a two-year and adult/online mix), so treat it with caution. No SAT/ACT ranges published.</t>
  </si>
  <si>
    <t xml:space="preserve">Toccoa Falls College</t>
  </si>
  <si>
    <t xml:space="preserve">Toccoa Falls</t>
  </si>
  <si>
    <t xml:space="preserve">https://tfc.edu/admissions/</t>
  </si>
  <si>
    <t xml:space="preserve">Official TFC pages could not be read (fetch tool rate limited): deadlines, fee, recommendations (Christian college; a pastor/faith reference is typical but unverified), and platform unverified. Admission stats are fall 2023 class (aggregator).</t>
  </si>
  <si>
    <t xml:space="preserve">Truett McConnell University</t>
  </si>
  <si>
    <t xml:space="preserve">Cleveland</t>
  </si>
  <si>
    <t xml:space="preserve">https://truett.edu/admissions/</t>
  </si>
  <si>
    <t xml:space="preserve">Only the net price for $0-30K families (IPEDS 2023-24, via tamingthehighcostofcollege.com) could be found. Official Truett pages could not be read (fetch tool rate limited) and collegesimply pages for this school were not found, so deadlines, fee, test policy, recommendations, platform, admit rate, scores, and graduation rate are blank and must be filled in from the school site. Second pass (2026-10-01): no new data added; web fetch proxy returned HTTP 429 and WebSearch budget was exhausted, so remaining gaps are still unverified.</t>
  </si>
  <si>
    <t xml:space="preserve">Morehouse College</t>
  </si>
  <si>
    <t xml:space="preserve">HBCU (Georgia)</t>
  </si>
  <si>
    <t xml:space="preserve">https://www.morehouse.edu/admissions/</t>
  </si>
  <si>
    <t xml:space="preserve">All-male college. Dates from the Common App 2026-27 grid (ED 11/01/2026, ED II 12/15/2026, and a third date of 02/01/2027 that matches the Feb 1, 2027 deadline in collegesimply, treated as RD). Morehouse's own site could not be read (fetch tool rate limited), so confirm EA/ED binding status, merit scholarship deadline, and any supplement. SAT/ACT ranges not reported. Net price for $0-30K families is about the same as the overall average.</t>
  </si>
  <si>
    <t xml:space="preserve">Spelman College</t>
  </si>
  <si>
    <t xml:space="preserve">https://www.spelman.edu/admissions-aid/</t>
  </si>
  <si>
    <t xml:space="preserve">Typical dates, confirm</t>
  </si>
  <si>
    <t xml:space="preserve">Women's college. Aggregator says test-optional in ED, EA, and RD, fee $40. Application dates, platform (Common App assumed, not verified; the Common App grid parse did not list Spelman), recommendations, and essay/supplement prompts could not be verified because official pages could not be read (fetch tool rate limited). SAT/ACT figures are sums of section percentiles (approximate). Second pass (2026-10-01): no new data added; web fetch proxy returned HTTP 429 and WebSearch budget was exhausted, so remaining gaps are still unverified.</t>
  </si>
  <si>
    <t xml:space="preserve">Clark Atlanta University</t>
  </si>
  <si>
    <t xml:space="preserve">https://www.cau.edu/admissions/</t>
  </si>
  <si>
    <t xml:space="preserve">Common App 2026-27 grid shows ED 11/01/2026 and a second plan date of 04/15/2027; collegesimply lists an April 1, 2027 application deadline, used here as RD. Confirm rolling status and whether ED is binding on cau.edu (page could not be read, fetch tool rate limited). Net price for $0-30K families ($37,356) is above the overall average.</t>
  </si>
  <si>
    <t xml:space="preserve">Morris Brown College</t>
  </si>
  <si>
    <t xml:space="preserve">2 (per Common App grid)</t>
  </si>
  <si>
    <t xml:space="preserve">https://www.morrisbrown.edu/admissions</t>
  </si>
  <si>
    <t xml:space="preserve">Only the Common App 2026-27 grid row was obtained (accepted on Common App, $30 fee, 2 recommendations, essay required, no early plans). Morris Brown (Atlanta University Center, regained accreditation in recent years) has no net price or admission statistics in the sources used. Official site could not be read (fetch tool rate limited). Second pass (2026-10-01): no new data added; web fetch proxy returned HTTP 429 and WebSearch budget was exhausted, so remaining gaps are still unverified.</t>
  </si>
  <si>
    <t xml:space="preserve">Paine College</t>
  </si>
  <si>
    <t xml:space="preserve">Fee waiver available to qualified students (per BigFuture); confirm with admissions</t>
  </si>
  <si>
    <t xml:space="preserve">https://www.paine.edu/web/admission/apply</t>
  </si>
  <si>
    <t xml:space="preserve">Fall semester deadline July 1 (page does not state year; Spring Dec 1). Apply via futurelion.paine.college. Official page says SAT/ACT submitted by first-time freshmen but BigFuture lists tests as not required; confirm. Minimum 2.0 GPA. Admit rate and 6-year grad rate are from aggregators. SAT/ACT ranges conflicted between aggregators so left blank. Net price figures could not be verified (NCES and College Scorecard were not reachable); left blank.</t>
  </si>
  <si>
    <t xml:space="preserve">Fort Valley State University</t>
  </si>
  <si>
    <t xml:space="preserve">Fort Valley</t>
  </si>
  <si>
    <t xml:space="preserve">GAfutures; Common Black College App</t>
  </si>
  <si>
    <t xml:space="preserve">Fee waiver available to qualified students (per BigFuture)</t>
  </si>
  <si>
    <t xml:space="preserve">https://www.fvsu.edu/admissions/high-school-students-future-freshmen</t>
  </si>
  <si>
    <t xml:space="preserve">Priority Dec 15 (best scholarships and housing), final Fall deadline June 15 (official page, year not stated). Test-optional with 3.0 GPA in required high school curriculum; 2.25 GPA path needs SAT 480 ERW/440 Math or ACT 17. Test ranges are College Board figures for enrolled students who submitted scores; CollegeData shows higher ranges (SAT sections 480-560 / 450-510, ACT 19-24, 66% admit). Fee, stats are aggregator-sourced. Net price figures could not be verified (NCES and College Scorecard were not reachable); left blank.</t>
  </si>
  <si>
    <t xml:space="preserve">Albany State University</t>
  </si>
  <si>
    <t xml:space="preserve">Albany</t>
  </si>
  <si>
    <t xml:space="preserve">Fee waiver available to qualified applicants (per BigFuture)</t>
  </si>
  <si>
    <t xml:space="preserve">https://www.asurams.edu/enrollment-management/admissions/how-to-apply.php</t>
  </si>
  <si>
    <t xml:space="preserve">Priority deadlines: Fall June 1, Spring Nov 1, Summer April 1 (year not stated). Applies at apply.asurams.edu; FAFSA and transcripts expected at the same time. SAT shown is the sum of CollegeData middle-50% section scores (approximation) for enrolled students. Admit rate not found. Fee is from BigFuture. Net price figures could not be verified (NCES and College Scorecard were not reachable); left blank.</t>
  </si>
  <si>
    <t xml:space="preserve">Savannah State University</t>
  </si>
  <si>
    <t xml:space="preserve">School portal (Future Tiger); GAfutures (home school applicants)</t>
  </si>
  <si>
    <t xml:space="preserve">https://savannahstate.edu/undergraduate/freshman/</t>
  </si>
  <si>
    <t xml:space="preserve">Official page lists Fall 2027 deadlines: EA Nov 1 2026 (decision Dec 15), Priority Dec 5 2026 (decision Jan 30), Regular Feb 1 2027 (decision Mar 13). Test-optional with 3.0 GPA in 17 required courses (freshman class average 3.13); superscoring. Minimums if submitting: SAT 480 ERW/440 Math, ACT 17. Grad rate is from CollegeSimply (aggregator). Admit rate and test ranges not found. Net price figures could not be verified (NCES and College Scorecard were not reachable); left blank.</t>
  </si>
  <si>
    <t xml:space="preserve">Howard University</t>
  </si>
  <si>
    <t xml:space="preserve">Washington</t>
  </si>
  <si>
    <t xml:space="preserve">DC</t>
  </si>
  <si>
    <t xml:space="preserve">FAFSA or HU ISFAA due by application deadline for priority aid consideration; FAFSA required for institutional scholarships</t>
  </si>
  <si>
    <t xml:space="preserve">Common App fee waiver accepted; Howard does not issue its own</t>
  </si>
  <si>
    <t xml:space="preserve">1 counselor + 1 teacher</t>
  </si>
  <si>
    <t xml:space="preserve">https://admission.howard.edu/undergraduate/first-year</t>
  </si>
  <si>
    <t xml:space="preserve">https://www.collegeessayguy.com/blog/howard-university-supplemental-essays</t>
  </si>
  <si>
    <t xml:space="preserve">Official 2026-27 page: EA (non-binding) and ED (binding) both Nov 1; RD Feb 1. Official page says there is one optional supplemental essay in the Common App Writing section; the two prompts above come from College Essay Guy (aggregator) and may not be exactly what Common App shows, so verify in Common App. Additional essay required for BS/MD and BS/DDS programs; portfolios/auditions for art, theatre, music, architecture. Stats from aggregators (CollegeSimply, CollegeData). Test-optional for 2026-27. Net price figures could not be verified (NCES and College Scorecard were not reachable); left blank.</t>
  </si>
  <si>
    <t xml:space="preserve">Hampton University</t>
  </si>
  <si>
    <t xml:space="preserve">Hampton</t>
  </si>
  <si>
    <t xml:space="preserve">VA</t>
  </si>
  <si>
    <t xml:space="preserve">Test-optional applicants are not eligible for merit-based scholarships; submit SAT/ACT to be considered</t>
  </si>
  <si>
    <t xml:space="preserve">Fee waived for applications submitted Aug 1 to Sep 30, 2026 (window has passed); one admissions page says no fee waivers accepted</t>
  </si>
  <si>
    <t xml:space="preserve">1 (counselor, teacher, or coach)</t>
  </si>
  <si>
    <t xml:space="preserve">https://home.hamptonu.edu/admissions/freshmen/</t>
  </si>
  <si>
    <t xml:space="preserve">EA is non-binding (decision by Jan 15); rolling admission. Test-optional only for U.S. traditional students with 3.6+ unweighted GPA or top 10% rank; others must submit scores. Superscores SAT. Admit rate (62-64%) and grad rate are aggregator figures; SAT/ACT ranges conflicted between aggregators so left blank. Scholarship and Honors College deadlines not found. Net price figures could not be verified (NCES and College Scorecard were not reachable); left blank.</t>
  </si>
  <si>
    <t xml:space="preserve">Florida A&amp;M University</t>
  </si>
  <si>
    <t xml:space="preserve">Tallahassee</t>
  </si>
  <si>
    <t xml:space="preserve">FL</t>
  </si>
  <si>
    <t xml:space="preserve">Accepts ACT, College Board and NACAC fee waivers with documentation</t>
  </si>
  <si>
    <t xml:space="preserve">https://admissions.famu.edu/student-types/freshman.php</t>
  </si>
  <si>
    <t xml:space="preserve">Official page: EA app due Nov 1 (supporting materials Nov 14, decision Dec 4); RD Feb 1 (materials Feb 14, decision Mar 5); rolling through May 1. Year not stated on page. Not test-optional. Test range is the official middle 50% of admitted students. College Essay Guy mentions a 500-word personal statement and 2 recommendations, but the official page did not list either, so not counted as required. Admit rate not verified (aggregator showed 21%, which seems inconsistent). Grad rate is aggregator-sourced. Net price figures could not be verified (NCES and College Scorecard were not reachable); left blank.</t>
  </si>
  <si>
    <t xml:space="preserve">North Carolina A&amp;T State University</t>
  </si>
  <si>
    <t xml:space="preserve">Greensboro</t>
  </si>
  <si>
    <t xml:space="preserve">NC</t>
  </si>
  <si>
    <t xml:space="preserve">https://www.ncat.edu/admissions/undergraduate/dates-and-deadlines.php</t>
  </si>
  <si>
    <t xml:space="preserve">Official dates page: EA app Nov 1 (documents Nov 15, decision Jan 30); RD app Feb 1 (documents Feb 15, decision Apr 1); rolling after Feb 1. Year not stated. Application fee, test policy, recs, and platform (Common App vs school application) not confirmed; verify directly. Admit rate and SAT (sum of section percentiles) / ACT are CollegeData 2024-25 figures. Net price figures could not be verified (NCES and College Scorecard were not reachable); left blank.</t>
  </si>
  <si>
    <t xml:space="preserve">Tuskegee University</t>
  </si>
  <si>
    <t xml:space="preserve">Tuskegee</t>
  </si>
  <si>
    <t xml:space="preserve">AL</t>
  </si>
  <si>
    <t xml:space="preserve">Presidential Scholarship deadline Dec 1 (also listed as Priority); Merit Scholarship deadline Jan 15</t>
  </si>
  <si>
    <t xml:space="preserve">1 recommendation (via portal)</t>
  </si>
  <si>
    <t xml:space="preserve">https://www.tuskegee.edu/admissions/Criteria-for-Freshmen.html</t>
  </si>
  <si>
    <t xml:space="preserve">Official page deadlines: Fall July 1, Spring Nov 1, Summer May 1 (year not stated). Applies at tuskegee.elluciancrmrecruit.com/Apply. ACT/SAT required even for holistic review (preferred 21 ACT / 1080 SAT, 3.0 GPA; holistic minimum 3.25). Essay up to 650 words from seven prompts (these mirror the Common App prompts, so no school-specific supplement recorded). CollegeVine lists 250-word select-a-prompt format for 2024-25; confirm. ACT range from CollegeData (CollegeSimply showed 18-26); grad rate from CollegeSimply. Net price figures could not be verified (NCES and College Scorecard were not reachable); left blank.</t>
  </si>
  <si>
    <t xml:space="preserve">Xavier University of Louisiana</t>
  </si>
  <si>
    <t xml:space="preserve">New Orleans</t>
  </si>
  <si>
    <t xml:space="preserve">LA</t>
  </si>
  <si>
    <t xml:space="preserve">Preferred scholarship deadline Dec 1; all merit scholarships are automatic, no separate application</t>
  </si>
  <si>
    <t xml:space="preserve">No fee (application is free)</t>
  </si>
  <si>
    <t xml:space="preserve">1 counselor</t>
  </si>
  <si>
    <t xml:space="preserve">https://www.xula.edu/admissions/undergraduate-admission/firsttimefreshmen/index.html</t>
  </si>
  <si>
    <t xml:space="preserve">Official page: preferred application deadline March 1, preferred scholarship deadline Dec 1 (year not stated). The written essay (topic above) is only required in lieu of test scores for applicants who do not submit SAT/ACT. Average incoming GPA 3.67 per official page. Admit rate and test ranges from CollegeData (SAT is sum of section percentiles). Enrollment deposit $150 due May 1. Net price figures could not be verified (NCES and College Scorecard were not reachable); left blank.</t>
  </si>
  <si>
    <t xml:space="preserve">Alabama A&amp;M University</t>
  </si>
  <si>
    <t xml:space="preserve">Normal</t>
  </si>
  <si>
    <t xml:space="preserve">https://www.aamu.edu/admissions-aid/undergraduate-admissions/incoming-freshman-students.html</t>
  </si>
  <si>
    <t xml:space="preserve">Official page lists no application deadlines. ACT/SAT required for full admission, but a waiver is available with 2.25 minimum GPA; Composite Predictive Index of 18+ for full acceptance (16 for conditional). No essay or recommendations. Stats are CollegeData (SAT is sum of section percentiles). Verify deadlines and Common App status directly. Net price figures could not be verified (NCES and College Scorecard were not reachable); left blank. Second pass (2026-10-01): no new data added; web fetch proxy returned HTTP 429 and WebSearch budget was exhausted, so remaining gaps are still unverified.</t>
  </si>
  <si>
    <t xml:space="preserve">Alabama State University</t>
  </si>
  <si>
    <t xml:space="preserve">Montgomery</t>
  </si>
  <si>
    <t xml:space="preserve">https://www.commonapp.org/explore/alabama-state-university/</t>
  </si>
  <si>
    <t xml:space="preserve">Common App explore page lists Fall deadline July 30 and Summer May 10 (year not stated). $30 fee. SAT/ACT optional but recommended for scholarship consideration. No essay or recommendation required. Stats are CollegeData (SAT is sum of section percentiles). Scholarship deadlines and school portal details not verified. Net price figures could not be verified (NCES and College Scorecard were not reachable); left blank.</t>
  </si>
  <si>
    <t xml:space="preserve">Jackson State University</t>
  </si>
  <si>
    <t xml:space="preserve">Jackson</t>
  </si>
  <si>
    <t xml:space="preserve">MS</t>
  </si>
  <si>
    <t xml:space="preserve">https://www.jsums.edu/admissions/requirements/freshman/</t>
  </si>
  <si>
    <t xml:space="preserve">Official page lists priority deadline Fall Aug 12 (year not stated). Page says test-optional for 2024-25 and 2025-26 only; confirm 2026-27 policy. Application fee, recs, essay not found. Apply at jsums.edu/apply. Stats are CollegeData (SAT is sum of section percentiles). Net price figures could not be verified (NCES and College Scorecard were not reachable); left blank.</t>
  </si>
  <si>
    <t xml:space="preserve">Southern University and A&amp;M College</t>
  </si>
  <si>
    <t xml:space="preserve">Baton Rouge</t>
  </si>
  <si>
    <t xml:space="preserve">https://www.subr.edu/page/admission-requirements-online</t>
  </si>
  <si>
    <t xml:space="preserve">Rolling admission up to each semester deadline (dates not given on the page read). Apply at apply.subr.edu. Freshmen must submit ACT or SAT; 2.0 minimum GPA and Louisiana Core 4 (or equivalent). Admit rate, test ranges, grad rate not found. Common App status and the PDF application were not read. Net price figures could not be verified (NCES and College Scorecard were not reachable); left blank.</t>
  </si>
  <si>
    <t xml:space="preserve">Grambling State University</t>
  </si>
  <si>
    <t xml:space="preserve">Grambling</t>
  </si>
  <si>
    <t xml:space="preserve">No fee waivers allowed</t>
  </si>
  <si>
    <t xml:space="preserve">https://www.gram.edu/admissions/freshman.php</t>
  </si>
  <si>
    <t xml:space="preserve">Official page lists no deadlines. Minimum scores: ACT 20 composite (or 19 math / 18 English), SAT 1030 total (or 510 ERW / 510 math), or Accuplacer 250 writing/math; 2.0 unweighted GPA. $20 fee, waivers not allowed. Stats are CollegeData 2024-25 (SAT is sum of section percentiles). Net price figures could not be verified (NCES and College Scorecard were not reachable); left blank. Second pass (2026-10-01): no new data added; web fetch proxy returned HTTP 429 and WebSearch budget was exhausted, so remaining gaps are still unverified.</t>
  </si>
  <si>
    <t xml:space="preserve">Tennessee State University</t>
  </si>
  <si>
    <t xml:space="preserve">Nashville</t>
  </si>
  <si>
    <t xml:space="preserve">TN</t>
  </si>
  <si>
    <t xml:space="preserve">School portal; Common Black College App</t>
  </si>
  <si>
    <t xml:space="preserve">https://www.tnstate.edu/admissions/</t>
  </si>
  <si>
    <t xml:space="preserve">Fee ($25) and platforms from official apply page; 2026-27 deadlines not found on official pages fetched. Aggregator lists open admission (HS diploma/GED) with GPA and test scores considered; test policy unverified. Stats: admit rate and net price from CollegeSimply (IPEDS 2023-24); a second aggregator (CollegeTuitionCompare) reported SAT 880-1050 and ACT 16-21 but these were not used because TSU official test policy was not confirmed. Verify deadlines, scholarship priority date and test policy on tnstate.edu.</t>
  </si>
  <si>
    <t xml:space="preserve">Fisk University</t>
  </si>
  <si>
    <t xml:space="preserve">Priority scholarship consideration in Early Action cycles (EA I Nov 1, EA II Feb 1)</t>
  </si>
  <si>
    <t xml:space="preserve">Not confirmed</t>
  </si>
  <si>
    <t xml:space="preserve">https://www.fisk.edu/admissions/apply/</t>
  </si>
  <si>
    <t xml:space="preserve">Deadlines official (Fisk apply page, Fall 2027): EA I Nov 1, EA II Feb 1, RD Jul 15; priority scholarship consideration occurs in the Early Action cycles; incomplete files not reviewed in EA. App fee (reported $0 by aggregator) and test-optional policy are from CollegeSimply, not confirmed on fisk.edu. SAT range is from very few submitters and looks unusually wide; treat with caution. Net price for $0-30k ($27,647) is higher than average net price ($18,595) per CollegeSimply 2023-24. FAFSA required for aid; all scholarships provisional after May 1.</t>
  </si>
  <si>
    <t xml:space="preserve">Prairie View A&amp;M University</t>
  </si>
  <si>
    <t xml:space="preserve">Prairie View</t>
  </si>
  <si>
    <t xml:space="preserve">TX</t>
  </si>
  <si>
    <t xml:space="preserve">ApplyTexas; PANTHER Apply (school portal)</t>
  </si>
  <si>
    <t xml:space="preserve">$40 fee waived with ACT/SAT score or NACAC fee waiver</t>
  </si>
  <si>
    <t xml:space="preserve">https://www.pvamu.edu/admissions/undergraduate/freshman/</t>
  </si>
  <si>
    <t xml:space="preserve">Official freshman page: apply via PANTHER Apply or ApplyTexas; $40 fee (waivable with ACT/SAT score or NACAC waiver); test-optional; automatic admission with Foundation HS Program plus top 35% rank, or 3.2 GPA, or 1060 SAT / 21 ACT. Official deadlines page (pvamu.edu/admissions/application-deadlines/) was not read; aggregator lists March 1, 2027 which is unverified. Stats from CollegeSimply (IPEDS).</t>
  </si>
  <si>
    <t xml:space="preserve">Texas Southern University</t>
  </si>
  <si>
    <t xml:space="preserve">Houston</t>
  </si>
  <si>
    <t xml:space="preserve">ApplyTexas</t>
  </si>
  <si>
    <t xml:space="preserve">Fee waivers available</t>
  </si>
  <si>
    <t xml:space="preserve">https://tsu.edu/admissions/freshman.php</t>
  </si>
  <si>
    <t xml:space="preserve">Official freshman page lists Fall deadline July 15 (year not stated), $42 fee with fee waivers available, ApplyTexas, minimum 2.50 unweighted GPA and ACT 17 / SAT 900. The official page states these minimum scores while CollegeSimply labels the school test-optional for 2026-27, so confirm the current test policy with admissions. Stats from CollegeSimply (IPEDS).</t>
  </si>
  <si>
    <t xml:space="preserve">Norfolk State University</t>
  </si>
  <si>
    <t xml:space="preserve">Norfolk</t>
  </si>
  <si>
    <t xml:space="preserve">https://www.nsu.edu/admissions</t>
  </si>
  <si>
    <t xml:space="preserve">All values are from CollegeSimply (IPEDS-based, 2024-25 admissions and 2023-24 net price) because official .edu pages could not be fetched (fetch tool rate limited). Aggregator shows a Fall 2027 deadline of May 31, 2027, but this looks auto-generated, so deadlines are left blank: confirm 2026-27 deadlines, fee, platform (Common App availability not verified) and recs on the school site. Second pass (2026-10-01): no new data added; web fetch proxy returned HTTP 429 and WebSearch budget was exhausted, so remaining gaps are still unverified.</t>
  </si>
  <si>
    <t xml:space="preserve">Virginia State University</t>
  </si>
  <si>
    <t xml:space="preserve">Petersburg</t>
  </si>
  <si>
    <t xml:space="preserve">https://www.vsu.edu/admissions</t>
  </si>
  <si>
    <t xml:space="preserve">All values are from CollegeSimply (IPEDS-based, 2024-25 admissions and 2023-24 net price) because official .edu pages could not be fetched (fetch tool rate limited). Aggregator shows a Fall 2027 deadline of May 1, 2027, but this looks auto-generated, so deadlines are left blank: confirm 2026-27 deadlines, fee, platform (Common App availability not verified) and recs on the school site. Second pass (2026-10-01): no new data added; web fetch proxy returned HTTP 429 and WebSearch budget was exhausted, so remaining gaps are still unverified.</t>
  </si>
  <si>
    <t xml:space="preserve">Virginia Union University</t>
  </si>
  <si>
    <t xml:space="preserve">Richmond</t>
  </si>
  <si>
    <t xml:space="preserve">https://www.vuu.edu/admissions</t>
  </si>
  <si>
    <t xml:space="preserve">All values are from CollegeSimply (IPEDS-based, 2024-25 admissions and 2023-24 net price) because official .edu pages could not be fetched (fetch tool rate limited). Aggregator shows a Fall 2027 deadline of none listed, but this looks auto-generated, so deadlines are left blank: confirm 2026-27 deadlines, fee, platform (Common App availability not verified) and recs on the school site.  Net price figures are from 2022-23 (older than other schools). SAT range is based on only about 10% of applicants submitting. Second pass (2026-10-01): no new data added; web fetch proxy returned HTTP 429 and WebSearch budget was exhausted, so remaining gaps are still unverified.</t>
  </si>
  <si>
    <t xml:space="preserve">Morgan State University</t>
  </si>
  <si>
    <t xml:space="preserve">Baltimore</t>
  </si>
  <si>
    <t xml:space="preserve">MD</t>
  </si>
  <si>
    <t xml:space="preserve">https://www.morgan.edu/admissions</t>
  </si>
  <si>
    <t xml:space="preserve">All values are from CollegeSimply (IPEDS-based, 2024-25 admissions and 2023-24 net price) because official .edu pages could not be fetched (fetch tool rate limited). Aggregator shows a Fall 2027 deadline of not listed, but this looks auto-generated, so deadlines are left blank: confirm 2026-27 deadlines, fee, platform (Common App availability not verified) and recs on the school site. Second pass (2026-10-01): not completed. Official page fetch returned HTTP 429 and the web search budget was exhausted, so no gaps were filled; all values unchanged and still unverified.</t>
  </si>
  <si>
    <t xml:space="preserve">Bowie State University</t>
  </si>
  <si>
    <t xml:space="preserve">Bowie</t>
  </si>
  <si>
    <t xml:space="preserve">https://www.bowiestate.edu/admissions/</t>
  </si>
  <si>
    <t xml:space="preserve">All values are from CollegeSimply (IPEDS-based, 2024-25 admissions and 2023-24 net price) because official .edu pages could not be fetched (fetch tool rate limited). Aggregator shows a Fall 2027 deadline of May 15, 2027, but this looks auto-generated, so deadlines are left blank: confirm 2026-27 deadlines, fee, platform (Common App availability not verified) and recs on the school site. Second pass (2026-10-01): not completed. Official page fetch returned HTTP 429 and the web search budget was exhausted, so no gaps were filled; all values unchanged and still unverified.</t>
  </si>
  <si>
    <t xml:space="preserve">Coppin State University</t>
  </si>
  <si>
    <t xml:space="preserve">https://www.coppin.edu/admissions</t>
  </si>
  <si>
    <t xml:space="preserve">All values are from CollegeSimply (IPEDS-based, 2024-25 admissions and 2023-24 net price) because official .edu pages could not be fetched (fetch tool rate limited). Aggregator shows a Fall 2027 deadline of July 15, 2027, but this looks auto-generated, so deadlines are left blank: confirm 2026-27 deadlines, fee, platform (Common App availability not verified) and recs on the school site. Second pass (2026-10-01): not completed. Official page fetch returned HTTP 429 and the web search budget was exhausted, so no gaps were filled; all values unchanged and still unverified.</t>
  </si>
  <si>
    <t xml:space="preserve">University of Maryland Eastern Shore</t>
  </si>
  <si>
    <t xml:space="preserve">Princess Anne</t>
  </si>
  <si>
    <t xml:space="preserve">https://www.umes.edu/admissions</t>
  </si>
  <si>
    <t xml:space="preserve">All values are from CollegeSimply (IPEDS-based, 2024-25 admissions and 2023-24 net price) because official .edu pages could not be fetched (fetch tool rate limited). Aggregator shows a Fall 2027 deadline of June 1, 2027, but this looks auto-generated, so deadlines are left blank: confirm 2026-27 deadlines, fee, platform (Common App availability not verified) and recs on the school site.  Aggregator says UMES is test-free (SAT/ACT not used even if submitted). Second pass (2026-10-01): not completed. Official page fetch returned HTTP 429 and the web search budget was exhausted, so no gaps were filled; all values unchanged and still unverified.</t>
  </si>
  <si>
    <t xml:space="preserve">Delaware State University</t>
  </si>
  <si>
    <t xml:space="preserve">Dover</t>
  </si>
  <si>
    <t xml:space="preserve">DE</t>
  </si>
  <si>
    <t xml:space="preserve">https://www.desu.edu/admissions</t>
  </si>
  <si>
    <t xml:space="preserve">All values are from CollegeSimply (IPEDS-based, 2024-25 admissions and 2023-24 net price) because official .edu pages could not be fetched (fetch tool rate limited). Aggregator shows a Fall 2027 deadline of February 1, 2027, but this looks auto-generated, so deadlines are left blank: confirm 2026-27 deadlines, fee, platform (Common App availability not verified) and recs on the school site. Second pass (2026-10-01): not completed. Official page fetch returned HTTP 429 and the web search budget was exhausted, so no gaps were filled; all values unchanged and still unverified.</t>
  </si>
  <si>
    <t xml:space="preserve">Winston-Salem State University</t>
  </si>
  <si>
    <t xml:space="preserve">Winston-Salem</t>
  </si>
  <si>
    <t xml:space="preserve">https://www.wssu.edu/admissions/</t>
  </si>
  <si>
    <t xml:space="preserve">All values are from CollegeSimply (IPEDS-based, 2024-25 admissions and 2023-24 net price) because official .edu pages could not be fetched (fetch tool rate limited). Aggregator shows a Fall 2027 deadline of February 15, 2027, but this looks auto-generated, so deadlines are left blank: confirm 2026-27 deadlines, fee, platform (Common App availability not verified) and recs on the school site. Second pass (2026-10-01): not completed. Official page fetch returned HTTP 429 and the web search budget was exhausted, so no gaps were filled; all values unchanged and still unverified.</t>
  </si>
  <si>
    <t xml:space="preserve">North Carolina Central University</t>
  </si>
  <si>
    <t xml:space="preserve">Durham</t>
  </si>
  <si>
    <t xml:space="preserve">https://www.nccu.edu/admissions</t>
  </si>
  <si>
    <t xml:space="preserve">All values are from CollegeSimply (IPEDS-based, 2024-25 admissions and 2023-24 net price) because official .edu pages could not be fetched (fetch tool rate limited). Aggregator shows a Fall 2027 deadline of August 1, 2027, but this looks auto-generated, so deadlines are left blank: confirm 2026-27 deadlines, fee, platform (Common App availability not verified) and recs on the school site.  SAT/ACT ranges as given by the aggregator (middle 50%); ACT 17-18 looks narrow, verify. Second pass (2026-10-01): not completed. Official page fetch returned HTTP 429 and the web search budget was exhausted, so no gaps were filled; all values unchanged and still unverified.</t>
  </si>
  <si>
    <t xml:space="preserve">Fayetteville State University</t>
  </si>
  <si>
    <t xml:space="preserve">Fayetteville</t>
  </si>
  <si>
    <t xml:space="preserve">https://www.uncfsu.edu/admissions</t>
  </si>
  <si>
    <t xml:space="preserve">All values are from CollegeSimply (IPEDS-based, 2024-25 admissions and 2023-24 net price) because official .edu pages could not be fetched (fetch tool rate limited). Aggregator shows a Fall 2027 deadline of August 1, 2027, but this looks auto-generated, so deadlines are left blank: confirm 2026-27 deadlines, fee, platform (Common App availability not verified) and recs on the school site. Second pass (2026-10-01): not completed. Official page fetch returned HTTP 429 and the web search budget was exhausted, so no gaps were filled; all values unchanged and still unverified.</t>
  </si>
  <si>
    <t xml:space="preserve">Elizabeth City State University</t>
  </si>
  <si>
    <t xml:space="preserve">Elizabeth City</t>
  </si>
  <si>
    <t xml:space="preserve">Common App; Common Black College App; CFNC; School portal</t>
  </si>
  <si>
    <t xml:space="preserve">Common App page lists the ECSU application as free; ecsu.edu lists $30. Confirm with admissions.</t>
  </si>
  <si>
    <t xml:space="preserve">None</t>
  </si>
  <si>
    <t xml:space="preserve">https://www.ecsu.edu/admissions/prospective-students.php</t>
  </si>
  <si>
    <t xml:space="preserve">Fee conflict: official ECSU page says $30, Common App says free. Priority date June 30 (fall) is from Common App page, year not confirmed for Fall 2027. Min 2.5 weighted GPA. Applies via four platforms. Admit rate and test ranges from Niche (aggregator, IPEDS-based); net price not retrieved (NCES blocked). Grad rate 44% from collegetuitioncompare (IPEDS-based aggregator).</t>
  </si>
  <si>
    <t xml:space="preserve">Johnson C. Smith University</t>
  </si>
  <si>
    <t xml:space="preserve">Charlotte</t>
  </si>
  <si>
    <t xml:space="preserve">James B. Duke Presidential Scholarship (tuition, fees, room and board, 8 semesters); application opens 2026-09-01, closes 2026-12-14; test scores required for it</t>
  </si>
  <si>
    <t xml:space="preserve">Niche notes fee may be waived; confirm with admissions</t>
  </si>
  <si>
    <t xml:space="preserve">https://www.jcsu.edu/admissions/freshman-admissions</t>
  </si>
  <si>
    <t xml:space="preserve">Test-optional except for Presidential Scholarship (SAT 1200/ACT 27 plus 3.5 GPA or top 5%). Min GPA 2.5 traditional; Biddle (2.3-2.49) and Sit Lux (2.0-2.29, noncognitive assessment) pathways. Admit rate/test ranges from Niche (aggregator).</t>
  </si>
  <si>
    <t xml:space="preserve">Shaw University</t>
  </si>
  <si>
    <t xml:space="preserve">Raleigh</t>
  </si>
  <si>
    <t xml:space="preserve">Niche says fee may be waived; Common App page lists conflicting 'no fee' flag. Confirm.</t>
  </si>
  <si>
    <t xml:space="preserve">https://www.shawu.edu/Prospective_Students/?section=admissions</t>
  </si>
  <si>
    <t xml:space="preserve">Common App page: test optional, no essay, no recs for first-year. No specific deadlines found; Niche says rolling. Official shawu.edu page did not list deadlines or fees. Niche lists no SAT/ACT range.</t>
  </si>
  <si>
    <t xml:space="preserve">Bennett College</t>
  </si>
  <si>
    <t xml:space="preserve">Optional teacher or counselor letter</t>
  </si>
  <si>
    <t xml:space="preserve">https://www.bennett.edu/admissions/</t>
  </si>
  <si>
    <t xml:space="preserve">Women's college. Fee ($0) and rolling deadline from Niche only; official page lists no fee or deadlines. Official final transcript due Aug 1 (fall). Personal essay required via the school portal. Admit rate/test ranges from Niche.</t>
  </si>
  <si>
    <t xml:space="preserve">Claflin University</t>
  </si>
  <si>
    <t xml:space="preserve">Orangeburg</t>
  </si>
  <si>
    <t xml:space="preserve">SC</t>
  </si>
  <si>
    <t xml:space="preserve">https://www.claflin.edu/admissions-aid/how-to-apply</t>
  </si>
  <si>
    <t xml:space="preserve">Fee ($60), rolling deadline and test-optional status come from Niche only; Claflin's official page says applicants submit transcripts and ACT/SAT scores, so confirm test policy. Apply at apply.claflin.edu. Scholarship deadlines not found.</t>
  </si>
  <si>
    <t xml:space="preserve">South Carolina State University</t>
  </si>
  <si>
    <t xml:space="preserve">https://scsu.edu/admissions/admissions_policies.php</t>
  </si>
  <si>
    <t xml:space="preserve">Official policy page says apply by the December 1 priority deadline (year not stated; assumed Dec 1, 2026). Fee and test policy from Niche only. Apply at apply.scsu.edu.</t>
  </si>
  <si>
    <t xml:space="preserve">Benedict College</t>
  </si>
  <si>
    <t xml:space="preserve">Columbia</t>
  </si>
  <si>
    <t xml:space="preserve">Official page says the $25 fee is currently waived</t>
  </si>
  <si>
    <t xml:space="preserve">https://benedict.edu/office-of-admissions-and-recruitment/</t>
  </si>
  <si>
    <t xml:space="preserve">Official page showed 2025-26 info: fee waived, priority dates Dec 15 (spring) and May 1 (fall); Fall 2027 dates not published. Minimums ACT 17/SAT 850 mentioned. Test policy from Niche.</t>
  </si>
  <si>
    <t xml:space="preserve">Allen University</t>
  </si>
  <si>
    <t xml:space="preserve">https://futureyellowjacket.allenuniversity.edu/default.asp</t>
  </si>
  <si>
    <t xml:space="preserve">All values from Niche; official Allen pages were not readable (redirects). Niche lists no SAT/ACT data. Confirm fee, deadlines and requirements with admissions.</t>
  </si>
  <si>
    <t xml:space="preserve">Bethune-Cookman University</t>
  </si>
  <si>
    <t xml:space="preserve">Daytona Beach</t>
  </si>
  <si>
    <t xml:space="preserve">https://www.cookman.edu/admissionsaid/admissions/deadlines/admissions-dates-and-deadlines.html</t>
  </si>
  <si>
    <t xml:space="preserve">Official Fall 2027 page: priority May 1, final Aug 1; space-based enrollment and scholarship consideration depends on funding. Fee ($0), test policy and portal (wildcat.cookman.edu) from Niche only.</t>
  </si>
  <si>
    <t xml:space="preserve">Edward Waters University</t>
  </si>
  <si>
    <t xml:space="preserve">Jacksonville</t>
  </si>
  <si>
    <t xml:space="preserve">https://www.ewc.edu/admissions/</t>
  </si>
  <si>
    <t xml:space="preserve">Official page: fall deadline May 1 (year not stated), ACT/SAT required with minimums of 14 ACT or 800 SAT; Niche says rolling, $25 fee, and tests not required, so confirm. Stats from Niche.</t>
  </si>
  <si>
    <t xml:space="preserve">Florida Memorial University</t>
  </si>
  <si>
    <t xml:space="preserve">Miami Gardens</t>
  </si>
  <si>
    <t xml:space="preserve">Common App; Common Black College App; School portal</t>
  </si>
  <si>
    <t xml:space="preserve">All three application options are free per fmuniv.edu</t>
  </si>
  <si>
    <t xml:space="preserve">https://www.fmuniv.edu/admissions/first-time-freshman-students</t>
  </si>
  <si>
    <t xml:space="preserve">Official page: apply via FMU portal, Common Black College App or Common App, all free. Min 2.4 GPA; top 20% of class automatically admitted; SAT 700+/ACT 17+ for fall (lower scores may get summer conditional admission). No deadlines found; rolling per Niche.</t>
  </si>
  <si>
    <t xml:space="preserve">Dillard University</t>
  </si>
  <si>
    <t xml:space="preserve">https://www.dillard.edu/admissions-aid/admission-requirements/</t>
  </si>
  <si>
    <t xml:space="preserve">Common App page: no essay, no recs, test optional (first-year). Fee ($40), rolling deadline and stats from Niche only; official deadline and scholarship pages not found.</t>
  </si>
  <si>
    <t xml:space="preserve">Lincoln University (PA)</t>
  </si>
  <si>
    <t xml:space="preserve">Lincoln University</t>
  </si>
  <si>
    <t xml:space="preserve">PA</t>
  </si>
  <si>
    <t xml:space="preserve">https://www.lincoln.edu/admissions</t>
  </si>
  <si>
    <t xml:space="preserve">Common App page: no fee, test optional, no essay, no recs for first-year. Deadlines, admit rate and test data not found; Niche page unavailable. State-related public university. Second pass: official apply page returned HTTP 429, no new values.</t>
  </si>
  <si>
    <t xml:space="preserve">Kentucky State University</t>
  </si>
  <si>
    <t xml:space="preserve">Frankfort</t>
  </si>
  <si>
    <t xml:space="preserve">KY</t>
  </si>
  <si>
    <t xml:space="preserve">https://www.kysu.edu/admissions/</t>
  </si>
  <si>
    <t xml:space="preserve">Common App page: no fee, no recs, tests optional (18 ACT/960 SAT reviewed for placement and scholarship). Min 2.5 unweighted GPA. Niche says Common App not accepted; the Common App page lists KSU, so confirm. Deadlines not found; rolling per Niche.</t>
  </si>
  <si>
    <t xml:space="preserve">Alcorn State University</t>
  </si>
  <si>
    <t xml:space="preserve">Lorman</t>
  </si>
  <si>
    <t xml:space="preserve">https://www.alcorn.edu/admissions</t>
  </si>
  <si>
    <t xml:space="preserve">All values from Niche; official Alcorn pages not readable. 45% overall admit rate (79% in-state). Mostly ACT submitters. Apply at apply.alcorn.edu. Confirm deadlines and test requirement.</t>
  </si>
  <si>
    <t xml:space="preserve">Mississippi Valley State University</t>
  </si>
  <si>
    <t xml:space="preserve">Itta Bena</t>
  </si>
  <si>
    <t xml:space="preserve">https://www.mvsu.edu/admissions</t>
  </si>
  <si>
    <t xml:space="preserve">Applications go through apply.mvsu.edu (school portal). Research not completed: official pages were rate limited and the web search budget was exhausted, so no values were verified. Check the school's admissions site. Second pass: official admissions page confirmed MVSU enrolls via online portal (admissions.mvsu.edu) but lists no deadlines or fees; apply page rate limited. Call 662-254-3347 to confirm.</t>
  </si>
  <si>
    <t xml:space="preserve">Tougaloo College</t>
  </si>
  <si>
    <t xml:space="preserve">Tougaloo</t>
  </si>
  <si>
    <t xml:space="preserve">https://www.tougaloo.edu/admissions</t>
  </si>
  <si>
    <t xml:space="preserve">Official, prior year</t>
  </si>
  <si>
    <t xml:space="preserve">From Tougaloo's undated application PDF (may not be the 2026-27 version): first-year Early Decision Nov 1, Regular Decision Jan 1, $25 fee, official ACT or SAT required, no essay or recommendations. Dates not entered as 2026-27 deadlines because the PDF has no year; confirm on tougaloo.edu. Other fields not researched. Second pass: admissions landing page has no deadlines, fees or test policy; requirements page rate limited. Existing values unverified for 2026-27.</t>
  </si>
  <si>
    <t xml:space="preserve">Philander Smith University</t>
  </si>
  <si>
    <t xml:space="preserve">Little Rock</t>
  </si>
  <si>
    <t xml:space="preserve">AR</t>
  </si>
  <si>
    <t xml:space="preserve">https://www.philander.edu/admissions/new-freshman/</t>
  </si>
  <si>
    <t xml:space="preserve">Per the New Freshman page (undated): applies through the school's online system (not Common App or Common Black College App); SAT/ACT used for course placement only, not admission; no recommendations; needs transcript and 2 MMR immunization records. Fee, deadlines and scholarship dates not found. Remaining fields not researched. Second pass: official new-freshman page says SAT/ACT scores are for course placement only (consistent with optional); no deadlines or fee listed on that page.</t>
  </si>
  <si>
    <t xml:space="preserve">University of the District of Columbia</t>
  </si>
  <si>
    <t xml:space="preserve">https://www.udc.edu/admissions/faq</t>
  </si>
  <si>
    <t xml:space="preserve">UDC FAQ lists an Aug 1 fall deadline for U.S. undergraduates (extended to Aug 7 for fall 2026 per a UDC news headline); no fall 2027 date confirmed, so none entered. Likely open admission, not verified. Fee, test policy and stats not found. Second pass: official FAQ lists Aug 1 as the fall deadline for US students (April 30 for international); year not printed on page, so Aug 1, 2027 is inferred. Fee, tests and recs not confirmed.</t>
  </si>
  <si>
    <t xml:space="preserve">Oakwood University</t>
  </si>
  <si>
    <t xml:space="preserve">Huntsville</t>
  </si>
  <si>
    <t xml:space="preserve">Research not completed: official pages were rate limited and the web search budget was exhausted, so no values were verified. Check the school's admissions site. Second pass: official site rate limited; no new values verified.</t>
  </si>
  <si>
    <t xml:space="preserve">Miles College</t>
  </si>
  <si>
    <t xml:space="preserve">Fairfield</t>
  </si>
  <si>
    <t xml:space="preserve">Stillman College</t>
  </si>
  <si>
    <t xml:space="preserve">Tuscaloosa</t>
  </si>
  <si>
    <t xml:space="preserve">Talladega College</t>
  </si>
  <si>
    <t xml:space="preserve">Talladega</t>
  </si>
  <si>
    <t xml:space="preserve">Research not completed: official pages were rate limited and the web search budget was exhausted, so no values were verified. Check the school's admissions site. Second pass (Oct 1 2026): official page fetches returned HTTP 429 from the shared proxy and the web search budget is exhausted, so no new values were added; remaining blanks are unverified, check the school admissions site.</t>
  </si>
  <si>
    <t xml:space="preserve">Central State University</t>
  </si>
  <si>
    <t xml:space="preserve">Wilberforce</t>
  </si>
  <si>
    <t xml:space="preserve">OH</t>
  </si>
  <si>
    <t xml:space="preserve">Harvard University</t>
  </si>
  <si>
    <t xml:space="preserve">Ivy League</t>
  </si>
  <si>
    <t xml:space="preserve">Cambridge</t>
  </si>
  <si>
    <t xml:space="preserve">MA</t>
  </si>
  <si>
    <t xml:space="preserve">Common App; Coalition; QuestBridge</t>
  </si>
  <si>
    <t xml:space="preserve">No merit aid; need-based only</t>
  </si>
  <si>
    <t xml:space="preserve">Fee waiver available on request if the fee is a hardship</t>
  </si>
  <si>
    <t xml:space="preserve">2 teacher (different subjects) + school report from counselor</t>
  </si>
  <si>
    <t xml:space="preserve">Optional alumni interview (by availability)</t>
  </si>
  <si>
    <t xml:space="preserve">https://college.harvard.edu/admissions/apply/first-year-applicants</t>
  </si>
  <si>
    <t xml:space="preserve">https://www.collegetransitions.com/blog/harvard-supplemental-essay-prompts/</t>
  </si>
  <si>
    <t xml:space="preserve">Restrictive early action (cannot apply to other private early programs). Dates and fee from Harvard page; supplement prompts read from an aggregator (match Harvard's 5 short answers, 150 words each). Interview and CSS Profile not confirmed on the pages read.</t>
  </si>
  <si>
    <t xml:space="preserve">Yale University</t>
  </si>
  <si>
    <t xml:space="preserve">New Haven</t>
  </si>
  <si>
    <t xml:space="preserve">CT</t>
  </si>
  <si>
    <t xml:space="preserve">Common App; Coalition (Scoir); QuestBridge</t>
  </si>
  <si>
    <t xml:space="preserve">Accepts Common App/Coalition fee waivers; QuestBridge is free; automatic for veterans/active duty</t>
  </si>
  <si>
    <t xml:space="preserve">1 counselor + 2 teacher (recent, core academic)</t>
  </si>
  <si>
    <t xml:space="preserve">Required for some</t>
  </si>
  <si>
    <t xml:space="preserve">https://admissions.yale.edu/apply</t>
  </si>
  <si>
    <t xml:space="preserve">https://admissions.yale.edu/essay-topics</t>
  </si>
  <si>
    <t xml:space="preserve">Single-choice early action (Nov 1). Application fee amount is not stated on Yale pages read ($80 is the commonly published fee, confirm in the Common App). Financial aid page says CSS Profile and FAFSA may appear on the aid checklist depending on family circumstances; RD aid deadline Feb 15, 2027, EA aid Nov 1, 2026. Interview policy not found.</t>
  </si>
  <si>
    <t xml:space="preserve">Princeton University</t>
  </si>
  <si>
    <t xml:space="preserve">Princeton</t>
  </si>
  <si>
    <t xml:space="preserve">NJ</t>
  </si>
  <si>
    <t xml:space="preserve">Princeton-specific, ACT, College Board or NACAC waivers accepted; low-income and military applicants qualify without counselor approval</t>
  </si>
  <si>
    <t xml:space="preserve">1 counselor + 2 teacher (different core academic areas); graded written paper required</t>
  </si>
  <si>
    <t xml:space="preserve">Optional alumni interview (not guaranteed)</t>
  </si>
  <si>
    <t xml:space="preserve">https://admission.princeton.edu/apply/application-checklist</t>
  </si>
  <si>
    <t xml:space="preserve">https://www.collegeessayguy.com/blog/princeton-supplemental-essays</t>
  </si>
  <si>
    <t xml:space="preserve">Test-optional for fall 2027 entry (official); testing required again for fall 2028. Single-choice early action. Nov 1 and Jan 1 deadlines come from aggregators, not confirmed on the Princeton pages read. Application fee amount and CSS Profile policy not confirmed. Arts supplement deadlines Nov 6 (EA) and Jan 8 (RD). Prompt wording from aggregators.</t>
  </si>
  <si>
    <t xml:space="preserve">Columbia University</t>
  </si>
  <si>
    <t xml:space="preserve">New York</t>
  </si>
  <si>
    <t xml:space="preserve">NY</t>
  </si>
  <si>
    <t xml:space="preserve">Fee waiver requested through the application</t>
  </si>
  <si>
    <t xml:space="preserve">2 teacher (academic) + school report; engineering needs 1 math or science teacher</t>
  </si>
  <si>
    <t xml:space="preserve">None (Columbia does not use interviews)</t>
  </si>
  <si>
    <t xml:space="preserve">https://undergrad.admissions.columbia.edu/apply/firstyear</t>
  </si>
  <si>
    <t xml:space="preserve">https://www.collegetransitions.com/blog/columbia-supplemental-essay-prompts/</t>
  </si>
  <si>
    <t xml:space="preserve">Binding early decision (Nov 1). Test-optional for 2026-27 (official); SAT/ACT required for fall 2028 entry. Admissions page read still showed Fall 2025 cycle wording, so deadlines and fee should be rechecked. Aid deadlines on that page: Nov 15 (ED), Feb 15 (RD). CSS Profile policy not confirmed. Prompts from an aggregator.</t>
  </si>
  <si>
    <t xml:space="preserve">University of Pennsylvania</t>
  </si>
  <si>
    <t xml:space="preserve">Philadelphia</t>
  </si>
  <si>
    <t xml:space="preserve">Common App or Coalition fee waiver accepted</t>
  </si>
  <si>
    <t xml:space="preserve">1 counselor + 1 teacher (core subject); 1 optional additional</t>
  </si>
  <si>
    <t xml:space="preserve">https://admissions.upenn.edu/how-to-apply/first-year-applicants/application-requirements</t>
  </si>
  <si>
    <t xml:space="preserve">https://www.collegeessayguy.com/blog/upenn-university-pennsylvania-supplemental-essay</t>
  </si>
  <si>
    <t xml:space="preserve">Binding early decision (Nov 1). Aid deadlines: Nov 6 (ED), Feb 1 (RD). Test SAT/ACT required with hardship waiver option; last test dates Oct/Nov 2026 (ED), Dec 2026 (RD). Prompt text read from an aggregator; official page confirms the thank-you note and community prompts plus a school-specific prompt. Interview policy not found.</t>
  </si>
  <si>
    <t xml:space="preserve">Brown University</t>
  </si>
  <si>
    <t xml:space="preserve">Providence</t>
  </si>
  <si>
    <t xml:space="preserve">RI</t>
  </si>
  <si>
    <t xml:space="preserve">Fee waiver available through the application</t>
  </si>
  <si>
    <t xml:space="preserve">1 counselor + 2 teacher (major academic subjects); B.S./PLME needs a math or science teacher</t>
  </si>
  <si>
    <t xml:space="preserve">https://admission.brown.edu/first-year/application-checklist</t>
  </si>
  <si>
    <t xml:space="preserve">https://www.collegetransitions.com/blog/brown-supplemental-essay-prompts/</t>
  </si>
  <si>
    <t xml:space="preserve">Binding early decision (Nov 1). Brown checklist page read still referenced the 2024-25 cycle, so fee and test policy are from a prior-year page (Brown requires SAT/ACT since 2024-25). Prompts from an aggregator and the first prompt lacks its lead-in; verify on Brown's How to Apply page. PLME and BRDD need extra essays. Interview and CSS Profile not confirmed.</t>
  </si>
  <si>
    <t xml:space="preserve">Dartmouth College</t>
  </si>
  <si>
    <t xml:space="preserve">Hanover</t>
  </si>
  <si>
    <t xml:space="preserve">NH</t>
  </si>
  <si>
    <t xml:space="preserve">Need-based aid only; no merit scholarships.</t>
  </si>
  <si>
    <t xml:space="preserve">Fee waiver accepted in place of the fee</t>
  </si>
  <si>
    <t xml:space="preserve">1 counselor + 2 teacher (peer recommendation optional)</t>
  </si>
  <si>
    <t xml:space="preserve">Optional alumni interview when offered</t>
  </si>
  <si>
    <t xml:space="preserve">https://admissions.dartmouth.edu/apply-dartmouth</t>
  </si>
  <si>
    <t xml:space="preserve">https://admissions.dartmouth.edu/glossary-term/writing-supplement</t>
  </si>
  <si>
    <t xml:space="preserve">Official apply page still showed the 2025-26 cycle (ED Nov 1, RD Jan 1); dates assumed unchanged for 2026-27. Writing supplement page is for the Class of 2031 (official, updated July 2026). Binding ED. App fee ($80) and CSS Profile requirement are from general knowledge and were not stated on the fetched page, so confirm. Admit rate, test ranges and grad rate are from CollegeSimply (aggregator); net prices are Tuition Tracker 2026-27 projections.</t>
  </si>
  <si>
    <t xml:space="preserve">Cornell University</t>
  </si>
  <si>
    <t xml:space="preserve">Ithaca</t>
  </si>
  <si>
    <t xml:space="preserve">Fee waiver available through the Common App</t>
  </si>
  <si>
    <t xml:space="preserve">1 counselor + 2 teacher</t>
  </si>
  <si>
    <t xml:space="preserve">https://admissions.cornell.edu/how-to-apply/first-year-applicants</t>
  </si>
  <si>
    <t xml:space="preserve">https://admissions.cornell.edu/how-to-apply/first-year-applicants/cornell-first-year-writing-supplement-prompts</t>
  </si>
  <si>
    <t xml:space="preserve">Official deadlines page appears to be the 2025-26 cycle (ED Nov 1, RD Jan 2; other materials due Nov 13 / Jan 19); dates assumed for 2026-27, confirm. The prompts page is labeled 'Fall 2026 cycle' and may be the prior cycle, so verify the Engineering prompts and any wording changes. Binding ED. Official page lists CSS Profile as required for international and Tata Scholars applicants; domestic aid applicants should confirm requirements on the financial aid site. Fee waivers via Common App. Admit rate, test ranges and grad rate from CollegeSimply (aggregator); net prices are Tuition Tracker 2026-27 projections.</t>
  </si>
  <si>
    <t xml:space="preserve">Stanford University</t>
  </si>
  <si>
    <t xml:space="preserve">Highly Selective</t>
  </si>
  <si>
    <t xml:space="preserve">Stanford</t>
  </si>
  <si>
    <t xml:space="preserve">CA</t>
  </si>
  <si>
    <t xml:space="preserve">Fee waiver available</t>
  </si>
  <si>
    <t xml:space="preserve">1 counselor (school report) + 2 academic teacher</t>
  </si>
  <si>
    <t xml:space="preserve">Optional alumni interview in designated areas (REA early Nov, RD mid-Jan to mid-Feb)</t>
  </si>
  <si>
    <t xml:space="preserve">https://admission.stanford.edu/apply/first-year/index.html</t>
  </si>
  <si>
    <t xml:space="preserve">https://admission.stanford.edu/apply/first-year/apply.html</t>
  </si>
  <si>
    <t xml:space="preserve">Official 2026-27 page (updated Sept 2026): REA Oct 15, RD Jan 5; arts portfolio deadlines Oct 20 (REA) and Dec 10 (RD). Restrictive Early Action is non-binding but limits applying early to other private schools' early programs. Short-answer and essay prompts shown are the official 2026-27 set (the three essays are paraphrased from the summary, see prompts_url for exact wording). CSS Profile requirement not confirmed. Fee $100 per official page. Net price 0_30k is a projected net credit (-$2,880) shown as 0. Admit rate, test ranges and grad rate from CollegeSimply (aggregator); net prices are Tuition Tracker 2026-27 projections.</t>
  </si>
  <si>
    <t xml:space="preserve">Massachusetts Institute of Technology</t>
  </si>
  <si>
    <t xml:space="preserve">School portal; QuestBridge</t>
  </si>
  <si>
    <t xml:space="preserve">2 teacher (one math/science, one humanities/social science/language); counselor letter and school report with transcript</t>
  </si>
  <si>
    <t xml:space="preserve">Alumni interview offered if available; no penalty if unavailable</t>
  </si>
  <si>
    <t xml:space="preserve">https://mitadmissions.org/apply/firstyear/deadlines-requirements/</t>
  </si>
  <si>
    <t xml:space="preserve">https://mitadmissions.org/apply/firstyear/essays-activities-academics/</t>
  </si>
  <si>
    <t xml:space="preserve">MIT uses its own application portal (not Common App or Coalition); QuestBridge finalists use QuestBridge. Deadlines page did not state its cycle (EA Nov 1, RA Jan 4; aid forms due Nov 30 for EA and Feb 15 for RA). Essay prompts on the official page are labeled 2026-27. Essay word limit of 225 comes from an aggregator (official page text said roughly 100-200 words), so confirm in the portal. Deadlines page lists the counselor letter as optional, so confirm whether the counselor report is required; CSS Profile 'Required' is from general knowledge, not the fetched page. MIT EA is non-binding. Net price 0_30k is a projected net credit (-$2,801) shown as 0. Admit rate, test ranges and grad rate from CollegeSimply (aggregator); net prices are Tuition Tracker 2026-27 projections.</t>
  </si>
  <si>
    <t xml:space="preserve">Duke University</t>
  </si>
  <si>
    <t xml:space="preserve">Merit scholarships (e.g., Robertson, A.B. Duke) are awarded through the application process; check admissions site for any separate steps.</t>
  </si>
  <si>
    <t xml:space="preserve">Common App fee waiver for high-need students; counselor endorsement required</t>
  </si>
  <si>
    <t xml:space="preserve">1 counselor + 2 teacher (Pratt: at least one math/science teacher); 1 optional additional recommendation</t>
  </si>
  <si>
    <t xml:space="preserve">Optional alumni interview, assigned by Duke (not requested by applicant)</t>
  </si>
  <si>
    <t xml:space="preserve">https://admissions.duke.edu/apply/</t>
  </si>
  <si>
    <t xml:space="preserve">Official Duke page is labeled 2026-27: ED Nov 2 (binding), RD Jan 4; CSS Profile due Nov 2 for ED and Feb 1 for RD. Duke has no ED II. Test-optional, self-reported scores accepted. Optional 250-word essays (choose one) and optional arts supplement and Glimpse video ($22) exist. Prompt text above is summarized from the page extraction, not verbatim. Admit rate, test ranges (enrolled students, who mostly submit scores) and grad rate from CollegeSimply (aggregator); net prices are Tuition Tracker 2026-27 projections.</t>
  </si>
  <si>
    <t xml:space="preserve">Vanderbilt University</t>
  </si>
  <si>
    <t xml:space="preserve">Official admissions pages could not be read (fetch tool rate-limited by proxy), so deadlines, fee, test policy, recommendations, CSS Profile, interview and supplement prompts are left blank and must be filled from the school's 2026-27 admissions site. Admit rate, test ranges (enrolled students) and grad rate are from CollegeSimply; net prices are Tuition Tracker 2026-27 projections. Platforms listed from general knowledge, confirm. Second pass (Oct 1 2026): official page fetches returned HTTP 429 from the shared proxy and the web search budget is exhausted, so no new values were added; remaining blanks are unverified, check the school admissions site.</t>
  </si>
  <si>
    <t xml:space="preserve">Rice University</t>
  </si>
  <si>
    <t xml:space="preserve">Northwestern University</t>
  </si>
  <si>
    <t xml:space="preserve">Evanston</t>
  </si>
  <si>
    <t xml:space="preserve">IL</t>
  </si>
  <si>
    <t xml:space="preserve">University of Chicago</t>
  </si>
  <si>
    <t xml:space="preserve">Chicago</t>
  </si>
  <si>
    <t xml:space="preserve">Official admissions pages could not be read (fetch tool rate-limited by proxy), so deadlines, fee, test policy, recommendations, CSS Profile, interview and supplement prompts are left blank and must be filled from the school's 2026-27 admissions site. Admit rate, test ranges (enrolled students) and grad rate are from CollegeSimply; net prices are Tuition Tracker 2026-27 projections. Platforms listed from general knowledge, confirm. Net price 0_30k is a projected net credit shown as 0. Second pass (Oct 1 2026): official page fetches returned HTTP 429 from the shared proxy and the web search budget is exhausted, so no new values were added; remaining blanks are unverified, check the school admissions site.</t>
  </si>
  <si>
    <t xml:space="preserve">Johns Hopkins University</t>
  </si>
  <si>
    <t xml:space="preserve">Washington University in St. Louis</t>
  </si>
  <si>
    <t xml:space="preserve">St. Louis</t>
  </si>
  <si>
    <t xml:space="preserve">MO</t>
  </si>
  <si>
    <t xml:space="preserve">University of Notre Dame</t>
  </si>
  <si>
    <t xml:space="preserve">Notre Dame</t>
  </si>
  <si>
    <t xml:space="preserve">IN</t>
  </si>
  <si>
    <t xml:space="preserve">Official admissions pages could not be read (fetch tool rate-limited by proxy), so deadlines, fee, test policy, recommendations, CSS Profile, interview and supplement prompts are left blank and must be filled from the school's 2026-27 admissions site. Admit rate, test ranges (enrolled students) and grad rate are from CollegeSimply; net prices are Tuition Tracker 2026-27 projections. Platforms listed from general knowledge, confirm.</t>
  </si>
  <si>
    <t xml:space="preserve">Georgetown University</t>
  </si>
  <si>
    <t xml:space="preserve">Georgetown application (not Common App)</t>
  </si>
  <si>
    <t xml:space="preserve">Official admissions pages could not be read (fetch tool rate-limited by proxy), so deadlines, fee, test policy, recommendations, CSS Profile, interview and supplement prompts are left blank and must be filled from the school's 2026-27 admissions site. Admit rate, test ranges (enrolled students) and grad rate are from CollegeSimply; net prices are Tuition Tracker 2026-27 projections. Platforms listed from general knowledge, confirm. Georgetown's application platform was not confirmed.</t>
  </si>
  <si>
    <t xml:space="preserve">Tufts University</t>
  </si>
  <si>
    <t xml:space="preserve">Medford</t>
  </si>
  <si>
    <t xml:space="preserve">Wake Forest University</t>
  </si>
  <si>
    <t xml:space="preserve">Davidson College</t>
  </si>
  <si>
    <t xml:space="preserve">Davidson</t>
  </si>
  <si>
    <t xml:space="preserve">Application fee permanently waived for all students</t>
  </si>
  <si>
    <t xml:space="preserve">1 counselor + 2 academic teachers (1 optional peer recommendation)</t>
  </si>
  <si>
    <t xml:space="preserve">https://www.davidson.edu/admission-and-financial-aid/apply/first-year-applicants</t>
  </si>
  <si>
    <t xml:space="preserve">ED I and ED II are binding. CSS Profile and FAFSA plus tax returns via IDOC are listed for all aid applicants (CSS opens Oct 1, 2026). Interview availability not confirmed. Supplement prompt wording came from a summarized official page, so verify exact text and word limits on the Davidson site. Net price figures are older IPEDS-based estimates (about 2020-21) via College Factual (net_price_avg = average net price for aided freshmen; net_price_0_30k = Title IV aided freshmen, $0-30k income); use the school's net price calculator for current cost. Admit rate, test ranges and grad rate are IPEDS 2024-25 via CollegeTuitionCompare (aggregator).</t>
  </si>
  <si>
    <t xml:space="preserve">Amherst College</t>
  </si>
  <si>
    <t xml:space="preserve">Amherst</t>
  </si>
  <si>
    <t xml:space="preserve">Fee waiver via Common App, Coalition or QuestBridge; Amherst Quick Pass waiver for first-gen and low-income students</t>
  </si>
  <si>
    <t xml:space="preserve">1 counselor + 2 teachers (English, math, science, social studies or language)</t>
  </si>
  <si>
    <t xml:space="preserve">https://www.amherst.edu/admission/apply/firstyear</t>
  </si>
  <si>
    <t xml:space="preserve">https://www.koppelmangroup.com/blog/2026/7/15/how-to-write-the-amherst-supplement-2026-2027</t>
  </si>
  <si>
    <t xml:space="preserve">Deadlines, fee, test policy and recs are from official Amherst pages (2026-27). ED is binding. Supplement has alternative Option B (graded analytical paper) and Option C (Access to Amherst applicants); prompts text read from the Koppelman Group blog (aggregator), not the Amherst page. CSS Profile status not confirmed this pass. Net price figures are older IPEDS-based estimates (about 2020-21) via College Factual (net_price_avg = average net price for aided freshmen; net_price_0_30k = Title IV aided freshmen, $0-30k income); use the school's net price calculator for current cost. Admit rate, test ranges and grad rate are IPEDS 2024-25 via CollegeTuitionCompare (aggregator).</t>
  </si>
  <si>
    <t xml:space="preserve">Williams College</t>
  </si>
  <si>
    <t xml:space="preserve">Williamstown</t>
  </si>
  <si>
    <t xml:space="preserve">Fee waiver request on Common App or Coalition; does not disadvantage application</t>
  </si>
  <si>
    <t xml:space="preserve">1 counselor + 2 teachers</t>
  </si>
  <si>
    <t xml:space="preserve">None (Williams does not conduct interviews)</t>
  </si>
  <si>
    <t xml:space="preserve">https://www.williams.edu/admission-aid/how-to-apply/first-year/</t>
  </si>
  <si>
    <t xml:space="preserve">No required school-specific essay; optional academic writing sample (under 6 pages recommended), arts portfolio, research abstract. ED binding, no ED II. Page does not state the year of dates; Nov 15 and Jan 4 are as published. SAT/ACT 25th-75th ranges not retrieved (median SAT 1540, ACT 34). Meets 100 percent of demonstrated need, no loans. CSS Profile status not confirmed this pass. Net price figures are older IPEDS-based estimates (about 2020-21) via College Factual (net_price_avg = average net price for aided freshmen; net_price_0_30k = Title IV aided freshmen, $0-30k income); use the school's net price calculator for current cost. Admit rate, test ranges and grad rate are IPEDS 2024-25 via CollegeTuitionCompare (aggregator).</t>
  </si>
  <si>
    <t xml:space="preserve">Swarthmore College</t>
  </si>
  <si>
    <t xml:space="preserve">Swarthmore</t>
  </si>
  <si>
    <t xml:space="preserve">Fee waivers available through multiple organizations and counselor request</t>
  </si>
  <si>
    <t xml:space="preserve">School report from counselor + 2 academic teachers</t>
  </si>
  <si>
    <t xml:space="preserve">https://www.swarthmore.edu/admissions-aid/application-materials-deadlines</t>
  </si>
  <si>
    <t xml:space="preserve">https://www.koppelmangroup.com/blog/2026/9/19/how-to-write-the-swarthmore-supplement-2026-2027</t>
  </si>
  <si>
    <t xml:space="preserve">Deadlines, fee, test policy and interview from official Swarthmore page (2026-27 cycle); prompt wording read from Koppelman Group (aggregator) and matches the official page's two-prompt description. ED I and ED II binding. CSS Profile status not confirmed this pass. Net price figures are older IPEDS-based estimates (about 2020-21) via College Factual (net_price_avg = average net price for aided freshmen; net_price_0_30k = Title IV aided freshmen, $0-30k income); use the school's net price calculator for current cost. Admit rate, test ranges and grad rate are IPEDS 2024-25 via CollegeTuitionCompare (aggregator).</t>
  </si>
  <si>
    <t xml:space="preserve">Pomona College</t>
  </si>
  <si>
    <t xml:space="preserve">Claremont</t>
  </si>
  <si>
    <t xml:space="preserve">Pomona Access Pass form for applicants with financial hardship</t>
  </si>
  <si>
    <t xml:space="preserve">1 counselor + 2 core academic teachers (plus mid-year report by Feb 15)</t>
  </si>
  <si>
    <t xml:space="preserve">https://www.pomona.edu/admissions/paths-apply</t>
  </si>
  <si>
    <t xml:space="preserve">Pomona-specific essay prompts are required but could not be retrieved in this pass (source rate limited), so supplements is empty: check Pomona's site or Common App. The official page lists Nov 8 / Jan 8 / Jan 8 without stating the year; confirm they apply to 2026-27. ED I and II binding. CSS Profile status not confirmed this pass. Net price figures are older IPEDS-based estimates (about 2020-21) via College Factual (net_price_avg = average net price for aided freshmen; net_price_0_30k = Title IV aided freshmen, $0-30k income); use the school's net price calculator for current cost. Admit rate, test ranges and grad rate are IPEDS 2024-25 via CollegeTuitionCompare (aggregator).</t>
  </si>
  <si>
    <t xml:space="preserve">Wellesley College</t>
  </si>
  <si>
    <t xml:space="preserve">Wellesley</t>
  </si>
  <si>
    <t xml:space="preserve">OFFICIAL ADMISSIONS PAGES AND SUPPLEMENT PROMPTS WERE NOT RETRIEVED: the research fetch proxy was rate limited (HTTP 429) before this college's official pages could be read, so deadlines, fee, test policy, recs, CSS Profile, interview and supplements are left blank and must be filled from the official site. Common App listing is assumed from general knowledge, not verified. Net price figures are older IPEDS-based estimates (about 2020-21) via College Factual (net_price_avg = average net price for aided freshmen; net_price_0_30k = Title IV aided freshmen, $0-30k income); use the school's net price calculator for current cost. Admit rate, test ranges and grad rate are IPEDS 2024-25 via CollegeTuitionCompare (aggregator).</t>
  </si>
  <si>
    <t xml:space="preserve">Bowdoin College</t>
  </si>
  <si>
    <t xml:space="preserve">ME</t>
  </si>
  <si>
    <t xml:space="preserve">Carnegie Mellon University</t>
  </si>
  <si>
    <t xml:space="preserve">Pittsburgh</t>
  </si>
  <si>
    <t xml:space="preserve">New York University</t>
  </si>
  <si>
    <t xml:space="preserve">University of Southern California</t>
  </si>
  <si>
    <t xml:space="preserve">Los Angeles</t>
  </si>
  <si>
    <t xml:space="preserve">Boston University</t>
  </si>
  <si>
    <t xml:space="preserve">Boston</t>
  </si>
  <si>
    <t xml:space="preserve">Boston College</t>
  </si>
  <si>
    <t xml:space="preserve">Chestnut Hill</t>
  </si>
  <si>
    <t xml:space="preserve">Northeastern University</t>
  </si>
  <si>
    <t xml:space="preserve">Tulane University</t>
  </si>
  <si>
    <t xml:space="preserve">Case Western Reserve University</t>
  </si>
  <si>
    <t xml:space="preserve">University of Rochester</t>
  </si>
  <si>
    <t xml:space="preserve">Rochester</t>
  </si>
  <si>
    <t xml:space="preserve">Common App; Coalition</t>
  </si>
  <si>
    <t xml:space="preserve">Not confirmed on official pages</t>
  </si>
  <si>
    <t xml:space="preserve">Optional (available)</t>
  </si>
  <si>
    <t xml:space="preserve">https://admissions.rochester.edu/apply/</t>
  </si>
  <si>
    <t xml:space="preserve">Both ED rounds are binding. Official pages do not state the cycle year; dates assumed for 2026-27. Materials deadlines: ED I Dec 1, ED II Feb 1, RD Feb 15. CSS Profile code 2928 and FAFSA due Dec 1 (ED I). Fee ($50), admit rate and test ranges from College Board BigFuture (aggregator). Graduation rate not found. Net price figures (average and $0-30k) come from CollegeFactual (aggregator built on federal data); admit rate, test ranges and graduation rate not confirmed from NCES (blocked) unless stated.</t>
  </si>
  <si>
    <t xml:space="preserve">Vassar College</t>
  </si>
  <si>
    <t xml:space="preserve">Poughkeepsie</t>
  </si>
  <si>
    <t xml:space="preserve">Fee waiver via Common App or Coalition</t>
  </si>
  <si>
    <t xml:space="preserve">Optional informational alumni interview (non-evaluative)</t>
  </si>
  <si>
    <t xml:space="preserve">https://www.vassar.edu/admission/apply</t>
  </si>
  <si>
    <t xml:space="preserve">https://www.vassar.edu/admission/apply/requirements/</t>
  </si>
  <si>
    <t xml:space="preserve">Requirements page showed 2024-25 labels (ED I Nov 15, ED II and RD Jan 1, $65 fee); the main apply page lists the same dates without a year. 2026-27 dates assumed unchanged. No required supplement; optional 'Your Space' creative submission. CSS Profile not confirmed. Net price figures (average and $0-30k) come from CollegeFactual (aggregator built on federal data); admit rate, test ranges and graduation rate not confirmed from NCES (blocked) unless stated.</t>
  </si>
  <si>
    <t xml:space="preserve">Grinnell College</t>
  </si>
  <si>
    <t xml:space="preserve">Grinnell</t>
  </si>
  <si>
    <t xml:space="preserve">IA</t>
  </si>
  <si>
    <t xml:space="preserve">Optional (recommended)</t>
  </si>
  <si>
    <t xml:space="preserve">https://www.grinnell.edu/admission/apply/first-year</t>
  </si>
  <si>
    <t xml:space="preserve">https://www.grinnell.edu/admission/apply/first-year/requirements</t>
  </si>
  <si>
    <t xml:space="preserve">Official page lists the 2026-27 cycle. One optional short answer (200-450 words) on how background and perspectives align with Grinnell's values of diversity and the common good; exact prompt text not captured. Applicants must declare score-submission choice by deadline and cannot change it afterward. CSS Profile requirement not confirmed. Net price figures (average and $0-30k) come from CollegeFactual (aggregator built on federal data); admit rate, test ranges and graduation rate not confirmed from NCES (blocked) unless stated.</t>
  </si>
  <si>
    <t xml:space="preserve">Barnard College</t>
  </si>
  <si>
    <t xml:space="preserve">Fee waiver request accepted</t>
  </si>
  <si>
    <t xml:space="preserve">None (optional Glimpse video)</t>
  </si>
  <si>
    <t xml:space="preserve">https://barnard.edu/admissions/the-application-process</t>
  </si>
  <si>
    <t xml:space="preserve">ED is binding; no ED II. Test-optional through 2027. Second prompt text was relayed from a summary of the official page, so check wording before students draft. CSS Profile not confirmed. Net price figures (average and $0-30k) come from CollegeFactual (aggregator built on federal data); admit rate, test ranges and graduation rate not confirmed from NCES (blocked) unless stated.</t>
  </si>
  <si>
    <t xml:space="preserve">Smith College</t>
  </si>
  <si>
    <t xml:space="preserve">Northampton</t>
  </si>
  <si>
    <t xml:space="preserve">Optional alumni interview</t>
  </si>
  <si>
    <t xml:space="preserve">https://www.smith.edu/admission-aid/apply-smith/first-year-applicants</t>
  </si>
  <si>
    <t xml:space="preserve">Official page showed 2025-26 deadlines (ED I Nov 15, ED II Jan 5, RD Jan 15); 2026-27 dates assumed the same. No application fee. Optional art supplement via SlideRoom. Required supplement not found. CSS Profile not confirmed. Net price figures (average and $0-30k) come from CollegeFactual (aggregator built on federal data); admit rate, test ranges and graduation rate not confirmed from NCES (blocked) unless stated.</t>
  </si>
  <si>
    <t xml:space="preserve">Hamilton College</t>
  </si>
  <si>
    <t xml:space="preserve">Clinton</t>
  </si>
  <si>
    <t xml:space="preserve">1 counselor + 1 teacher (second teacher optional)</t>
  </si>
  <si>
    <t xml:space="preserve">https://www.hamilton.edu/admission/apply/first-year</t>
  </si>
  <si>
    <t xml:space="preserve">Official page does not state the cycle year. Optional items: supplemental short answer, Hamilton Hello 60-second video, arts supplement (prompt text not on the page, available in applicant portal). CSS Profile not confirmed. Net price figures (average and $0-30k) come from CollegeFactual (aggregator built on federal data); admit rate, test ranges and graduation rate not confirmed from NCES (blocked) unless stated.</t>
  </si>
  <si>
    <t xml:space="preserve">Colby College</t>
  </si>
  <si>
    <t xml:space="preserve">Waterville</t>
  </si>
  <si>
    <t xml:space="preserve">Described as free to apply; verify</t>
  </si>
  <si>
    <t xml:space="preserve">Optional (InitialView or video interviews)</t>
  </si>
  <si>
    <t xml:space="preserve">https://afa.colby.edu/</t>
  </si>
  <si>
    <t xml:space="preserve">https://afa.colby.edu/apply/requirements/</t>
  </si>
  <si>
    <t xml:space="preserve">Requirements page modified July 2026 and says free to apply (fee of $0 per that page; confirm). Dates page has no year. Financial aid deadlines: CSS Profile and FAFSA Nov 15 (ED I), Jan 4 (ED II), Jan 15 (RD). Supplemental prompts not found on requirements page. Net price figures (average and $0-30k) come from CollegeFactual (aggregator built on federal data); admit rate, test ranges and graduation rate not confirmed from NCES (blocked) unless stated.</t>
  </si>
  <si>
    <t xml:space="preserve">Middlebury College</t>
  </si>
  <si>
    <t xml:space="preserve">Middlebury</t>
  </si>
  <si>
    <t xml:space="preserve">VT</t>
  </si>
  <si>
    <t xml:space="preserve">At least 2 teacher + counselor (school report)</t>
  </si>
  <si>
    <t xml:space="preserve">Optional alumni interview (Glimpse video alternative)</t>
  </si>
  <si>
    <t xml:space="preserve">https://www.middlebury.edu/college/admissions/application-instructions-and-deadlines</t>
  </si>
  <si>
    <t xml:space="preserve">Page gives no year; Nov 2 and Jan 4 fall on weekdays in 2026-27, so treated as current. Application fee not found. No supplemental essay required. CSS Profile not required for domestic first-year applicants (international must submit). Admit rate and SAT/ACT ranges are Class of 2030 profile figures from the school. Net price figures (average and $0-30k) come from CollegeFactual (aggregator built on federal data); admit rate, test ranges and graduation rate not confirmed from NCES (blocked) unless stated.</t>
  </si>
  <si>
    <t xml:space="preserve">Bates College</t>
  </si>
  <si>
    <t xml:space="preserve">Lewiston</t>
  </si>
  <si>
    <t xml:space="preserve">1 counselor + 1 teacher (up to 2 teachers; optional non-academic recommender)</t>
  </si>
  <si>
    <t xml:space="preserve">https://www.bates.edu/admission/apply/</t>
  </si>
  <si>
    <t xml:space="preserve">ED I and ED II exist but dates could not be confirmed: the Bates page showed Dec 1, Feb 1, Feb 15 and QuestBridge Match Nov 15 (these look like financial aid and Match dates), while the QuestBridge partner page lists RD Jan 10 (year not stated). Verify ED dates with Bates before advising. No supplemental essay required (optional arts supplement). CSS Profile required for aid per QuestBridge partner page (code 3076). Bates has been test optional since 1984. Net price figures (average and $0-30k) come from CollegeFactual (aggregator built on federal data); admit rate, test ranges and graduation rate not confirmed from NCES (blocked) unless stated.</t>
  </si>
  <si>
    <t xml:space="preserve">University of Richmond</t>
  </si>
  <si>
    <t xml:space="preserve">https://admission.richmond.edu/process/index.html</t>
  </si>
  <si>
    <t xml:space="preserve">Only the ED page was readable (admission.richmond.edu main pages blocked by robots). ED I Nov 1 (credentials Nov 15), ED II Jan 1 (credentials Jan 15); cycle year not stated, assumed 2026-27. ED is binding and requires a signed agreement form. RD deadline, fee, test policy, recommendations, CSS Profile and supplements not confirmed. Platforms list assumes Common App only; verify. Net price not retrieved (rate limited).</t>
  </si>
  <si>
    <t xml:space="preserve">Washington and Lee University</t>
  </si>
  <si>
    <t xml:space="preserve">Lexington</t>
  </si>
  <si>
    <t xml:space="preserve">Johnson Scholarship applicants submit an additional supplemental essay (800 words max) by Dec 1, 2026</t>
  </si>
  <si>
    <t xml:space="preserve">Optional but recommended</t>
  </si>
  <si>
    <t xml:space="preserve">https://www.wlu.edu/admissions/apply</t>
  </si>
  <si>
    <t xml:space="preserve">Official page states the 2026-27 cycle. Application fee not stated on page. FAFSA and CSS Profile listed as financial aid forms. General supplement not found. Net price, admit rate and test ranges not retrieved (rate limited).</t>
  </si>
  <si>
    <t xml:space="preserve">University of Florida</t>
  </si>
  <si>
    <t xml:space="preserve">Southeast Public</t>
  </si>
  <si>
    <t xml:space="preserve">Fee waivers available for qualified students</t>
  </si>
  <si>
    <t xml:space="preserve">https://admissions.ufl.edu/apply/freshman/</t>
  </si>
  <si>
    <t xml:space="preserve">https://www.collegeessayguy.com/blog/university-florida-supplemental-essays</t>
  </si>
  <si>
    <t xml:space="preserve">New binding Early Decision for Fall 2027 (Oct 15, 2026; decisions Dec 11) confirmed by UF news. UF's deadlines page still showed 2025-26 dates (EA Nov 1, RD Jan 15, materials one week later); EA and RD dates here are projected from that pattern since UF says they are unchanged; verify. Test scores appear to be required (SAT, ACT or CLT, superscored, self-report allowed). Supplement prompts come from College Essay Guy (aggregator); honors essay (150-400 words) and other optional prompts exist. Net price, admit rate and test ranges not retrieved (rate limited).</t>
  </si>
  <si>
    <t xml:space="preserve">Florida State University</t>
  </si>
  <si>
    <t xml:space="preserve">Common App; FSU Application</t>
  </si>
  <si>
    <t xml:space="preserve">College Board, ACT and NACAC waivers cover the fee (including Common App $5 processing fee)</t>
  </si>
  <si>
    <t xml:space="preserve">None (not used in decisions)</t>
  </si>
  <si>
    <t xml:space="preserve">https://admissions.fsu.edu/freshman/</t>
  </si>
  <si>
    <t xml:space="preserve">Official page headed Fall 2027. EA is for Florida residents only (Oct 15, materials Oct 22, decision Dec 17); ED is binding, domestic only (same dates). RD Dec 1 (materials Dec 8, decision Feb 18). Final Rolling round: application Mar 1, materials Mar 8. Common App adds a $5 processing fee. Scores must be self-reported in the FSU portal (Common App self-report not accepted). Essay and resume/activity list required via admissions portal; no specific prompt published on page. Net price, admit rate and test ranges not retrieved (rate limited).</t>
  </si>
  <si>
    <t xml:space="preserve">University of Central Florida</t>
  </si>
  <si>
    <t xml:space="preserve">Orlando</t>
  </si>
  <si>
    <t xml:space="preserve">Common App; UCF Application</t>
  </si>
  <si>
    <t xml:space="preserve">Meeting early action deadlines (apply Oct 15, materials Nov 15) gives priority for merit scholarships</t>
  </si>
  <si>
    <t xml:space="preserve">Fee waivers available (confirm)</t>
  </si>
  <si>
    <t xml:space="preserve">https://www.ucf.edu/admissions/undergraduate/freshman/</t>
  </si>
  <si>
    <t xml:space="preserve">Page is labeled Fall 2027 but printed the early date as Oct 15, 2027, an apparent typo for 2026; materials Nov 15, decisions about Dec 4. Regular deadline May 1, 2027 with rolling notifications beginning in January. SAT, ACT or CLT accepted; whether scores are required not stated on the page. Essay encouraged but not required. Recommendations not confirmed. Net price, admit rate and test ranges not retrieved (rate limited).</t>
  </si>
  <si>
    <t xml:space="preserve">University of South Florida</t>
  </si>
  <si>
    <t xml:space="preserve">Tampa</t>
  </si>
  <si>
    <t xml:space="preserve">Common App; USF Application</t>
  </si>
  <si>
    <t xml:space="preserve">Application and materials by the Scholarship Consideration Deadline (Jan 15, 2027) are automatically considered for merit scholarships</t>
  </si>
  <si>
    <t xml:space="preserve">https://www.usf.edu/admissions/freshmen/</t>
  </si>
  <si>
    <t xml:space="preserve">https://www.usf.edu/admissions/freshmen/admission-information/academic-requirements.aspx</t>
  </si>
  <si>
    <t xml:space="preserve">EA application Nov 2, 2026 (materials Nov 16, decisions Dec 9); RD application Dec 16, 2026 (materials Jan 15, decisions Feb 10). EA gives best chance at preferred campus and term. At least one entrance exam (SAT, ACT or CLT) required and superscored. No essay requested. Net price, admit rate and test ranges not retrieved (rate limited).</t>
  </si>
  <si>
    <t xml:space="preserve">Florida International University</t>
  </si>
  <si>
    <t xml:space="preserve">Miami</t>
  </si>
  <si>
    <t xml:space="preserve">SAT/ACT fee waiver accepted (indicate it on the Common App)</t>
  </si>
  <si>
    <t xml:space="preserve">https://admissions.fiu.edu/how-to-apply/freshman-applicant/</t>
  </si>
  <si>
    <t xml:space="preserve">Deadlines are complete-application-with-documents dates: EA Nov 2 2026, Regular Dec 16 2026 (decisions Jan 21), Final Mar 2 2027 (RD field holds the final date). Test scores (SAT/ACT/CLT) required; ACT composite uses English, math, reading only. Apply via Common App only (no separate FIU application if Common App used). Admit rate: IPEDS-based 54.7% (PrepScholar lists 60.9%). Net price, grad rate and SAT/ACT ranges from aggregators (older IPEDS years); verify on College Navigator.</t>
  </si>
  <si>
    <t xml:space="preserve">University of Alabama</t>
  </si>
  <si>
    <t xml:space="preserve">Automatic merit scholarships by ACT/SAT and GPA; application and official test scores due Dec 4 for Summer/Fall 2027; competitive scholarships (e.g., Competitive Achievement, Alabama Prestige) have separate deadlines and applications</t>
  </si>
  <si>
    <t xml:space="preserve">Free for Alabama residents; $50 for out-of-state; fee waivers available (confirm process with admissions)</t>
  </si>
  <si>
    <t xml:space="preserve">https://admissions.ua.edu/apply/</t>
  </si>
  <si>
    <t xml:space="preserve">Test scores required only if HS GPA is below 3.0, but scores are needed for automatic scholarship awards (single-sitting composite/total, no superscore for scholarships). Priority Dec 4 for Summer/Fall; admission is rolling. Apply via Common App or UA Undergraduate App. Net price and grad rate not collected.</t>
  </si>
  <si>
    <t xml:space="preserve">Auburn University</t>
  </si>
  <si>
    <t xml:space="preserve">Auburn</t>
  </si>
  <si>
    <t xml:space="preserve">Scholarship priority: complete the AUSOM (Auburn University Scholarship Opportunity Manager) application by early February; exact date not confirmed</t>
  </si>
  <si>
    <t xml:space="preserve">Fee waivers available for qualifying students (SAT/ACT/Common App waivers)</t>
  </si>
  <si>
    <t xml:space="preserve">https://auburn.edu/admissions/faq.php</t>
  </si>
  <si>
    <t xml:space="preserve">EA Dec 1 2026; RD Feb 1 2027; updated test scores by Jan 11 2027. SAT/ACT superscoring; no writing supplement; no recommendations. Stats from PrepScholar (aggregator).</t>
  </si>
  <si>
    <t xml:space="preserve">University of Alabama at Birmingham</t>
  </si>
  <si>
    <t xml:space="preserve">Birmingham</t>
  </si>
  <si>
    <t xml:space="preserve">Merit scholarships need no separate application; scholarship consideration deadline Jan 15 2027 for in-state, May 1 2027 for out-of-state</t>
  </si>
  <si>
    <t xml:space="preserve">https://www.uab.edu/admissions/apply/freshman/how-to-apply</t>
  </si>
  <si>
    <t xml:space="preserve">Rolling admission; priority dates May 15 (Summer) and Jun 1 (Fall) 2027. Test-optional for GPA 3.5+; the test-optional choice is final once submitted. SAT/ACT ranges from PrepScholar and likely only reflect students who submitted scores. Net price and grad rate not collected.</t>
  </si>
  <si>
    <t xml:space="preserve">University of Tennessee, Knoxville</t>
  </si>
  <si>
    <t xml:space="preserve">Knoxville</t>
  </si>
  <si>
    <t xml:space="preserve">Fee waivers for eligible US citizens/permanent residents</t>
  </si>
  <si>
    <t xml:space="preserve">https://admissions.utk.edu/undergraduate-application/first-year-student/</t>
  </si>
  <si>
    <t xml:space="preserve">https://www.kolly.ai/essay-prompts/the-university-of-tennessee-knoxville</t>
  </si>
  <si>
    <t xml:space="preserve">Submission deadlines EA Nov 1 and RD Jan 5; materials deadlines Nov 15 and Jan 20. Official page lists ACT/SAT as required. Apply via Go Vols or Common App plus self-reported STARS transcript. Only the Common App personal statement is required; an optional extenuating-circumstances statement exists (listed by aggregator). Engineering needs SPI of 60+ (core GPA x 10 + ACT math). Stats from PrepScholar.</t>
  </si>
  <si>
    <t xml:space="preserve">Clemson University</t>
  </si>
  <si>
    <t xml:space="preserve">Clemson</t>
  </si>
  <si>
    <t xml:space="preserve">Common App; Coalition; School portal</t>
  </si>
  <si>
    <t xml:space="preserve">Apply by Jan 1 with materials by Jan 10 for merit scholarship consideration</t>
  </si>
  <si>
    <t xml:space="preserve">Fee waiver based on financial need answers in the application; also ask state counselor</t>
  </si>
  <si>
    <t xml:space="preserve">https://www.clemson.edu/admissions/undergraduate-admissions/apply/first-year.html</t>
  </si>
  <si>
    <t xml:space="preserve">https://www.commonapp.org/explore/clemson-university/</t>
  </si>
  <si>
    <t xml:space="preserve">EA app Oct 15 / materials Nov 1; RD app Jan 1 / materials Jan 10; final deadline May 1. No writing supplement or recommendations. Superscores SAT and ACT. Self-reported transcript via STARS. No preference among Clemson App, Coalition, Common App. Stats from PrepScholar.</t>
  </si>
  <si>
    <t xml:space="preserve">University of South Carolina</t>
  </si>
  <si>
    <t xml:space="preserve">Honors College application deadline Nov 15 (credentials Dec 1) with one recommendation; scholarship details not confirmed</t>
  </si>
  <si>
    <t xml:space="preserve">None (Honors College requires 1 letter)</t>
  </si>
  <si>
    <t xml:space="preserve">https://www.sc.edu/about/offices_and_divisions/undergraduate_admissions/apply/for_freshmen/index.php</t>
  </si>
  <si>
    <t xml:space="preserve">https://www.sc.edu/about/offices_and_divisions/undergraduate_admissions/documents/2026-2027_application_guide.pdf</t>
  </si>
  <si>
    <t xml:space="preserve">Deadlines from the official 2026-27 application guide: EA application Oct 15 (credentials Nov 1); Honors College Nov 15 (credentials Dec 1; the Priority field holds this date); RD Dec 1 (credentials Jan 15). Test-optional through 2027 entry; superscores. Only the Common App/USC personal essay required (250-650 words). Application fee amount not confirmed. SAT/ACT waivers accepted for fee even without scores.</t>
  </si>
  <si>
    <t xml:space="preserve">College of Charleston</t>
  </si>
  <si>
    <t xml:space="preserve">Charleston</t>
  </si>
  <si>
    <t xml:space="preserve">Fee waivers available (confirm with admissions)</t>
  </si>
  <si>
    <t xml:space="preserve">Optional (up to 2 letters)</t>
  </si>
  <si>
    <t xml:space="preserve">https://charleston.edu/admission/apply/undergraduate/index.php</t>
  </si>
  <si>
    <t xml:space="preserve">ED I and EA both Nov 2 2026; ED II and RD both Jan 15 2027 (ED is binding). SAT/ACT ranges from the official page (submitters only); admit rate from PrepScholar (aggregator). Apply via College of Charleston App or Common App.</t>
  </si>
  <si>
    <t xml:space="preserve">University of North Carolina at Chapel Hill</t>
  </si>
  <si>
    <t xml:space="preserve">Chapel Hill</t>
  </si>
  <si>
    <t xml:space="preserve">Fee waiver via school counselor</t>
  </si>
  <si>
    <t xml:space="preserve">1 teacher (core academic subject) plus school report/transcript</t>
  </si>
  <si>
    <t xml:space="preserve">https://admissions.unc.edu/apply/types-of-applications/first-year/</t>
  </si>
  <si>
    <t xml:space="preserve">EA is non-binding (decisions by Dec 20 for NC residents, by Feb 15 for others); RD decisions Mar 31. Test-optional with weighted GPA 2.8+. UNC requires short-answer supplement responses, but the 2026-27 prompts could not be verified (the official prompts page and search were unavailable); two conflicting aggregator versions exist, so supplements are left empty. Out-of-state admit rate is lower than the overall rate (NC residents favored; 18% out-of-state cap).</t>
  </si>
  <si>
    <t xml:space="preserve">North Carolina State University</t>
  </si>
  <si>
    <t xml:space="preserve">Fee waivers available with documentation</t>
  </si>
  <si>
    <t xml:space="preserve">https://admissions.ncsu.edu/apply/first-year/</t>
  </si>
  <si>
    <t xml:space="preserve">https://www.collegetransitions.com/blog/nc-state-supplemental-essay-prompts/</t>
  </si>
  <si>
    <t xml:space="preserve">Official page: EA Nov 1 applies to studio-based majors only (with portfolio and design essay); all others RD Jan 15 2027. Test-optional for weighted GPA 2.8+; self-reported scores. Honors essay due Nov 1 per official page. Prompt wording from aggregators (College Transitions and NextAdmit agree on the major prompt; the honors prompt wording and word count differ between them, 600 words used per NextAdmit and the official page).</t>
  </si>
  <si>
    <t xml:space="preserve">University of North Carolina at Charlotte</t>
  </si>
  <si>
    <t xml:space="preserve">https://admissions.charlotte.edu/apply/first-year-students/application-requirements/</t>
  </si>
  <si>
    <t xml:space="preserve">Research incomplete: official admissions pages could not be read (WebFetch proxy rate-limited, search budget exhausted). Deadlines, fee, policies not verified. Stats from PrepScholar only.</t>
  </si>
  <si>
    <t xml:space="preserve">Appalachian State University</t>
  </si>
  <si>
    <t xml:space="preserve">Boone</t>
  </si>
  <si>
    <t xml:space="preserve">https://admissions.appstate.edu/apply/first-year-student</t>
  </si>
  <si>
    <t xml:space="preserve">East Carolina University</t>
  </si>
  <si>
    <t xml:space="preserve">Greenville</t>
  </si>
  <si>
    <t xml:space="preserve">https://admissions.ecu.edu/apply/freshmen/</t>
  </si>
  <si>
    <t xml:space="preserve">Research incomplete: official admissions pages could not be read (WebFetch proxy rate-limited, search budget exhausted). Deadlines, fee, policies not verified. No stats collected (PrepScholar page was rate-limited).</t>
  </si>
  <si>
    <t xml:space="preserve">University of North Carolina at Greensboro</t>
  </si>
  <si>
    <t xml:space="preserve">https://admissions.uncg.edu/admissions/deadlines/</t>
  </si>
  <si>
    <t xml:space="preserve">University of Virginia</t>
  </si>
  <si>
    <t xml:space="preserve">Charlottesville</t>
  </si>
  <si>
    <t xml:space="preserve">https://admission.virginia.edu/apply</t>
  </si>
  <si>
    <t xml:space="preserve">Research incomplete: official admissions pages could not be read (WebFetch proxy rate-limited, search budget exhausted). Deadlines, fee, policies not verified. Stats from PrepScholar only; UVA has required short-answer questions that were not verified. Platforms listed from general knowledge, not verified.</t>
  </si>
  <si>
    <t xml:space="preserve">Virginia Tech</t>
  </si>
  <si>
    <t xml:space="preserve">Blacksburg</t>
  </si>
  <si>
    <t xml:space="preserve">Common App fee waiver questions grant automatic waiver; otherwise email admissions@vt.edu</t>
  </si>
  <si>
    <t xml:space="preserve">https://www.vt.edu/admissions/undergraduate/apply/dates-and-deadlines.html</t>
  </si>
  <si>
    <t xml:space="preserve">https://www.collegetransitions.com/blog/virginia-tech-supplemental-essay-prompts/</t>
  </si>
  <si>
    <t xml:space="preserve">EA and RD are non-binding. Official VT pages say Nov 1 for EA (Common App explore page listed Nov 15; the official VT page is used). Official VT dates page showed the 2025-26 cycle, so confirm 2026-27 dates. Four short Ut Prosim responses (120 words each) come from College Transitions (aggregator); the 2026-27 inclusion prompt is new. Test-optional through Fall 2028 entry per Common App.</t>
  </si>
  <si>
    <t xml:space="preserve">William &amp; Mary</t>
  </si>
  <si>
    <t xml:space="preserve">Williamsburg</t>
  </si>
  <si>
    <t xml:space="preserve">Fee waiver request accepted for financial hardship</t>
  </si>
  <si>
    <t xml:space="preserve">Required (counselor and teacher letters; details on W&amp;M recommendations page)</t>
  </si>
  <si>
    <t xml:space="preserve">https://www.wm.edu/admission/undergraduateadmission/how-to-apply/first-year-applicants/application-checklist/</t>
  </si>
  <si>
    <t xml:space="preserve">https://www.collegeessayguy.com/blog/william-and-mary-supplemental-essay</t>
  </si>
  <si>
    <t xml:space="preserve">ED I and ED II are binding (one binding plan only). ED financial aid: FAFSA and CSS Profile due Nov 15 (ED I) and Jan 15 (ED II). Official W&amp;M checklist says students are encouraged to complete up to two optional supplemental essays; the six prompts are from College Essay Guy (aggregator) and the prompt list should be confirmed on Common App. Test policy not verified. Official pages may still reflect the 2025-26 cycle.</t>
  </si>
  <si>
    <t xml:space="preserve">Virginia Commonwealth University</t>
  </si>
  <si>
    <t xml:space="preserve">Apply by Nov 1 to be considered for university-level scholarships; Honors College has separate requirements</t>
  </si>
  <si>
    <t xml:space="preserve">1 recommendation preferred (not required)</t>
  </si>
  <si>
    <t xml:space="preserve">https://admissions.vcu.edu/apply-to-vcu/undergraduate/first-year/</t>
  </si>
  <si>
    <t xml:space="preserve">Jan 15, 2027 is both the regular decision and Guaranteed University Admission deadline (3.5+ GPA; not for School of the Arts); decision guaranteed by April 1. Common App personal essay required, no school-specific supplement found. Honors College guaranteed admission programs need test scores (SAT 1330/ACT 29 preferred, 3.5 GPA). School of the Arts requires portfolio/supplemental materials. Fee amount from CollegeSimply (aggregator).</t>
  </si>
  <si>
    <t xml:space="preserve">George Mason University</t>
  </si>
  <si>
    <t xml:space="preserve">Fairfax</t>
  </si>
  <si>
    <t xml:space="preserve">EA gives priority consideration for Honors College, University Scholars and merit scholarships</t>
  </si>
  <si>
    <t xml:space="preserve">None required (up to 2 optional)</t>
  </si>
  <si>
    <t xml:space="preserve">https://www.gmu.edu/freshman/dates-deadlines</t>
  </si>
  <si>
    <t xml:space="preserve">EA is non-binding. RD Feb 1 considers Honors College on a space-available basis. Personal essay is optional per Common App. App fee and fee waiver not verified. Priority FAFSA/VASA date March 1.</t>
  </si>
  <si>
    <t xml:space="preserve">University of Mississippi</t>
  </si>
  <si>
    <t xml:space="preserve">University</t>
  </si>
  <si>
    <t xml:space="preserve">Freshman scholarship application deadline listed as January 10 (year not stated on page; confirm for 2027)</t>
  </si>
  <si>
    <t xml:space="preserve">ACT/SAT fee waivers can substitute for the application fee</t>
  </si>
  <si>
    <t xml:space="preserve">https://olemiss.edu/admissions/undergraduate-admissions/application-process/</t>
  </si>
  <si>
    <t xml:space="preserve">Test scores optional for MS residents; nonresidents may apply test-optional only with 3.2 unweighted GPA or higher, otherwise tests strongly recommended. Priority admission date, app fee and rolling status not verified. No essay required. SAT/ACT figures are enrolled mid-50% from CollegeSimply.</t>
  </si>
  <si>
    <t xml:space="preserve">Mississippi State University</t>
  </si>
  <si>
    <t xml:space="preserve">Mississippi State</t>
  </si>
  <si>
    <t xml:space="preserve">https://www.admissions.msstate.edu/</t>
  </si>
  <si>
    <t xml:space="preserve">No essay required per Common App. Deadlines for other rounds, fee, test policy and recommendations were not verified (research tools were rate limited). Verify on the official admissions site.</t>
  </si>
  <si>
    <t xml:space="preserve">Louisiana State University</t>
  </si>
  <si>
    <t xml:space="preserve">CollegeSimply lists a $50 fee and a final deadline of July 15, 2027 (aggregator only). Scholarship and priority dates not found. Deadlines for other rounds, fee, test policy and recommendations were not verified (research tools were rate limited). Verify on the official admissions site.</t>
  </si>
  <si>
    <t xml:space="preserve">University of Kentucky</t>
  </si>
  <si>
    <t xml:space="preserve">CollegeSimply lists an application deadline of Feb 15, 2027 (aggregator only); priority/scholarship dates not found. Deadlines for other rounds, fee, test policy and recommendations were not verified (research tools were rate limited). Verify on the official admissions site.</t>
  </si>
  <si>
    <t xml:space="preserve">University of Louisville</t>
  </si>
  <si>
    <t xml:space="preserve">Louisville</t>
  </si>
  <si>
    <t xml:space="preserve">Deadlines, fee, platforms and scholarship dates not found. Deadlines for other rounds, fee, test policy and recommendations were not verified (research tools were rate limited). Verify on the official admissions site.</t>
  </si>
  <si>
    <t xml:space="preserve">University of Memphis</t>
  </si>
  <si>
    <t xml:space="preserve">Memphis</t>
  </si>
  <si>
    <t xml:space="preserve">Middle Tennessee State University</t>
  </si>
  <si>
    <t xml:space="preserve">Murfreesboro</t>
  </si>
  <si>
    <t xml:space="preserve">Coastal Carolina University</t>
  </si>
  <si>
    <t xml:space="preserve">Conway</t>
  </si>
  <si>
    <t xml:space="preserve">Graduation rate not retrieved (blank). Deadlines, fee, platforms and scholarship dates not found. Deadlines for other rounds, fee, test policy and recommendations were not verified (research tools were rate limited). Verify on the official admissions site.</t>
  </si>
  <si>
    <t xml:space="preserve">Winthrop University</t>
  </si>
  <si>
    <t xml:space="preserve">Rock Hill</t>
  </si>
  <si>
    <t xml:space="preserve">University of Michigan</t>
  </si>
  <si>
    <t xml:space="preserve">National Public</t>
  </si>
  <si>
    <t xml:space="preserve">Ann Arbor</t>
  </si>
  <si>
    <t xml:space="preserve">MI</t>
  </si>
  <si>
    <t xml:space="preserve">CollegeSimply lists a Feb 1, 2027 deadline and $75 fee (aggregator only); Early Action date, supplemental essays and recommendation rules were not verified, so the supplements list is empty because it was not checked, not because none exist. Deadlines for other rounds, fee, test policy and recommendations were not verified (research tools were rate limited). Verify on the official admissions site.</t>
  </si>
  <si>
    <t xml:space="preserve">Ohio State University</t>
  </si>
  <si>
    <t xml:space="preserve">SAT/ACT are enrolled mid-50% (CollegeSimply). Deadlines, fee, platforms and supplements not verified, so the supplements list is empty because it was not checked. Deadlines for other rounds, fee, test policy and recommendations were not verified (research tools were rate limited). Verify on the official admissions site.</t>
  </si>
  <si>
    <t xml:space="preserve">Penn State University</t>
  </si>
  <si>
    <t xml:space="preserve">University Park</t>
  </si>
  <si>
    <t xml:space="preserve">Waiver for free/reduced lunch, SAT/ACT waiver, Pell, GEAR UP/TRIO, or school official statement</t>
  </si>
  <si>
    <t xml:space="preserve">https://www.psu.edu/admission/undergraduate/how-to-apply</t>
  </si>
  <si>
    <t xml:space="preserve">Official page: EA Nov 1 (decision by Dec 24), recommended submission by Dec 1; no hard RD date was listed on the page read. No supplemental essay or recs found on official page. Accelerated Premedical-Medical Program requires scores by Oct 13. Net price figures are College Factual estimates based on roughly 2020 federal data (aggregator, dated). Admit rate/test ranges from CollegeSimply (aggregator). Official page does not state an RD deadline; confirm. Fee $65 domestic.</t>
  </si>
  <si>
    <t xml:space="preserve">University of Texas at Austin</t>
  </si>
  <si>
    <t xml:space="preserve">Austin</t>
  </si>
  <si>
    <t xml:space="preserve">Common App; ApplyTexas</t>
  </si>
  <si>
    <t xml:space="preserve">Fee waivers available via application portal or MyStatus on request</t>
  </si>
  <si>
    <t xml:space="preserve">Optional (up to 2)</t>
  </si>
  <si>
    <t xml:space="preserve">https://admissions.utexas.edu/apply/freshman/</t>
  </si>
  <si>
    <t xml:space="preserve">https://admissions.utexas.edu/apply/application-materials/essays-and-short-answers/</t>
  </si>
  <si>
    <t xml:space="preserve">EA Oct 15, supplemental materials Oct 22; RD Dec 1, supplemental materials Dec 10. SAT/ACT required (CLT accepted); SAT code 6882. Major-specific prompts may apply (first-choice major short answer is required). Texas residents in top 6% get automatic admission to the university (not verified this session). Essay: Common App personal statement satisfies the 500-650 word essay. Stats from CollegeSimply (aggregator); net price and grad rate not obtained.</t>
  </si>
  <si>
    <t xml:space="preserve">Texas A&amp;M University</t>
  </si>
  <si>
    <t xml:space="preserve">College Station</t>
  </si>
  <si>
    <t xml:space="preserve">Fee waivers available (see Document Submissions page)</t>
  </si>
  <si>
    <t xml:space="preserve">Optional (first 2 received considered)</t>
  </si>
  <si>
    <t xml:space="preserve">https://www.tamu.edu/admissions/how-to-apply/apply-as-freshman.html</t>
  </si>
  <si>
    <t xml:space="preserve">https://www.collegeessayguy.com/blog/texas-am-supplemental-essay</t>
  </si>
  <si>
    <t xml:space="preserve">Official: application window Aug 1 to Dec 1, 2026, documents due Dec 15, 2026; no separate EA found. Prompt wording read from College Essay Guy (aggregator) and matches official summary. An optional ~100-word prompt on experiences that shaped abilities/academic record also exists. Net price, admit rate, and test ranges not obtained (CollegeSimply page 404). Admission to some majors/Engineering may be competitive; verify.</t>
  </si>
  <si>
    <t xml:space="preserve">University of Maryland, College Park</t>
  </si>
  <si>
    <t xml:space="preserve">College Park</t>
  </si>
  <si>
    <t xml:space="preserve">Common App; ApplyWeb</t>
  </si>
  <si>
    <t xml:space="preserve">Early action by Nov 1 gives automatic review for all merit scholarships; no separate application</t>
  </si>
  <si>
    <t xml:space="preserve">Fee waiver available; must be submitted before completing the application</t>
  </si>
  <si>
    <t xml:space="preserve">https://admissions.umd.edu/apply/freshman-applicants</t>
  </si>
  <si>
    <t xml:space="preserve">https://admissions.umd.edu/apply/essay-questions</t>
  </si>
  <si>
    <t xml:space="preserve">EA decisions by Feb 1; RD decision by Apr 1; after Jan 20 admission is space-available. Test-optional through Fall 2027 cycle, including merit scholarships and Limited Enrollment Programs. Essay: choose one of 7 prompts (650 words), these mirror Common App prompts, so no extra supplement counted. Net price figures are College Factual estimates based on roughly 2020 federal data (aggregator, dated). Admit rate/test ranges from CollegeSimply (aggregator). Sector of aid data aside, ACT range not used because aggregator figure looked unreliable.</t>
  </si>
  <si>
    <t xml:space="preserve">Purdue University</t>
  </si>
  <si>
    <t xml:space="preserve">West Lafayette</t>
  </si>
  <si>
    <t xml:space="preserve">https://admissions.purdue.edu/become-student/apply/</t>
  </si>
  <si>
    <t xml:space="preserve">Official Purdue pages could not be read (404 / fetch proxy rate limit). Deadlines, fee, test policy, essay prompts not verified; Purdue has rolling-style admission with early priority dates and typically requires major-specific short responses on the application: confirm at admissions.purdue.edu. Net price figures are College Factual estimates based on roughly 2020 federal data (aggregator, dated). Admit rate/test ranges from CollegeSimply (aggregator).</t>
  </si>
  <si>
    <t xml:space="preserve">Indiana University Bloomington</t>
  </si>
  <si>
    <t xml:space="preserve">Bloomington</t>
  </si>
  <si>
    <t xml:space="preserve">Common App; Apply IU</t>
  </si>
  <si>
    <t xml:space="preserve">Nov 1 early action gives highest admission and scholarship consideration</t>
  </si>
  <si>
    <t xml:space="preserve">Accepts multiple fee waiver forms (specifics not listed; contact admissions)</t>
  </si>
  <si>
    <t xml:space="preserve">https://bloomington.iu.edu/admissions/apply/freshman/</t>
  </si>
  <si>
    <t xml:space="preserve">EA is non-binding (response by Jan 15); RD Feb 1 (response by Mar 15); later apps space-available. Essay required: Common App prompts or IU-specific essay depending on platform; no extra supplement via Common App. Recommendation requirements not stated on page read. Submit only one application (Apply IU or Common App). Net price figures are College Factual estimates based on roughly 2020 federal data (aggregator, dated). Admit rate/test ranges from CollegeSimply (aggregator).</t>
  </si>
  <si>
    <t xml:space="preserve">University of Illinois Urbana-Champaign</t>
  </si>
  <si>
    <t xml:space="preserve">Champaign</t>
  </si>
  <si>
    <t xml:space="preserve">https://admissions.illinois.edu/apply/freshman/process</t>
  </si>
  <si>
    <t xml:space="preserve">https://admissions.illinois.edu/apply/freshman/essays</t>
  </si>
  <si>
    <t xml:space="preserve">Official Illinois pages could not be read (404 / fetch proxy rate limit). Deadlines, fee, test policy and the required major-specific essay prompts are NOT verified: confirm at admissions.illinois.edu. UIUC requires essays (including a major-specific one) so supplements is empty only because it was not read. Net price figures are College Factual estimates based on roughly 2020 federal data (aggregator, dated).</t>
  </si>
  <si>
    <t xml:space="preserve">University of Wisconsin-Madison</t>
  </si>
  <si>
    <t xml:space="preserve">Madison</t>
  </si>
  <si>
    <t xml:space="preserve">WI</t>
  </si>
  <si>
    <t xml:space="preserve">https://admissions.wisc.edu/apply-as-a-freshman/</t>
  </si>
  <si>
    <t xml:space="preserve">Official UW-Madison pages could not be read (404 / fetch proxy rate limit). Deadlines, fee, test policy and supplemental prompts NOT verified; UW-Madison has a required short answer on why the intended major/why UW-Madison: confirm at admissions.wisc.edu. Net price figures are College Factual estimates based on roughly 2020 federal data (aggregator, dated). Admit rate/test ranges from CollegeSimply (aggregator).</t>
  </si>
  <si>
    <t xml:space="preserve">Rutgers University-New Brunswick</t>
  </si>
  <si>
    <t xml:space="preserve">New Brunswick</t>
  </si>
  <si>
    <t xml:space="preserve">https://admissions.rutgers.edu/apply/dates-deadlines/new-brunswick</t>
  </si>
  <si>
    <t xml:space="preserve">Official Rutgers pages could not be read (fetch proxy rate limit). Deadlines, fee, test policy, essay/supplement NOT verified: confirm at admissions.rutgers.edu. Net price figures are College Factual estimates based on roughly 2020 federal data (aggregator, dated). Admit rate/test ranges from CollegeSimply (aggregator).</t>
  </si>
  <si>
    <t xml:space="preserve">Arizona State University</t>
  </si>
  <si>
    <t xml:space="preserve">Tempe</t>
  </si>
  <si>
    <t xml:space="preserve">AZ</t>
  </si>
  <si>
    <t xml:space="preserve">https://admission.asu.edu/apply/first-year</t>
  </si>
  <si>
    <t xml:space="preserve">Not researched: the fetch proxy rate-limited all web fetches before this college was reached. All data fields left null for the counselor to verify at the official admissions site.</t>
  </si>
  <si>
    <t xml:space="preserve">University of California, Los Angeles</t>
  </si>
  <si>
    <t xml:space="preserve">UC Application (not Common App)</t>
  </si>
  <si>
    <t xml:space="preserve">https://admission.universityofcalifornia.edu/</t>
  </si>
  <si>
    <t xml:space="preserve">Not researched: the fetch proxy rate-limited all web fetches before this college was reached. All data fields left null for the counselor to verify at the official admissions site. Platform is the UC Application (not Common App); UC schools historically require personal insight questions and are test-blind, but 2026-27 details were not verified. Admit rate is approximate (recent cycles about 9%).</t>
  </si>
  <si>
    <t xml:space="preserve">University of California, Berkeley</t>
  </si>
  <si>
    <t xml:space="preserve">Berkeley</t>
  </si>
  <si>
    <t xml:space="preserve">Not researched: the fetch proxy rate-limited all web fetches before this college was reached. All data fields left null for the counselor to verify at the official admissions site. Platform is the UC Application (not Common App); UC schools historically require personal insight questions and are test-blind, but 2026-27 details were not verified. Admit rate is approximate (recent cycles about 11%).</t>
  </si>
  <si>
    <t xml:space="preserve">Furman University</t>
  </si>
  <si>
    <t xml:space="preserve">Southeast Private</t>
  </si>
  <si>
    <t xml:space="preserve">Elon University</t>
  </si>
  <si>
    <t xml:space="preserve">Elon</t>
  </si>
  <si>
    <t xml:space="preserve">Samford University</t>
  </si>
  <si>
    <t xml:space="preserve">Belmont University</t>
  </si>
  <si>
    <t xml:space="preserve">Common App; Coalition (Scoir); School portal</t>
  </si>
  <si>
    <t xml:space="preserve">Early Action I (Nov 1) is eligible for top scholarships ($4,000-$22,000); EA II for departmental and general merit; RD for general merit only</t>
  </si>
  <si>
    <t xml:space="preserve">1 counselor (school report form)</t>
  </si>
  <si>
    <t xml:space="preserve">https://www.belmont.edu/admissions/first-year/apply.html</t>
  </si>
  <si>
    <t xml:space="preserve">Deadlines, fee, test policy and essay (250-650 words, Common App personal statement) from official page. Admit rate, test ranges and grad rate from aggregators (CDS-based). Net price and 0-30k net price from Niche (College Scorecard based); College Navigator was not reachable. Music, Theatre, Dance, Songwriting, nursing and some arts programs need auditions or portfolios with separate deadlines.</t>
  </si>
  <si>
    <t xml:space="preserve">High Point University</t>
  </si>
  <si>
    <t xml:space="preserve">High Point</t>
  </si>
  <si>
    <t xml:space="preserve">Test scores are required for Presidential Scholarship and Honors Scholar consideration; ED/EA get priority for housing and registration</t>
  </si>
  <si>
    <t xml:space="preserve">1 counselor report + 1 letter (counselor or teacher)</t>
  </si>
  <si>
    <t xml:space="preserve">https://www.highpoint.edu/admissions/apply/</t>
  </si>
  <si>
    <t xml:space="preserve">Official page lists 2026-27 deadlines (ED Nov 1, EA Nov 15, ED II and RD Feb 1; ED II is binding); RD is under 10% of the class. Fee from aggregators. ACT 75th of 33 as reported by aggregators, treat cautiously. Essay required via application but no separate school supplement found. Net price and 0-30k net price from Niche (College Scorecard based); College Navigator was not reachable.</t>
  </si>
  <si>
    <t xml:space="preserve">University of Miami</t>
  </si>
  <si>
    <t xml:space="preserve">Coral Gables</t>
  </si>
  <si>
    <t xml:space="preserve">Common App; Coalition (Scoir)</t>
  </si>
  <si>
    <t xml:space="preserve">Premier Scholarships available to ED I and EA applicants</t>
  </si>
  <si>
    <t xml:space="preserve">https://admissions.miami.edu/undergraduate/application-process/options-and-deadlines/index.html</t>
  </si>
  <si>
    <t xml:space="preserve">https://news.miami.edu/admissions/stories/2026/07/does-the-university-of-miami-require-a-supplemental-essay.html</t>
  </si>
  <si>
    <t xml:space="preserve">Deadlines official (EA and ED I Nov 1; ED II and RD Jan 5; Frost School of Music RD Dec 1; Architecture, Music and BFA programs have supplemental material deadlines). Official page confirms no supplemental essay for 2026-27. Test policy and recommendation requirements could not be confirmed (official page was rate limited); aggregators say tests required, so verify. CSS Profile not confirmed. Fee from aggregators. Net price and 0-30k net price from Niche (College Scorecard based); College Navigator was not reachable.</t>
  </si>
  <si>
    <t xml:space="preserve">Rollins College</t>
  </si>
  <si>
    <t xml:space="preserve">Winter Park</t>
  </si>
  <si>
    <t xml:space="preserve">All applicants automatically considered for scholarships and grants; ED gets priority for scholarships and housing</t>
  </si>
  <si>
    <t xml:space="preserve">1 (counselor, teacher or other academic reference)</t>
  </si>
  <si>
    <t xml:space="preserve">https://www.rollins.edu/apply/</t>
  </si>
  <si>
    <t xml:space="preserve">No application fee. Official ED dates (Nov 15, Jan 5) are binding; RD date of Feb 1 comes from an aggregator. No Early Action found. Personal statement (250+ words) is the only essay, no school supplement found. Grad rate from aggregator. Net price and 0-30k net price from Niche (College Scorecard based); College Navigator was not reachable.</t>
  </si>
  <si>
    <t xml:space="preserve">Wofford College</t>
  </si>
  <si>
    <t xml:space="preserve">Spartanburg</t>
  </si>
  <si>
    <t xml:space="preserve">School report from counselor; no letters of recommendation required (Common App listing)</t>
  </si>
  <si>
    <t xml:space="preserve">https://www.wofford.edu/admission/apply/first-year-applicants</t>
  </si>
  <si>
    <t xml:space="preserve">Deadlines from official page (ED binding; ED II deposit due Feb 15). Merit scholarship deadlines and any writing supplement not confirmed. Fee and recs from Common App listing. Net price and 0-30k net price from Niche (College Scorecard based); College Navigator was not reachable.</t>
  </si>
  <si>
    <t xml:space="preserve">Sewanee: The University of the South</t>
  </si>
  <si>
    <t xml:space="preserve">Sewanee</t>
  </si>
  <si>
    <t xml:space="preserve">All applicants automatically considered for merit scholarships</t>
  </si>
  <si>
    <t xml:space="preserve">https://new.sewanee.edu/admission-aid/application-process/</t>
  </si>
  <si>
    <t xml:space="preserve">ED dates, test-optional policy, recs and FAFSA plus CSS Profile for need aid from official ED page. EA (Dec 1) and RD (Feb 1) dates and the no-fee status come from an aggregator; verify. Any school supplement not confirmed. Net price and 0-30k net price from Niche (College Scorecard based); College Navigator was not reachable.</t>
  </si>
  <si>
    <t xml:space="preserve">Rhodes College</t>
  </si>
  <si>
    <t xml:space="preserve">ED applicants receive an additional $3,000 grant</t>
  </si>
  <si>
    <t xml:space="preserve">https://www.rhodes.edu/admission-aid/apply-rhodes/application-plans-deadlines</t>
  </si>
  <si>
    <t xml:space="preserve">Official page: ED I Nov 1, EA Nov 15, ED II and RD Jan 15; ED binding with $500 deposit; FAFSA by the application deadline and CSS Profile accepted (so left as Not required). SAT range left blank because aggregator figures looked unreliable. Recommendations and any supplement not confirmed. Net price and 0-30k net price from Niche (College Scorecard based); College Navigator was not reachable.</t>
  </si>
  <si>
    <t xml:space="preserve">Centre College</t>
  </si>
  <si>
    <t xml:space="preserve">Danville</t>
  </si>
  <si>
    <t xml:space="preserve">https://www.centre.edu/apply</t>
  </si>
  <si>
    <t xml:space="preserve">Centre's official site was not readable (blocked or rate limited). Round names and fee/test policy from the Common App listing; dates from collegedata (ED Nov 1 and Jan 15, EA Nov 15). RD deadline, recs and any supplement not confirmed. Net price and 0-30k net price from Niche (College Scorecard based); College Navigator was not reachable.</t>
  </si>
  <si>
    <t xml:space="preserve">Embry-Riddle Aeronautical University (Daytona Beach)</t>
  </si>
  <si>
    <t xml:space="preserve">https://erau.edu/apply</t>
  </si>
  <si>
    <t xml:space="preserve">Official page confirms applications accepted year-round; priority and scholarship deadlines, Common App availability, recs and test policy could not be confirmed from official pages (test policy from collegedata 'considered'). Fee from aggregator. Net price and 0-30k net price from Niche (College Scorecard based); College Navigator was not reachable.</t>
  </si>
  <si>
    <t xml:space="preserve">Lipscomb University</t>
  </si>
  <si>
    <t xml:space="preserve">Oct 15 and Nov 15 deadlines get full merit and departmental scholarship consideration plus priority housing; Jan 15 gets merit scholarships and Honors College access</t>
  </si>
  <si>
    <t xml:space="preserve">1 academic evaluation (teacher, counselor or administrator)</t>
  </si>
  <si>
    <t xml:space="preserve">https://lipscomb.edu/admissions/freshmen-admissions/freshmen-admission-requirements</t>
  </si>
  <si>
    <t xml:space="preserve">Official deadlines: Oct 15 and Nov 15 (2026), Jan 15 (2027), rolling after. Test-optional applicants must take the Math Placement Test unless they submit scores. Supplemental essay only for select applicants below median ranges. Fee from aggregator. Net price and 0-30k net price from Niche (College Scorecard based); College Navigator was not reachable.</t>
  </si>
  <si>
    <t xml:space="preserve">Key</t>
  </si>
  <si>
    <t xml:space="preserve">Prompt Status</t>
  </si>
  <si>
    <t xml:space="preserve">Emory University|1</t>
  </si>
  <si>
    <t xml:space="preserve">What academic areas are you interested in exploring at Emory University and why?</t>
  </si>
  <si>
    <t xml:space="preserve">200 words</t>
  </si>
  <si>
    <t xml:space="preserve">Academic interest</t>
  </si>
  <si>
    <t xml:space="preserve">Cut from why-program</t>
  </si>
  <si>
    <t xml:space="preserve">Confirm</t>
  </si>
  <si>
    <t xml:space="preserve">Emory University|2</t>
  </si>
  <si>
    <t xml:space="preserve">Choose one: (1) Tell us about a community that you have been part of where your personal participation helped to change or shape the community for the better. (2) Reflect on a personal experience where you intentionally expanded your cultural awareness. (3) Share how you might personally contribute to this mission of service to humanity. (4) How do you personally navigate disagreement in a way that promotes progress and deepens meaningful dialogue?</t>
  </si>
  <si>
    <t xml:space="preserve">150 words</t>
  </si>
  <si>
    <t xml:space="preserve">Who I am</t>
  </si>
  <si>
    <t xml:space="preserve">Cut from identity</t>
  </si>
  <si>
    <t xml:space="preserve">Howard University|1</t>
  </si>
  <si>
    <t xml:space="preserve">Diversity of all kinds is important to enriching the educational experience at Howard University. Please share with us anything in your background or lived experience that has shaped your perspectives and how that would contribute to the classroom and community at Howard.</t>
  </si>
  <si>
    <t xml:space="preserve">500 words</t>
  </si>
  <si>
    <t xml:space="preserve">Official</t>
  </si>
  <si>
    <t xml:space="preserve">Howard University|2</t>
  </si>
  <si>
    <t xml:space="preserve">Please describe the major you intend to study and how you hope to use your Howard education to support you in achieving your passions and goals. Please address your first-choice and second-choice major selections.</t>
  </si>
  <si>
    <t xml:space="preserve">Why this college</t>
  </si>
  <si>
    <t xml:space="preserve">Hampton University|1</t>
  </si>
  <si>
    <t xml:space="preserve">Applicants choose either a traditional essay using a Common App prompt, or a video essay of up to 90 seconds answering what Character Matters means to you.</t>
  </si>
  <si>
    <t xml:space="preserve">90 second video (or Common App essay length)</t>
  </si>
  <si>
    <t xml:space="preserve">Xavier University of Louisiana|1</t>
  </si>
  <si>
    <t xml:space="preserve">Why do you want to attend Xavier University of Louisiana</t>
  </si>
  <si>
    <t xml:space="preserve">Bennett College|1</t>
  </si>
  <si>
    <t xml:space="preserve">Personal essay: choose from the prompts 'Why Bennett College' or 'Tell us about yourself', or submit a writing sample.</t>
  </si>
  <si>
    <t xml:space="preserve">Harvard University|1</t>
  </si>
  <si>
    <t xml:space="preserve">How will the life experiences that shaped who you are today enable you to contribute to Harvard?</t>
  </si>
  <si>
    <t xml:space="preserve">Harvard University|2</t>
  </si>
  <si>
    <t xml:space="preserve">Briefly describe any of your extracurricular activities, employment experience, travel, or family responsibilities that have shaped who you are.</t>
  </si>
  <si>
    <t xml:space="preserve">Harvard University|3</t>
  </si>
  <si>
    <t xml:space="preserve">How do you hope to use your Harvard education in the future?</t>
  </si>
  <si>
    <t xml:space="preserve">Harvard University|4</t>
  </si>
  <si>
    <t xml:space="preserve">Top 3 things your roommates might like to know about you.</t>
  </si>
  <si>
    <t xml:space="preserve">Short answer</t>
  </si>
  <si>
    <t xml:space="preserve">Harvard University|5</t>
  </si>
  <si>
    <t xml:space="preserve">Describe a time when you strongly disagreed with someone about an idea or issue. How did you communicate or engage with this person? What did you learn from this experience?</t>
  </si>
  <si>
    <t xml:space="preserve">Yale University|1</t>
  </si>
  <si>
    <t xml:space="preserve">Select up to three academic areas of interest from the list Yale provides (Students at Yale have time to explore their academic interests before committing to one or more major fields of study).</t>
  </si>
  <si>
    <t xml:space="preserve">Selection only</t>
  </si>
  <si>
    <t xml:space="preserve">Yale University|2</t>
  </si>
  <si>
    <t xml:space="preserve">Tell us about a topic or idea that excites you and is related to one or more academic areas you selected above. Why are you drawn to it?</t>
  </si>
  <si>
    <t xml:space="preserve">Yale University|3</t>
  </si>
  <si>
    <t xml:space="preserve">Short Takes (Common App and Coalition): (1) If you could teach any college course, write a book, or create an original piece of art of any kind, what would it be? (2) What is one aspect of yourself that you hope to grow or develop during college? (3) What is something about you that is not included anywhere else in your application?</t>
  </si>
  <si>
    <t xml:space="preserve">200 characters each</t>
  </si>
  <si>
    <t xml:space="preserve">Yale University|4</t>
  </si>
  <si>
    <t xml:space="preserve">Essay, choose one (Common App and Coalition): Reflect on a time you discussed an issue important to you with someone holding an opposing view. Why did you find the experience meaningful? OR Reflect on your membership in a community to which you feel connected. Why is this community meaningful to you? OR Reflect on an element of your personal experience that you feel will enrich your college. How has it shaped you?</t>
  </si>
  <si>
    <t xml:space="preserve">400 words</t>
  </si>
  <si>
    <t xml:space="preserve">Princeton University|1</t>
  </si>
  <si>
    <t xml:space="preserve">Reflect on how your lived experiences will impact the conversations you will have in the classroom, the dining hall or other campus spaces.</t>
  </si>
  <si>
    <t xml:space="preserve">500 words (aggregators list 400-500)</t>
  </si>
  <si>
    <t xml:space="preserve">Princeton University|2</t>
  </si>
  <si>
    <t xml:space="preserve">How does your own story intersect with Princeton's commitment to service and civic engagement?</t>
  </si>
  <si>
    <t xml:space="preserve">250 words</t>
  </si>
  <si>
    <t xml:space="preserve">Princeton University|3</t>
  </si>
  <si>
    <t xml:space="preserve">Short responses: What is a new skill you would like to learn in college? / What brings you joy? / What song represents the soundtrack of your life at this moment?</t>
  </si>
  <si>
    <t xml:space="preserve">50 words each</t>
  </si>
  <si>
    <t xml:space="preserve">Princeton University|4</t>
  </si>
  <si>
    <t xml:space="preserve">A.B. or undecided applicants: What academic areas most pique your curiosity, and how do the programs offered at Princeton suit your particular interests?</t>
  </si>
  <si>
    <t xml:space="preserve">Princeton University|5</t>
  </si>
  <si>
    <t xml:space="preserve">B.S.E. applicants: Please describe why you are interested in studying engineering at Princeton, including relevant experiences and how the university's programs match your interests.</t>
  </si>
  <si>
    <t xml:space="preserve">Columbia University|1</t>
  </si>
  <si>
    <t xml:space="preserve">List a selection of texts, resources and outlets that have contributed to your intellectual development outside of academic courses, including but not limited to books, journals, websites, podcasts, essays, plays, presentations, videos, museums and other content that you enjoy.</t>
  </si>
  <si>
    <t xml:space="preserve">100 words</t>
  </si>
  <si>
    <t xml:space="preserve">Columbia University|2</t>
  </si>
  <si>
    <t xml:space="preserve">Tell us about an aspect of your life so far or your lived experience that is important to you, and describe how it has shaped the way you would learn from and contribute to Columbia's multidimensional and collaborative environment.</t>
  </si>
  <si>
    <t xml:space="preserve">Columbia University|3</t>
  </si>
  <si>
    <t xml:space="preserve">Please describe a time when you did not agree with someone and discuss how you engaged with them and what you took away from the interaction.</t>
  </si>
  <si>
    <t xml:space="preserve">Columbia University|4</t>
  </si>
  <si>
    <t xml:space="preserve">Please describe a situation in which you have navigated through adversity and discuss how you changed as a result.</t>
  </si>
  <si>
    <t xml:space="preserve">Columbia University|5</t>
  </si>
  <si>
    <t xml:space="preserve">Why are you interested in attending Columbia University? We encourage you to consider the aspect(s) that you find unique and compelling about Columbia. AND: What attracts you to your preferred areas of study at Columbia College / Columbia Engineering?</t>
  </si>
  <si>
    <t xml:space="preserve">150 words each</t>
  </si>
  <si>
    <t xml:space="preserve">University of Pennsylvania|1</t>
  </si>
  <si>
    <t xml:space="preserve">Write a short thank-you note to someone you have not yet thanked and would like to acknowledge.</t>
  </si>
  <si>
    <t xml:space="preserve">150-200 words</t>
  </si>
  <si>
    <t xml:space="preserve">University of Pennsylvania|2</t>
  </si>
  <si>
    <t xml:space="preserve">How will you explore community at Penn? Consider how Penn will help shape your perspective, and how your experiences and perspective will help shape Penn.</t>
  </si>
  <si>
    <t xml:space="preserve">University of Pennsylvania|3</t>
  </si>
  <si>
    <t xml:space="preserve">College of Arts and Sciences: The College of Arts and Sciences is designed to foster discovery and connection. Describe something you are curious about, something you'd like to learn more about or find a new approach to, and how you might pursue that curiosity in the College.</t>
  </si>
  <si>
    <t xml:space="preserve">University of Pennsylvania|4</t>
  </si>
  <si>
    <t xml:space="preserve">The Wharton School: Wharton prepares its students to make an impact by applying business methods and economic theory to real-world problems, including economic, political, and social issues. Explain a current issue of importance to you and how you hope a Wharton education would help you explore it.</t>
  </si>
  <si>
    <t xml:space="preserve">University of Pennsylvania|5</t>
  </si>
  <si>
    <t xml:space="preserve">Engineering: Describe how you plan to pursue your engineering interests at Penn particularly within the intended major you selected. Nursing: Why are you applying to Nursing, where do you see yourself professionally in the future, and how will you contribute to our mission of promoting equity in healthcare? (Dual-degree programs have additional 400-word prompts.)</t>
  </si>
  <si>
    <t xml:space="preserve">Brown University|1</t>
  </si>
  <si>
    <t xml:space="preserve">How will you use these characteristics or others to shape your approach to the Open Curriculum? (Brown poses this after asking about your intellectual interests; full lead-in not captured.)</t>
  </si>
  <si>
    <t xml:space="preserve">150-250 words</t>
  </si>
  <si>
    <t xml:space="preserve">Brown University|2</t>
  </si>
  <si>
    <t xml:space="preserve">Share how an aspect of your growing up has inspired or challenged you, and what unique contributions this might allow you to make to the Brown community.</t>
  </si>
  <si>
    <t xml:space="preserve">Brown University|3</t>
  </si>
  <si>
    <t xml:space="preserve">Whether big or small, mundane or spectacular, tell us about something that brings you joy.</t>
  </si>
  <si>
    <t xml:space="preserve">100-150 words</t>
  </si>
  <si>
    <t xml:space="preserve">Brown University|4</t>
  </si>
  <si>
    <t xml:space="preserve">If you could teach a class on any one thing, whether academic or otherwise, what would it be?</t>
  </si>
  <si>
    <t xml:space="preserve">Dartmouth College|1</t>
  </si>
  <si>
    <t xml:space="preserve">As you seek admission to Dartmouth's Class of 2031, what aspects of the college's academic program, community, and/or campus environment attract your interest? How is Dartmouth a good fit for you?</t>
  </si>
  <si>
    <t xml:space="preserve">Dartmouth College|2</t>
  </si>
  <si>
    <t xml:space="preserve">Choose one. A: There is a Quaker saying: Let your life speak. Describe the environment in which you were raised and the impact it has had on the person you are today. B: 'Be yourself,' Oscar Wilde advised. 'Everyone else is taken.' Introduce yourself.</t>
  </si>
  <si>
    <t xml:space="preserve">Dartmouth College|3</t>
  </si>
  <si>
    <t xml:space="preserve">Choose one of six options: 'What excites you?'; a Dolores Huerta quote on making a positive impact; a Matt Haig quote on reading and understanding other lives; a Jane Goodall quote on dialogue across different perspectives; 'Celebrate your nerdy side.'; a Kermit the Frog quote on embracing difference. (Quote-based options summarized here, see prompts_url for full text.)</t>
  </si>
  <si>
    <t xml:space="preserve">Cornell University|1</t>
  </si>
  <si>
    <t xml:space="preserve">We all contribute to, and are influenced by, the communities that are meaningful to us. Share how you've been shaped by one of the communities you belong to.</t>
  </si>
  <si>
    <t xml:space="preserve">350 words</t>
  </si>
  <si>
    <t xml:space="preserve">Cornell University|2</t>
  </si>
  <si>
    <t xml:space="preserve">College-specific prompt (answer for the college you apply to). CALS: Why are you drawn to studying the major you have selected and specifically, why do you want to pursue this major at Cornell CALS? (500 words). AAP: How do your interests directly connect with your intended major at the College of Architecture, Art, and Planning (AAP)? (650). Arts &amp; Sciences: Discuss how your passion for learning is shaping your academic journey, and what areas of study or majors excite you and why. (650). Brooks School of Public Policy: Why are you interested in studying policy, and why do you want to pursue this major at Cornell's Jeb E. Brooks School of Public Policy? (650). SC Johnson College of Business: What kind of a business student are you? (650). Engineering: two 200-word essays and four 100-word short essays. Human Ecology: Identify a challenge in your greater community or in the career/industry in which you are interested. (600). ILR: Using your personal, academic, or volunteer/work experiences, describe the topics or issues that you care about and why they are important to you. (650).</t>
  </si>
  <si>
    <t xml:space="preserve">500-650 words by college (Engineering: 2 x 200 + 4 x 100)</t>
  </si>
  <si>
    <t xml:space="preserve">Stanford University|1</t>
  </si>
  <si>
    <t xml:space="preserve">Five short questions (3 to 50 words each): 1) What is the most significant challenge that society faces today? 2) How did you spend your last two summers? 3) What historical moment or event do you wish you could have witnessed? 4) Briefly elaborate on one of your extracurricular activities, a job you hold, or responsibilities you have for your family. 5) List five things that are important to you.</t>
  </si>
  <si>
    <t xml:space="preserve">Stanford University|2</t>
  </si>
  <si>
    <t xml:space="preserve">Reflect on an idea or experience that makes you genuinely excited about learning.</t>
  </si>
  <si>
    <t xml:space="preserve">100-250 words</t>
  </si>
  <si>
    <t xml:space="preserve">Stanford University|3</t>
  </si>
  <si>
    <t xml:space="preserve">Write a note to your future roommate that reveals something about you or that will help your roommate, and us, get to know you better.</t>
  </si>
  <si>
    <t xml:space="preserve">Stanford University|4</t>
  </si>
  <si>
    <t xml:space="preserve">Describe what aspects of your life experiences, interests, and character would help you make a distinctive contribution.</t>
  </si>
  <si>
    <t xml:space="preserve">Massachusetts Institute of Technology|1</t>
  </si>
  <si>
    <t xml:space="preserve">What field of study appeals to you the most right now? Reflect on what has led you to this interest.</t>
  </si>
  <si>
    <t xml:space="preserve">Massachusetts Institute of Technology|2</t>
  </si>
  <si>
    <t xml:space="preserve">While some reach their goals following well-trodden paths, others blaze their own trails achieving the unexpected. In what ways have you done something different than what was expected in your educational journey?</t>
  </si>
  <si>
    <t xml:space="preserve">225 words</t>
  </si>
  <si>
    <t xml:space="preserve">Massachusetts Institute of Technology|3</t>
  </si>
  <si>
    <t xml:space="preserve">How have your personal and academic experiences influenced the types of problems you would want to tackle with an MIT education and the impact you aim to make on your community?</t>
  </si>
  <si>
    <t xml:space="preserve">Massachusetts Institute of Technology|4</t>
  </si>
  <si>
    <t xml:space="preserve">How did you manage a situation or challenge that you didn't expect? What did you learn from it?</t>
  </si>
  <si>
    <t xml:space="preserve">Massachusetts Institute of Technology|5</t>
  </si>
  <si>
    <t xml:space="preserve">Four short responses: 1) What do you do just for fun? 2) Who is someone you admire, whether you know them personally or look up to them from afar? Tell us why. 3) What's a topic, academic or non-academic, that you could talk about for hours? 4) MIT values both 'generalists' with varied interests and 'specialists' who focus deeply on one or a few passions. Which do you think best describes you, and why?</t>
  </si>
  <si>
    <t xml:space="preserve">40-50 words each</t>
  </si>
  <si>
    <t xml:space="preserve">Duke University|1</t>
  </si>
  <si>
    <t xml:space="preserve">Why Duke: institutional fit and academic/co-curricular interests (summary of the official prompt; exact wording at prompts_url).</t>
  </si>
  <si>
    <t xml:space="preserve">Duke University|2</t>
  </si>
  <si>
    <t xml:space="preserve">Communities: a community that shaped your identity (summary of the official prompt; exact wording at prompts_url).</t>
  </si>
  <si>
    <t xml:space="preserve">Davidson College|1</t>
  </si>
  <si>
    <t xml:space="preserve">What interests you most about Davidson College? (paraphrased from official page summary; confirm exact wording)</t>
  </si>
  <si>
    <t xml:space="preserve">250-300 words</t>
  </si>
  <si>
    <t xml:space="preserve">Davidson College|2</t>
  </si>
  <si>
    <t xml:space="preserve">What is a topic, activity or idea that excites you? (intellectual curiosity prompt; paraphrased from official page summary; confirm exact wording)</t>
  </si>
  <si>
    <t xml:space="preserve">Amherst College|1</t>
  </si>
  <si>
    <t xml:space="preserve">Choose one (Option A): (1) What does curiosity mean to you? How do you experience curiosity in your own life? (2) In what ways could your unique experiences enhance our understanding of our nation and our world? (3) Tell us about a time that you engaged with a viewpoint different from your own. How did you enter that engagement, and what did you learn about yourself from it?</t>
  </si>
  <si>
    <t xml:space="preserve">Swarthmore College|1</t>
  </si>
  <si>
    <t xml:space="preserve">What aspects of your self-identity or personal background are most significant to you? Reflecting on the elements of your home, school, or other communities that have shaped your life, explain how you have grown in your ability to navigate differences when engaging with others, or demonstrated your ability to collaborate in communities other than your own.</t>
  </si>
  <si>
    <t xml:space="preserve">Swarthmore College|2</t>
  </si>
  <si>
    <t xml:space="preserve">Tell us about a topic that has fascinated you recently - either inside or outside of the classroom. What made you curious about this? Has this topic connected across other areas of your interests? How has this experience shaped you and what encourages you to keep exploring?</t>
  </si>
  <si>
    <t xml:space="preserve">University of Rochester|1</t>
  </si>
  <si>
    <t xml:space="preserve">How will you combine our academic flexibility and co-curricular opportunities to create an experience that reflects your interests and ambitions?</t>
  </si>
  <si>
    <t xml:space="preserve">Barnard College|1</t>
  </si>
  <si>
    <t xml:space="preserve">What is one bold question on your mind and what about it piques your curiosity?</t>
  </si>
  <si>
    <t xml:space="preserve">50 words</t>
  </si>
  <si>
    <t xml:space="preserve">Barnard College|2</t>
  </si>
  <si>
    <t xml:space="preserve">Discuss a woman (historical, fictional, contemporary, or personally significant) whose problem-solving approach differs from yours but excels at bringing people together, and explain how her approach would shape your presence at Barnard.</t>
  </si>
  <si>
    <t xml:space="preserve">200-250 words</t>
  </si>
  <si>
    <t xml:space="preserve">University of Florida|1</t>
  </si>
  <si>
    <t xml:space="preserve">Describe your most meaningful commitment outside the classroom during high school and explain its significance.</t>
  </si>
  <si>
    <t xml:space="preserve">University of Florida|2</t>
  </si>
  <si>
    <t xml:space="preserve">Optional: Address any employment or family obligations that have limited your extracurricular participation.</t>
  </si>
  <si>
    <t xml:space="preserve">Other</t>
  </si>
  <si>
    <t xml:space="preserve">North Carolina State University|1</t>
  </si>
  <si>
    <t xml:space="preserve">Explain why you selected the first choice academic program above and why you are interested in studying this at NC State.</t>
  </si>
  <si>
    <t xml:space="preserve">North Carolina State University|2</t>
  </si>
  <si>
    <t xml:space="preserve">Explain why you selected the second choice academic program above and why you are interested in studying this at NC State. (Only if a second choice major is selected.)</t>
  </si>
  <si>
    <t xml:space="preserve">North Carolina State University|3</t>
  </si>
  <si>
    <t xml:space="preserve">University Honors Program: Think about a time when your curiosity led you to not just learn, but to act. How did you learn more, and what tangible steps did you take as a result of what you learned? What insights about yourself, others, or the world did you take away from this process of learning and doing?</t>
  </si>
  <si>
    <t xml:space="preserve">600 words</t>
  </si>
  <si>
    <t xml:space="preserve">Virginia Tech|1</t>
  </si>
  <si>
    <t xml:space="preserve">Share how you contribute to a community that is important to you. How long have you been involved? What have you learned and how would you like to share that with others at Virginia Tech?</t>
  </si>
  <si>
    <t xml:space="preserve">120 words</t>
  </si>
  <si>
    <t xml:space="preserve">Virginia Tech|2</t>
  </si>
  <si>
    <t xml:space="preserve">Have you had an experience when you or someone you know were not being included? Did you reach out for assistance? Were you able to affect change and/or influence others? Did this experience change your perspective?</t>
  </si>
  <si>
    <t xml:space="preserve">Virginia Tech|3</t>
  </si>
  <si>
    <t xml:space="preserve">Share a time when you were most proud of yourself either as a role model or displaying leadership. What specific skills did you contribute? How did others rely on you for guidance? What did you learn about yourself?</t>
  </si>
  <si>
    <t xml:space="preserve">Virginia Tech|4</t>
  </si>
  <si>
    <t xml:space="preserve">Describe a goal that you have set and the steps you will take to achieve it. What made you set this goal? What is your timeline? Who do you seek encouragement from?</t>
  </si>
  <si>
    <t xml:space="preserve">William &amp; Mary|1</t>
  </si>
  <si>
    <t xml:space="preserve">Are there any particular communities that are important to you, and how do you see yourself being a part of our community?</t>
  </si>
  <si>
    <t xml:space="preserve">300 words</t>
  </si>
  <si>
    <t xml:space="preserve">William &amp; Mary|2</t>
  </si>
  <si>
    <t xml:space="preserve">Share more about a personal academic interest or career goal.</t>
  </si>
  <si>
    <t xml:space="preserve">William &amp; Mary|3</t>
  </si>
  <si>
    <t xml:space="preserve">How has your family, culture and/or background shaped your lived experience?</t>
  </si>
  <si>
    <t xml:space="preserve">William &amp; Mary|4</t>
  </si>
  <si>
    <t xml:space="preserve">What led to your interest in William &amp; Mary?</t>
  </si>
  <si>
    <t xml:space="preserve">William &amp; Mary|5</t>
  </si>
  <si>
    <t xml:space="preserve">Tell us about a challenge or adversity you've experienced and how that has impacted you as an individual. AND: If we visited your town, what would you want to show us?</t>
  </si>
  <si>
    <t xml:space="preserve">300 words each</t>
  </si>
  <si>
    <t xml:space="preserve">University of Texas at Austin|1</t>
  </si>
  <si>
    <t xml:space="preserve">Why are you interested in the major you indicated as your first-choice major?</t>
  </si>
  <si>
    <t xml:space="preserve">about 250-300 words (40 lines)</t>
  </si>
  <si>
    <t xml:space="preserve">University of Texas at Austin|2</t>
  </si>
  <si>
    <t xml:space="preserve">Think of all the activities,  both in and outside of school,  that you have been involved with during high school. Which one are you most proud of and why?</t>
  </si>
  <si>
    <t xml:space="preserve">University of Texas at Austin|3</t>
  </si>
  <si>
    <t xml:space="preserve">Please share background on events or special circumstances that you feel may have impacted your high school academic performance.</t>
  </si>
  <si>
    <t xml:space="preserve">Texas A&amp;M University|1</t>
  </si>
  <si>
    <t xml:space="preserve">Tell us your story. What unique opportunities or challenges have you experienced throughout your high school career that have shaped who you are today?</t>
  </si>
  <si>
    <t xml:space="preserve">750 words (Common App); 9,600 characters (ApplyTexas)</t>
  </si>
  <si>
    <t xml:space="preserve">Texas A&amp;M University|2</t>
  </si>
  <si>
    <t xml:space="preserve">Describe a life event which you feel has prepared you to be successful in college.</t>
  </si>
  <si>
    <t xml:space="preserve">Texas A&amp;M University|3</t>
  </si>
  <si>
    <t xml:space="preserve">In a few words, what are some of your life goals and objectives?</t>
  </si>
  <si>
    <t xml:space="preserve">about 100 words</t>
  </si>
  <si>
    <t xml:space="preserve">Texas A&amp;M University|4</t>
  </si>
  <si>
    <t xml:space="preserve">In a few words, why have you chosen your academic major(s)?</t>
  </si>
  <si>
    <t xml:space="preserve">Texas A&amp;M University|5</t>
  </si>
  <si>
    <t xml:space="preserve">We know you have a lot of options, so why did you choose to apply to Texas A&amp;M, in a few words? AND Briefly describe any educational plans you have beyond earning your bachelor's degree.</t>
  </si>
  <si>
    <t xml:space="preserve">about 100 words each</t>
  </si>
</sst>
</file>

<file path=xl/styles.xml><?xml version="1.0" encoding="utf-8"?>
<styleSheet xmlns="http://schemas.openxmlformats.org/spreadsheetml/2006/main">
  <numFmts count="7">
    <numFmt numFmtId="164" formatCode="General"/>
    <numFmt numFmtId="165" formatCode="General"/>
    <numFmt numFmtId="166" formatCode="mmm\ d&quot;, &quot;yyyy"/>
    <numFmt numFmtId="167" formatCode="mmm\ d"/>
    <numFmt numFmtId="168" formatCode="0%"/>
    <numFmt numFmtId="169" formatCode="\$#,##0"/>
    <numFmt numFmtId="170" formatCode="\$#,##0;&quot;($&quot;#,##0\);\-"/>
  </numFmts>
  <fonts count="25">
    <font>
      <sz val="11"/>
      <color theme="1"/>
      <name val="Calibri"/>
      <family val="2"/>
      <charset val="1"/>
    </font>
    <font>
      <sz val="10"/>
      <name val="Arial"/>
      <family val="0"/>
    </font>
    <font>
      <sz val="10"/>
      <name val="Arial"/>
      <family val="0"/>
    </font>
    <font>
      <sz val="10"/>
      <name val="Arial"/>
      <family val="0"/>
    </font>
    <font>
      <b val="true"/>
      <sz val="16"/>
      <color rgb="FFFFD966"/>
      <name val="Arial"/>
      <family val="0"/>
      <charset val="1"/>
    </font>
    <font>
      <i val="true"/>
      <sz val="10"/>
      <color rgb="FF444444"/>
      <name val="Arial"/>
      <family val="0"/>
      <charset val="1"/>
    </font>
    <font>
      <b val="true"/>
      <sz val="10"/>
      <color rgb="FFFFFFFF"/>
      <name val="Arial"/>
      <family val="0"/>
      <charset val="1"/>
    </font>
    <font>
      <b val="true"/>
      <sz val="10"/>
      <name val="Arial"/>
      <family val="0"/>
      <charset val="1"/>
    </font>
    <font>
      <sz val="10"/>
      <name val="Arial"/>
      <family val="0"/>
      <charset val="1"/>
    </font>
    <font>
      <b val="true"/>
      <sz val="8"/>
      <color rgb="FF666666"/>
      <name val="Arial"/>
      <family val="0"/>
      <charset val="1"/>
    </font>
    <font>
      <b val="true"/>
      <sz val="9"/>
      <color rgb="FF073763"/>
      <name val="Arial"/>
      <family val="0"/>
      <charset val="1"/>
    </font>
    <font>
      <b val="true"/>
      <sz val="14"/>
      <color rgb="FF073763"/>
      <name val="Arial"/>
      <family val="0"/>
      <charset val="1"/>
    </font>
    <font>
      <b val="true"/>
      <sz val="9"/>
      <color rgb="FFFFFFFF"/>
      <name val="Arial"/>
      <family val="0"/>
      <charset val="1"/>
    </font>
    <font>
      <sz val="7"/>
      <color rgb="FFFFFFFF"/>
      <name val="Arial"/>
      <family val="0"/>
      <charset val="1"/>
    </font>
    <font>
      <i val="true"/>
      <sz val="9"/>
      <color rgb="FF666666"/>
      <name val="Arial"/>
      <family val="0"/>
      <charset val="1"/>
    </font>
    <font>
      <b val="true"/>
      <sz val="10"/>
      <color rgb="FF073763"/>
      <name val="Arial"/>
      <family val="0"/>
      <charset val="1"/>
    </font>
    <font>
      <sz val="8"/>
      <color rgb="FF999999"/>
      <name val="Arial"/>
      <family val="0"/>
      <charset val="1"/>
    </font>
    <font>
      <sz val="9"/>
      <color rgb="FF7F0000"/>
      <name val="Arial"/>
      <family val="0"/>
      <charset val="1"/>
    </font>
    <font>
      <sz val="7"/>
      <color rgb="FF999999"/>
      <name val="Arial"/>
      <family val="0"/>
      <charset val="1"/>
    </font>
    <font>
      <b val="true"/>
      <sz val="12"/>
      <color rgb="FF073763"/>
      <name val="Arial"/>
      <family val="0"/>
      <charset val="1"/>
    </font>
    <font>
      <i val="true"/>
      <sz val="9"/>
      <color rgb="FF7F0000"/>
      <name val="Arial"/>
      <family val="0"/>
      <charset val="1"/>
    </font>
    <font>
      <b val="true"/>
      <sz val="11"/>
      <color rgb="FF073763"/>
      <name val="Arial"/>
      <family val="0"/>
      <charset val="1"/>
    </font>
    <font>
      <b val="true"/>
      <sz val="9"/>
      <name val="Arial"/>
      <family val="0"/>
      <charset val="1"/>
    </font>
    <font>
      <sz val="9"/>
      <name val="Arial"/>
      <family val="0"/>
      <charset val="1"/>
    </font>
    <font>
      <i val="true"/>
      <sz val="8"/>
      <color rgb="FF666666"/>
      <name val="Arial"/>
      <family val="0"/>
      <charset val="1"/>
    </font>
  </fonts>
  <fills count="11">
    <fill>
      <patternFill patternType="none"/>
    </fill>
    <fill>
      <patternFill patternType="gray125"/>
    </fill>
    <fill>
      <patternFill patternType="solid">
        <fgColor rgb="FF073763"/>
        <bgColor rgb="FF333399"/>
      </patternFill>
    </fill>
    <fill>
      <patternFill patternType="solid">
        <fgColor rgb="FFEFEFEF"/>
        <bgColor rgb="FFF3F3F3"/>
      </patternFill>
    </fill>
    <fill>
      <patternFill patternType="solid">
        <fgColor rgb="FFF4CCCC"/>
        <bgColor rgb="FFFCE5CD"/>
      </patternFill>
    </fill>
    <fill>
      <patternFill patternType="solid">
        <fgColor rgb="FFFCE5CD"/>
        <bgColor rgb="FFFFF2CC"/>
      </patternFill>
    </fill>
    <fill>
      <patternFill patternType="solid">
        <fgColor rgb="FFF3F3F3"/>
        <bgColor rgb="FFEFEFEF"/>
      </patternFill>
    </fill>
    <fill>
      <patternFill patternType="solid">
        <fgColor rgb="FFFFD966"/>
        <bgColor rgb="FFFFE599"/>
      </patternFill>
    </fill>
    <fill>
      <patternFill patternType="solid">
        <fgColor rgb="FFFFF2CC"/>
        <bgColor rgb="FFFCE5CD"/>
      </patternFill>
    </fill>
    <fill>
      <patternFill patternType="solid">
        <fgColor rgb="FFFFFFFF"/>
        <bgColor rgb="FFFAFAFA"/>
      </patternFill>
    </fill>
    <fill>
      <patternFill patternType="solid">
        <fgColor rgb="FFFFE599"/>
        <bgColor rgb="FFFCE5CD"/>
      </patternFill>
    </fill>
  </fills>
  <borders count="3">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 diagonalUp="false" diagonalDown="false">
      <left style="medium">
        <color rgb="FF073763"/>
      </left>
      <right style="medium">
        <color rgb="FF073763"/>
      </right>
      <top style="medium">
        <color rgb="FF073763"/>
      </top>
      <bottom style="medium">
        <color rgb="FF07376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4" fontId="9" fillId="6" borderId="0" xfId="0" applyFont="true" applyBorder="false" applyAlignment="true" applyProtection="false">
      <alignment horizontal="general" vertical="bottom" textRotation="0" wrapText="true" indent="0" shrinkToFit="false"/>
      <protection locked="true" hidden="false"/>
    </xf>
    <xf numFmtId="164" fontId="10" fillId="7" borderId="0" xfId="0" applyFont="true" applyBorder="true" applyAlignment="true" applyProtection="false">
      <alignment horizontal="general" vertical="bottom" textRotation="0" wrapText="false" indent="0" shrinkToFit="false"/>
      <protection locked="true" hidden="false"/>
    </xf>
    <xf numFmtId="165" fontId="11" fillId="6" borderId="0" xfId="0" applyFont="true" applyBorder="false" applyAlignment="true" applyProtection="false">
      <alignment horizontal="left" vertical="bottom" textRotation="0" wrapText="false" indent="0" shrinkToFit="false"/>
      <protection locked="true" hidden="false"/>
    </xf>
    <xf numFmtId="166" fontId="11" fillId="0" borderId="2" xfId="0" applyFont="true" applyBorder="true" applyAlignment="tru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general" vertical="center" textRotation="0" wrapText="true" indent="0" shrinkToFit="false"/>
      <protection locked="true" hidden="false"/>
    </xf>
    <xf numFmtId="166" fontId="8"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8" borderId="0" xfId="0" applyFont="true" applyBorder="false" applyAlignment="true" applyProtection="false">
      <alignment horizontal="general" vertical="bottom" textRotation="0" wrapText="false" indent="0" shrinkToFit="false"/>
      <protection locked="true" hidden="false"/>
    </xf>
    <xf numFmtId="167" fontId="8" fillId="3" borderId="1" xfId="0" applyFont="true" applyBorder="true" applyAlignment="true" applyProtection="false">
      <alignment horizontal="general" vertical="top" textRotation="0" wrapText="true" indent="0" shrinkToFit="false"/>
      <protection locked="true" hidden="false"/>
    </xf>
    <xf numFmtId="165" fontId="8" fillId="9" borderId="1" xfId="0" applyFont="true" applyBorder="true" applyAlignment="true" applyProtection="false">
      <alignment horizontal="center" vertical="bottom" textRotation="0" wrapText="false" indent="0" shrinkToFit="false"/>
      <protection locked="true" hidden="false"/>
    </xf>
    <xf numFmtId="164" fontId="8" fillId="9"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8" fontId="8" fillId="3" borderId="1" xfId="0" applyFont="true" applyBorder="true" applyAlignment="true" applyProtection="false">
      <alignment horizontal="general" vertical="top" textRotation="0" wrapText="false" indent="0" shrinkToFit="false"/>
      <protection locked="true" hidden="false"/>
    </xf>
    <xf numFmtId="166" fontId="8" fillId="3" borderId="1" xfId="0" applyFont="true" applyBorder="true" applyAlignment="true" applyProtection="false">
      <alignment horizontal="general" vertical="top" textRotation="0" wrapText="false" indent="0" shrinkToFit="false"/>
      <protection locked="true" hidden="false"/>
    </xf>
    <xf numFmtId="169" fontId="8" fillId="3" borderId="1" xfId="0" applyFont="true" applyBorder="true" applyAlignment="true" applyProtection="false">
      <alignment horizontal="general" vertical="top" textRotation="0" wrapText="false" indent="0" shrinkToFit="false"/>
      <protection locked="true" hidden="false"/>
    </xf>
    <xf numFmtId="166" fontId="11" fillId="6" borderId="0" xfId="0" applyFont="true" applyBorder="false" applyAlignment="true" applyProtection="false">
      <alignment horizontal="left" vertical="bottom" textRotation="0" wrapText="fals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6" fontId="8" fillId="9" borderId="1" xfId="0" applyFont="true" applyBorder="true" applyAlignment="true" applyProtection="false">
      <alignment horizontal="general" vertical="top" textRotation="0" wrapText="true" indent="0" shrinkToFit="false"/>
      <protection locked="true" hidden="false"/>
    </xf>
    <xf numFmtId="169" fontId="8" fillId="3" borderId="1" xfId="0" applyFont="true" applyBorder="true" applyAlignment="true" applyProtection="false">
      <alignment horizontal="general" vertical="top" textRotation="0" wrapText="true" indent="0" shrinkToFit="false"/>
      <protection locked="true" hidden="false"/>
    </xf>
    <xf numFmtId="164" fontId="17"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2" fillId="2" borderId="0"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bottom" textRotation="0" wrapText="true" indent="0" shrinkToFit="false"/>
      <protection locked="true" hidden="false"/>
    </xf>
    <xf numFmtId="167" fontId="8" fillId="3" borderId="1" xfId="0" applyFont="true" applyBorder="true" applyAlignment="true" applyProtection="false">
      <alignment horizontal="general" vertical="top" textRotation="0" wrapText="false" indent="0" shrinkToFit="false"/>
      <protection locked="true" hidden="false"/>
    </xf>
    <xf numFmtId="164" fontId="8" fillId="10"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9" fontId="11" fillId="6" borderId="0" xfId="0" applyFont="true" applyBorder="false" applyAlignment="true" applyProtection="false">
      <alignment horizontal="left" vertical="bottom" textRotation="0" wrapText="false" indent="0" shrinkToFit="false"/>
      <protection locked="true" hidden="false"/>
    </xf>
    <xf numFmtId="169" fontId="8" fillId="9" borderId="1" xfId="0" applyFont="true" applyBorder="tru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0" fillId="9" borderId="1" xfId="0" applyFont="false" applyBorder="true" applyAlignment="true" applyProtection="false">
      <alignment horizontal="general" vertical="bottom" textRotation="0" wrapText="false" indent="0" shrinkToFit="false"/>
      <protection locked="true" hidden="false"/>
    </xf>
    <xf numFmtId="170" fontId="0" fillId="9" borderId="1" xfId="0" applyFont="false" applyBorder="true" applyAlignment="true" applyProtection="false">
      <alignment horizontal="general" vertical="bottom" textRotation="0" wrapText="false" indent="0" shrinkToFit="false"/>
      <protection locked="true" hidden="false"/>
    </xf>
    <xf numFmtId="170" fontId="7" fillId="3" borderId="1"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4" fontId="21" fillId="3" borderId="1" xfId="0" applyFont="true" applyBorder="true" applyAlignment="true" applyProtection="false">
      <alignment horizontal="general" vertical="bottom" textRotation="0" wrapText="false" indent="0" shrinkToFit="false"/>
      <protection locked="true" hidden="false"/>
    </xf>
    <xf numFmtId="167" fontId="21" fillId="3" borderId="1" xfId="0" applyFont="true" applyBorder="true" applyAlignment="true" applyProtection="false">
      <alignment horizontal="general" vertical="bottom" textRotation="0" wrapText="false" indent="0" shrinkToFit="false"/>
      <protection locked="true" hidden="false"/>
    </xf>
    <xf numFmtId="166" fontId="21" fillId="3" borderId="1" xfId="0" applyFont="true" applyBorder="true" applyAlignment="true" applyProtection="false">
      <alignment horizontal="general" vertical="bottom" textRotation="0" wrapText="false" indent="0" shrinkToFit="false"/>
      <protection locked="true" hidden="false"/>
    </xf>
    <xf numFmtId="169" fontId="21" fillId="3" borderId="1" xfId="0" applyFont="true" applyBorder="tru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6"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tru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9" fontId="23" fillId="0" borderId="0" xfId="0" applyFont="true" applyBorder="false" applyAlignment="true" applyProtection="false">
      <alignment horizontal="general" vertical="bottom" textRotation="0" wrapText="false" indent="0" shrinkToFit="false"/>
      <protection locked="true" hidden="false"/>
    </xf>
    <xf numFmtId="168" fontId="23" fillId="0" borderId="0" xfId="0" applyFont="true" applyBorder="false" applyAlignment="tru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top" textRotation="0" wrapText="fals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bgColor rgb="FFF4CCCC"/>
        </patternFill>
      </fill>
    </dxf>
    <dxf>
      <fill>
        <patternFill>
          <bgColor rgb="FFFCE5CD"/>
        </patternFill>
      </fill>
    </dxf>
    <dxf>
      <font>
        <strike val="1"/>
        <color rgb="FF999999"/>
      </font>
    </dxf>
    <dxf>
      <fill>
        <patternFill patternType="solid">
          <fgColor rgb="FF073763"/>
          <bgColor rgb="FF000000"/>
        </patternFill>
      </fill>
    </dxf>
    <dxf>
      <fill>
        <patternFill patternType="solid">
          <fgColor rgb="FFEFEFEF"/>
          <bgColor rgb="FF000000"/>
        </patternFill>
      </fill>
    </dxf>
    <dxf>
      <fill>
        <patternFill patternType="solid">
          <fgColor rgb="FFFFFFFF"/>
          <bgColor rgb="FF000000"/>
        </patternFill>
      </fill>
    </dxf>
    <dxf>
      <fill>
        <patternFill patternType="solid">
          <bgColor rgb="FF000000"/>
        </patternFill>
      </fill>
    </dxf>
    <dxf>
      <fill>
        <patternFill patternType="solid">
          <fgColor rgb="FFD9EAD3"/>
          <bgColor rgb="FF000000"/>
        </patternFill>
      </fill>
    </dxf>
    <dxf>
      <fill>
        <patternFill patternType="solid">
          <fgColor rgb="FFF4CCCC"/>
          <bgColor rgb="FF000000"/>
        </patternFill>
      </fill>
    </dxf>
    <dxf>
      <fill>
        <patternFill patternType="solid">
          <fgColor rgb="FFFFF2CC"/>
          <bgColor rgb="FF000000"/>
        </patternFill>
      </fill>
    </dxf>
    <dxf>
      <font>
        <b val="1"/>
      </font>
      <fill>
        <patternFill>
          <bgColor rgb="FFD9EAD3"/>
        </patternFill>
      </fill>
    </dxf>
    <dxf>
      <font>
        <b val="1"/>
      </font>
      <fill>
        <patternFill>
          <bgColor rgb="FFFFF2CC"/>
        </patternFill>
      </fill>
    </dxf>
    <dxf>
      <font>
        <b val="1"/>
      </font>
      <fill>
        <patternFill>
          <bgColor rgb="FFF4CCCC"/>
        </patternFill>
      </fill>
    </dxf>
    <dxf>
      <font>
        <b val="1"/>
        <color rgb="FF073763"/>
      </font>
      <fill>
        <patternFill>
          <bgColor rgb="FFFFD966"/>
        </patternFill>
      </fill>
    </dxf>
    <dxf>
      <font>
        <strike val="1"/>
        <color rgb="FFAAAAAA"/>
      </font>
    </dxf>
    <dxf>
      <fill>
        <patternFill>
          <bgColor rgb="FFFFF2CC"/>
        </patternFill>
      </fill>
    </dxf>
    <dxf>
      <font>
        <color rgb="FF38761D"/>
      </font>
      <fill>
        <patternFill>
          <bgColor rgb="FFD9EAD3"/>
        </patternFill>
      </fill>
    </dxf>
    <dxf>
      <font>
        <color rgb="FFBBBBBB"/>
      </font>
    </dxf>
    <dxf>
      <font>
        <color rgb="FFFFFFFF"/>
      </font>
      <fill>
        <patternFill>
          <bgColor rgb="FFFAFAFA"/>
        </patternFill>
      </fill>
    </dxf>
  </dxfs>
  <colors>
    <indexedColors>
      <rgbColor rgb="FF000000"/>
      <rgbColor rgb="FFFFFFFF"/>
      <rgbColor rgb="FFFF0000"/>
      <rgbColor rgb="FF00FF00"/>
      <rgbColor rgb="FF0000FF"/>
      <rgbColor rgb="FFFFFF00"/>
      <rgbColor rgb="FFFF00FF"/>
      <rgbColor rgb="FF00FFFF"/>
      <rgbColor rgb="FF7F0000"/>
      <rgbColor rgb="FF38761D"/>
      <rgbColor rgb="FF000080"/>
      <rgbColor rgb="FF808000"/>
      <rgbColor rgb="FF800080"/>
      <rgbColor rgb="FF008080"/>
      <rgbColor rgb="FFBBBBBB"/>
      <rgbColor rgb="FF808080"/>
      <rgbColor rgb="FFAAAAAA"/>
      <rgbColor rgb="FF993366"/>
      <rgbColor rgb="FFFFF2CC"/>
      <rgbColor rgb="FFEFEFE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F3F3F3"/>
      <rgbColor rgb="FFD9EAD3"/>
      <rgbColor rgb="FFFFE599"/>
      <rgbColor rgb="FFFAFAFA"/>
      <rgbColor rgb="FFFCE5CD"/>
      <rgbColor rgb="FFCC99FF"/>
      <rgbColor rgb="FFF4CCCC"/>
      <rgbColor rgb="FF3366FF"/>
      <rgbColor rgb="FF33CCCC"/>
      <rgbColor rgb="FF99CC00"/>
      <rgbColor rgb="FFFFD966"/>
      <rgbColor rgb="FFFF9900"/>
      <rgbColor rgb="FFFF6600"/>
      <rgbColor rgb="FF666666"/>
      <rgbColor rgb="FF999999"/>
      <rgbColor rgb="FF073763"/>
      <rgbColor rgb="FF339966"/>
      <rgbColor rgb="FF003300"/>
      <rgbColor rgb="FF333300"/>
      <rgbColor rgb="FF993300"/>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82"/>
    <col collapsed="false" customWidth="true" hidden="false" outlineLevel="0" max="4" min="4" style="1" width="3"/>
  </cols>
  <sheetData>
    <row r="1" customFormat="false" ht="30" hidden="false" customHeight="true" outlineLevel="0" collapsed="false">
      <c r="A1" s="2" t="s">
        <v>0</v>
      </c>
      <c r="B1" s="3"/>
      <c r="C1" s="3"/>
      <c r="D1" s="3"/>
    </row>
    <row r="2" customFormat="false" ht="43.5" hidden="false" customHeight="true" outlineLevel="0" collapsed="false">
      <c r="A2" s="4" t="s">
        <v>1</v>
      </c>
      <c r="B2" s="4"/>
      <c r="C2" s="4"/>
      <c r="D2" s="4"/>
    </row>
    <row r="4" customFormat="false" ht="15" hidden="false" customHeight="true" outlineLevel="0" collapsed="false">
      <c r="B4" s="5" t="s">
        <v>2</v>
      </c>
      <c r="C4" s="3"/>
    </row>
    <row r="5" customFormat="false" ht="23.25" hidden="false" customHeight="true" outlineLevel="0" collapsed="false">
      <c r="B5" s="6" t="s">
        <v>3</v>
      </c>
      <c r="C5" s="7" t="s">
        <v>4</v>
      </c>
    </row>
    <row r="6" customFormat="false" ht="23.25" hidden="false" customHeight="true" outlineLevel="0" collapsed="false">
      <c r="B6" s="6" t="s">
        <v>5</v>
      </c>
      <c r="C6" s="7" t="s">
        <v>6</v>
      </c>
    </row>
    <row r="7" customFormat="false" ht="23.25" hidden="false" customHeight="true" outlineLevel="0" collapsed="false">
      <c r="B7" s="6" t="s">
        <v>7</v>
      </c>
      <c r="C7" s="7" t="s">
        <v>8</v>
      </c>
    </row>
    <row r="8" customFormat="false" ht="15" hidden="false" customHeight="true" outlineLevel="0" collapsed="false">
      <c r="B8" s="6" t="s">
        <v>9</v>
      </c>
      <c r="C8" s="7" t="s">
        <v>10</v>
      </c>
    </row>
    <row r="9" customFormat="false" ht="23.25" hidden="false" customHeight="true" outlineLevel="0" collapsed="false">
      <c r="B9" s="6" t="s">
        <v>11</v>
      </c>
      <c r="C9" s="7" t="s">
        <v>12</v>
      </c>
    </row>
    <row r="10" customFormat="false" ht="15" hidden="false" customHeight="true" outlineLevel="0" collapsed="false">
      <c r="B10" s="6" t="s">
        <v>13</v>
      </c>
      <c r="C10" s="7" t="s">
        <v>14</v>
      </c>
    </row>
    <row r="11" customFormat="false" ht="15" hidden="false" customHeight="true" outlineLevel="0" collapsed="false">
      <c r="B11" s="6" t="s">
        <v>15</v>
      </c>
      <c r="C11" s="7" t="s">
        <v>16</v>
      </c>
    </row>
    <row r="12" customFormat="false" ht="15" hidden="false" customHeight="true" outlineLevel="0" collapsed="false">
      <c r="B12" s="6"/>
      <c r="C12" s="7"/>
    </row>
    <row r="13" customFormat="false" ht="15" hidden="false" customHeight="true" outlineLevel="0" collapsed="false">
      <c r="B13" s="5" t="s">
        <v>17</v>
      </c>
      <c r="C13" s="3"/>
    </row>
    <row r="14" customFormat="false" ht="15" hidden="false" customHeight="true" outlineLevel="0" collapsed="false">
      <c r="B14" s="6" t="s">
        <v>18</v>
      </c>
      <c r="C14" s="7" t="s">
        <v>19</v>
      </c>
    </row>
    <row r="15" customFormat="false" ht="15" hidden="false" customHeight="true" outlineLevel="0" collapsed="false">
      <c r="B15" s="8" t="s">
        <v>20</v>
      </c>
      <c r="C15" s="7" t="s">
        <v>21</v>
      </c>
    </row>
    <row r="16" customFormat="false" ht="15" hidden="false" customHeight="true" outlineLevel="0" collapsed="false">
      <c r="B16" s="9" t="s">
        <v>22</v>
      </c>
      <c r="C16" s="7" t="s">
        <v>23</v>
      </c>
    </row>
    <row r="17" customFormat="false" ht="15" hidden="false" customHeight="true" outlineLevel="0" collapsed="false">
      <c r="B17" s="10" t="s">
        <v>24</v>
      </c>
      <c r="C17" s="7" t="s">
        <v>25</v>
      </c>
    </row>
    <row r="18" customFormat="false" ht="15" hidden="false" customHeight="true" outlineLevel="0" collapsed="false">
      <c r="B18" s="11"/>
      <c r="C18" s="7"/>
    </row>
    <row r="19" customFormat="false" ht="15" hidden="false" customHeight="true" outlineLevel="0" collapsed="false">
      <c r="B19" s="5" t="s">
        <v>26</v>
      </c>
      <c r="C19" s="3"/>
    </row>
    <row r="20" customFormat="false" ht="23.25" hidden="false" customHeight="true" outlineLevel="0" collapsed="false">
      <c r="B20" s="6" t="s">
        <v>27</v>
      </c>
      <c r="C20" s="7" t="s">
        <v>28</v>
      </c>
    </row>
    <row r="21" customFormat="false" ht="23.25" hidden="false" customHeight="true" outlineLevel="0" collapsed="false">
      <c r="B21" s="6" t="s">
        <v>29</v>
      </c>
      <c r="C21" s="7" t="s">
        <v>30</v>
      </c>
    </row>
    <row r="22" customFormat="false" ht="23.25" hidden="false" customHeight="true" outlineLevel="0" collapsed="false">
      <c r="B22" s="6" t="s">
        <v>31</v>
      </c>
      <c r="C22" s="7" t="s">
        <v>32</v>
      </c>
    </row>
    <row r="23" customFormat="false" ht="15" hidden="false" customHeight="true" outlineLevel="0" collapsed="false">
      <c r="B23" s="6" t="s">
        <v>33</v>
      </c>
      <c r="C23" s="7" t="s">
        <v>34</v>
      </c>
    </row>
    <row r="24" customFormat="false" ht="15" hidden="false" customHeight="true" outlineLevel="0" collapsed="false">
      <c r="B24" s="6" t="s">
        <v>35</v>
      </c>
      <c r="C24" s="7" t="s">
        <v>36</v>
      </c>
    </row>
    <row r="25" customFormat="false" ht="15" hidden="false" customHeight="true" outlineLevel="0" collapsed="false">
      <c r="B25" s="6" t="s">
        <v>37</v>
      </c>
      <c r="C25" s="7" t="s">
        <v>38</v>
      </c>
    </row>
    <row r="26" customFormat="false" ht="15" hidden="false" customHeight="true" outlineLevel="0" collapsed="false">
      <c r="B26" s="6" t="s">
        <v>39</v>
      </c>
      <c r="C26" s="7" t="s">
        <v>40</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15"/>
    <col collapsed="false" customWidth="true" hidden="false" outlineLevel="0" max="3" min="3" style="1" width="34"/>
    <col collapsed="false" customWidth="true" hidden="false" outlineLevel="0" max="4" min="4" style="1" width="58"/>
    <col collapsed="false" customWidth="true" hidden="false" outlineLevel="0" max="5" min="5" style="1" width="12"/>
    <col collapsed="false" customWidth="true" hidden="false" outlineLevel="0" max="6" min="6" style="1" width="8"/>
    <col collapsed="false" customWidth="true" hidden="false" outlineLevel="0" max="7" min="7" style="1" width="34"/>
    <col collapsed="false" customWidth="true" hidden="true" outlineLevel="0" max="8" min="8" style="1" width="13"/>
  </cols>
  <sheetData>
    <row r="1" customFormat="false" ht="30" hidden="false" customHeight="true" outlineLevel="0" collapsed="false">
      <c r="A1" s="2" t="s">
        <v>41</v>
      </c>
      <c r="B1" s="3"/>
      <c r="C1" s="3"/>
      <c r="D1" s="3"/>
      <c r="E1" s="3"/>
      <c r="F1" s="3"/>
      <c r="G1" s="3"/>
    </row>
    <row r="2" customFormat="false" ht="43.5" hidden="false" customHeight="true" outlineLevel="0" collapsed="false">
      <c r="A2" s="4" t="s">
        <v>42</v>
      </c>
      <c r="B2" s="4"/>
      <c r="C2" s="4"/>
      <c r="D2" s="4"/>
      <c r="E2" s="4"/>
      <c r="F2" s="4"/>
      <c r="G2" s="4"/>
    </row>
    <row r="4" customFormat="false" ht="25.5" hidden="false" customHeight="true" outlineLevel="0" collapsed="false">
      <c r="A4" s="12" t="s">
        <v>43</v>
      </c>
      <c r="B4" s="12" t="s">
        <v>44</v>
      </c>
      <c r="C4" s="12" t="s">
        <v>45</v>
      </c>
      <c r="D4" s="12" t="s">
        <v>46</v>
      </c>
      <c r="F4" s="13" t="s">
        <v>47</v>
      </c>
      <c r="G4" s="13"/>
    </row>
    <row r="5" customFormat="false" ht="17.25" hidden="false" customHeight="true" outlineLevel="0" collapsed="false">
      <c r="A5" s="14" t="n">
        <f aca="false">'Next Steps'!A5</f>
        <v>0</v>
      </c>
      <c r="B5" s="14" t="n">
        <f aca="false">'Next Steps'!C5</f>
        <v>0</v>
      </c>
      <c r="C5" s="14" t="n">
        <f aca="true">SUMPRODUCT(ISNUMBER($A$22:$A$78)*($A$22:$A$78&lt;TODAY())*($E$22:$E$78&lt;&gt;TRUE())*($D$22:$D$78&lt;&gt;""))</f>
        <v>0</v>
      </c>
      <c r="D5" s="14" t="n">
        <f aca="true">SUMPRODUCT(ISNUMBER($A$22:$A$78)*($A$22:$A$78&gt;=TODAY())*($A$22:$A$78&lt;=TODAY()+7)*($E$22:$E$78&lt;&gt;TRUE())*($D$22:$D$78&lt;&gt;""))</f>
        <v>12</v>
      </c>
      <c r="F5" s="15"/>
      <c r="G5" s="15"/>
    </row>
    <row r="8" customFormat="false" ht="31.5" hidden="false" customHeight="true" outlineLevel="0" collapsed="false">
      <c r="A8" s="16" t="s">
        <v>48</v>
      </c>
      <c r="B8" s="16" t="s">
        <v>49</v>
      </c>
      <c r="C8" s="16" t="s">
        <v>50</v>
      </c>
      <c r="D8" s="16" t="s">
        <v>51</v>
      </c>
    </row>
    <row r="9" customFormat="false" ht="15" hidden="false" customHeight="true" outlineLevel="0" collapsed="false">
      <c r="A9" s="17" t="str">
        <f aca="false">IF($H9="","",INT($H9))</f>
        <v/>
      </c>
      <c r="B9" s="18" t="str">
        <f aca="true">IF($A9="","",$A9-TODAY())</f>
        <v/>
      </c>
      <c r="C9" s="18" t="str">
        <f aca="false">IF($H9="","",INDEX('Next Steps'!$A$8:$A$27,SUMPRODUCT(('Next Steps'!$AE$8:$AP$27=$H9)*(ROW('Next Steps'!$AE$8:$AP$27)-7))))</f>
        <v/>
      </c>
      <c r="D9" s="18" t="str">
        <f aca="false">IF($H9="","",INDEX('Next Steps'!$AE$6:$AP$6,SUMPRODUCT(('Next Steps'!$AE$8:$AP$27=$H9)*(COLUMN('Next Steps'!$AE$8:$AP$27)-COLUMN('Next Steps'!$AE$6)+1))))</f>
        <v/>
      </c>
      <c r="H9" s="19" t="str">
        <f aca="false">IFERROR(SMALL('Next Steps'!$AE$8:$AP$27,1),"")</f>
        <v/>
      </c>
    </row>
    <row r="10" customFormat="false" ht="15" hidden="false" customHeight="true" outlineLevel="0" collapsed="false">
      <c r="A10" s="17" t="str">
        <f aca="false">IF($H10="","",INT($H10))</f>
        <v/>
      </c>
      <c r="B10" s="18" t="str">
        <f aca="true">IF($A10="","",$A10-TODAY())</f>
        <v/>
      </c>
      <c r="C10" s="18" t="str">
        <f aca="false">IF($H10="","",INDEX('Next Steps'!$A$8:$A$27,SUMPRODUCT(('Next Steps'!$AE$8:$AP$27=$H10)*(ROW('Next Steps'!$AE$8:$AP$27)-7))))</f>
        <v/>
      </c>
      <c r="D10" s="18" t="str">
        <f aca="false">IF($H10="","",INDEX('Next Steps'!$AE$6:$AP$6,SUMPRODUCT(('Next Steps'!$AE$8:$AP$27=$H10)*(COLUMN('Next Steps'!$AE$8:$AP$27)-COLUMN('Next Steps'!$AE$6)+1))))</f>
        <v/>
      </c>
      <c r="H10" s="19" t="str">
        <f aca="false">IFERROR(SMALL('Next Steps'!$AE$8:$AP$27,2),"")</f>
        <v/>
      </c>
    </row>
    <row r="11" customFormat="false" ht="15" hidden="false" customHeight="true" outlineLevel="0" collapsed="false">
      <c r="A11" s="17" t="str">
        <f aca="false">IF($H11="","",INT($H11))</f>
        <v/>
      </c>
      <c r="B11" s="18" t="str">
        <f aca="true">IF($A11="","",$A11-TODAY())</f>
        <v/>
      </c>
      <c r="C11" s="18" t="str">
        <f aca="false">IF($H11="","",INDEX('Next Steps'!$A$8:$A$27,SUMPRODUCT(('Next Steps'!$AE$8:$AP$27=$H11)*(ROW('Next Steps'!$AE$8:$AP$27)-7))))</f>
        <v/>
      </c>
      <c r="D11" s="18" t="str">
        <f aca="false">IF($H11="","",INDEX('Next Steps'!$AE$6:$AP$6,SUMPRODUCT(('Next Steps'!$AE$8:$AP$27=$H11)*(COLUMN('Next Steps'!$AE$8:$AP$27)-COLUMN('Next Steps'!$AE$6)+1))))</f>
        <v/>
      </c>
      <c r="H11" s="19" t="str">
        <f aca="false">IFERROR(SMALL('Next Steps'!$AE$8:$AP$27,3),"")</f>
        <v/>
      </c>
    </row>
    <row r="12" customFormat="false" ht="15" hidden="false" customHeight="true" outlineLevel="0" collapsed="false">
      <c r="A12" s="17" t="str">
        <f aca="false">IF($H12="","",INT($H12))</f>
        <v/>
      </c>
      <c r="B12" s="18" t="str">
        <f aca="true">IF($A12="","",$A12-TODAY())</f>
        <v/>
      </c>
      <c r="C12" s="18" t="str">
        <f aca="false">IF($H12="","",INDEX('Next Steps'!$A$8:$A$27,SUMPRODUCT(('Next Steps'!$AE$8:$AP$27=$H12)*(ROW('Next Steps'!$AE$8:$AP$27)-7))))</f>
        <v/>
      </c>
      <c r="D12" s="18" t="str">
        <f aca="false">IF($H12="","",INDEX('Next Steps'!$AE$6:$AP$6,SUMPRODUCT(('Next Steps'!$AE$8:$AP$27=$H12)*(COLUMN('Next Steps'!$AE$8:$AP$27)-COLUMN('Next Steps'!$AE$6)+1))))</f>
        <v/>
      </c>
      <c r="H12" s="19" t="str">
        <f aca="false">IFERROR(SMALL('Next Steps'!$AE$8:$AP$27,4),"")</f>
        <v/>
      </c>
    </row>
    <row r="13" customFormat="false" ht="15" hidden="false" customHeight="true" outlineLevel="0" collapsed="false">
      <c r="A13" s="17" t="str">
        <f aca="false">IF($H13="","",INT($H13))</f>
        <v/>
      </c>
      <c r="B13" s="18" t="str">
        <f aca="true">IF($A13="","",$A13-TODAY())</f>
        <v/>
      </c>
      <c r="C13" s="18" t="str">
        <f aca="false">IF($H13="","",INDEX('Next Steps'!$A$8:$A$27,SUMPRODUCT(('Next Steps'!$AE$8:$AP$27=$H13)*(ROW('Next Steps'!$AE$8:$AP$27)-7))))</f>
        <v/>
      </c>
      <c r="D13" s="18" t="str">
        <f aca="false">IF($H13="","",INDEX('Next Steps'!$AE$6:$AP$6,SUMPRODUCT(('Next Steps'!$AE$8:$AP$27=$H13)*(COLUMN('Next Steps'!$AE$8:$AP$27)-COLUMN('Next Steps'!$AE$6)+1))))</f>
        <v/>
      </c>
      <c r="H13" s="19" t="str">
        <f aca="false">IFERROR(SMALL('Next Steps'!$AE$8:$AP$27,5),"")</f>
        <v/>
      </c>
    </row>
    <row r="14" customFormat="false" ht="15" hidden="false" customHeight="true" outlineLevel="0" collapsed="false">
      <c r="A14" s="17" t="str">
        <f aca="false">IF($H14="","",INT($H14))</f>
        <v/>
      </c>
      <c r="B14" s="18" t="str">
        <f aca="true">IF($A14="","",$A14-TODAY())</f>
        <v/>
      </c>
      <c r="C14" s="18" t="str">
        <f aca="false">IF($H14="","",INDEX('Next Steps'!$A$8:$A$27,SUMPRODUCT(('Next Steps'!$AE$8:$AP$27=$H14)*(ROW('Next Steps'!$AE$8:$AP$27)-7))))</f>
        <v/>
      </c>
      <c r="D14" s="18" t="str">
        <f aca="false">IF($H14="","",INDEX('Next Steps'!$AE$6:$AP$6,SUMPRODUCT(('Next Steps'!$AE$8:$AP$27=$H14)*(COLUMN('Next Steps'!$AE$8:$AP$27)-COLUMN('Next Steps'!$AE$6)+1))))</f>
        <v/>
      </c>
      <c r="H14" s="19" t="str">
        <f aca="false">IFERROR(SMALL('Next Steps'!$AE$8:$AP$27,6),"")</f>
        <v/>
      </c>
    </row>
    <row r="15" customFormat="false" ht="15" hidden="false" customHeight="true" outlineLevel="0" collapsed="false">
      <c r="A15" s="17" t="str">
        <f aca="false">IF($H15="","",INT($H15))</f>
        <v/>
      </c>
      <c r="B15" s="18" t="str">
        <f aca="true">IF($A15="","",$A15-TODAY())</f>
        <v/>
      </c>
      <c r="C15" s="18" t="str">
        <f aca="false">IF($H15="","",INDEX('Next Steps'!$A$8:$A$27,SUMPRODUCT(('Next Steps'!$AE$8:$AP$27=$H15)*(ROW('Next Steps'!$AE$8:$AP$27)-7))))</f>
        <v/>
      </c>
      <c r="D15" s="18" t="str">
        <f aca="false">IF($H15="","",INDEX('Next Steps'!$AE$6:$AP$6,SUMPRODUCT(('Next Steps'!$AE$8:$AP$27=$H15)*(COLUMN('Next Steps'!$AE$8:$AP$27)-COLUMN('Next Steps'!$AE$6)+1))))</f>
        <v/>
      </c>
      <c r="H15" s="19" t="str">
        <f aca="false">IFERROR(SMALL('Next Steps'!$AE$8:$AP$27,7),"")</f>
        <v/>
      </c>
    </row>
    <row r="16" customFormat="false" ht="15" hidden="false" customHeight="true" outlineLevel="0" collapsed="false">
      <c r="A16" s="17" t="str">
        <f aca="false">IF($H16="","",INT($H16))</f>
        <v/>
      </c>
      <c r="B16" s="18" t="str">
        <f aca="true">IF($A16="","",$A16-TODAY())</f>
        <v/>
      </c>
      <c r="C16" s="18" t="str">
        <f aca="false">IF($H16="","",INDEX('Next Steps'!$A$8:$A$27,SUMPRODUCT(('Next Steps'!$AE$8:$AP$27=$H16)*(ROW('Next Steps'!$AE$8:$AP$27)-7))))</f>
        <v/>
      </c>
      <c r="D16" s="18" t="str">
        <f aca="false">IF($H16="","",INDEX('Next Steps'!$AE$6:$AP$6,SUMPRODUCT(('Next Steps'!$AE$8:$AP$27=$H16)*(COLUMN('Next Steps'!$AE$8:$AP$27)-COLUMN('Next Steps'!$AE$6)+1))))</f>
        <v/>
      </c>
      <c r="H16" s="19" t="str">
        <f aca="false">IFERROR(SMALL('Next Steps'!$AE$8:$AP$27,8),"")</f>
        <v/>
      </c>
    </row>
    <row r="17" customFormat="false" ht="15" hidden="false" customHeight="true" outlineLevel="0" collapsed="false">
      <c r="A17" s="17" t="str">
        <f aca="false">IF($H17="","",INT($H17))</f>
        <v/>
      </c>
      <c r="B17" s="18" t="str">
        <f aca="true">IF($A17="","",$A17-TODAY())</f>
        <v/>
      </c>
      <c r="C17" s="18" t="str">
        <f aca="false">IF($H17="","",INDEX('Next Steps'!$A$8:$A$27,SUMPRODUCT(('Next Steps'!$AE$8:$AP$27=$H17)*(ROW('Next Steps'!$AE$8:$AP$27)-7))))</f>
        <v/>
      </c>
      <c r="D17" s="18" t="str">
        <f aca="false">IF($H17="","",INDEX('Next Steps'!$AE$6:$AP$6,SUMPRODUCT(('Next Steps'!$AE$8:$AP$27=$H17)*(COLUMN('Next Steps'!$AE$8:$AP$27)-COLUMN('Next Steps'!$AE$6)+1))))</f>
        <v/>
      </c>
      <c r="H17" s="19" t="str">
        <f aca="false">IFERROR(SMALL('Next Steps'!$AE$8:$AP$27,9),"")</f>
        <v/>
      </c>
    </row>
    <row r="18" customFormat="false" ht="15" hidden="false" customHeight="true" outlineLevel="0" collapsed="false">
      <c r="A18" s="17" t="str">
        <f aca="false">IF($H18="","",INT($H18))</f>
        <v/>
      </c>
      <c r="B18" s="18" t="str">
        <f aca="true">IF($A18="","",$A18-TODAY())</f>
        <v/>
      </c>
      <c r="C18" s="18" t="str">
        <f aca="false">IF($H18="","",INDEX('Next Steps'!$A$8:$A$27,SUMPRODUCT(('Next Steps'!$AE$8:$AP$27=$H18)*(ROW('Next Steps'!$AE$8:$AP$27)-7))))</f>
        <v/>
      </c>
      <c r="D18" s="18" t="str">
        <f aca="false">IF($H18="","",INDEX('Next Steps'!$AE$6:$AP$6,SUMPRODUCT(('Next Steps'!$AE$8:$AP$27=$H18)*(COLUMN('Next Steps'!$AE$8:$AP$27)-COLUMN('Next Steps'!$AE$6)+1))))</f>
        <v/>
      </c>
      <c r="H18" s="19" t="str">
        <f aca="false">IFERROR(SMALL('Next Steps'!$AE$8:$AP$27,10),"")</f>
        <v/>
      </c>
    </row>
    <row r="19" customFormat="false" ht="15" hidden="false" customHeight="true" outlineLevel="0" collapsed="false">
      <c r="A19" s="20" t="s">
        <v>52</v>
      </c>
    </row>
    <row r="21" customFormat="false" ht="31.5" hidden="false" customHeight="true" outlineLevel="0" collapsed="false">
      <c r="A21" s="16" t="s">
        <v>53</v>
      </c>
      <c r="B21" s="16" t="s">
        <v>54</v>
      </c>
      <c r="C21" s="16" t="s">
        <v>55</v>
      </c>
      <c r="D21" s="16" t="s">
        <v>56</v>
      </c>
      <c r="E21" s="16" t="s">
        <v>57</v>
      </c>
      <c r="F21" s="16"/>
      <c r="G21" s="16" t="s">
        <v>58</v>
      </c>
    </row>
    <row r="22" customFormat="false" ht="15" hidden="false" customHeight="true" outlineLevel="0" collapsed="false">
      <c r="A22" s="21" t="s">
        <v>59</v>
      </c>
      <c r="B22" s="21"/>
      <c r="C22" s="21"/>
      <c r="D22" s="21"/>
      <c r="E22" s="21"/>
      <c r="F22" s="21"/>
      <c r="G22" s="21"/>
    </row>
    <row r="23" customFormat="false" ht="15" hidden="false" customHeight="true" outlineLevel="0" collapsed="false">
      <c r="A23" s="22" t="n">
        <v>46310</v>
      </c>
      <c r="B23" s="18" t="s">
        <v>60</v>
      </c>
      <c r="C23" s="18" t="s">
        <v>61</v>
      </c>
      <c r="D23" s="18" t="s">
        <v>62</v>
      </c>
      <c r="E23" s="23" t="b">
        <f aca="false">FALSE()</f>
        <v>0</v>
      </c>
      <c r="F23" s="18"/>
      <c r="G23" s="24"/>
    </row>
    <row r="24" customFormat="false" ht="15" hidden="false" customHeight="true" outlineLevel="0" collapsed="false">
      <c r="A24" s="22" t="n">
        <v>46310</v>
      </c>
      <c r="B24" s="18" t="s">
        <v>60</v>
      </c>
      <c r="C24" s="18" t="s">
        <v>61</v>
      </c>
      <c r="D24" s="18" t="s">
        <v>63</v>
      </c>
      <c r="E24" s="23" t="b">
        <f aca="false">FALSE()</f>
        <v>0</v>
      </c>
      <c r="F24" s="18"/>
      <c r="G24" s="24"/>
    </row>
    <row r="25" customFormat="false" ht="23.25" hidden="false" customHeight="true" outlineLevel="0" collapsed="false">
      <c r="A25" s="22" t="n">
        <v>46310</v>
      </c>
      <c r="B25" s="18" t="s">
        <v>60</v>
      </c>
      <c r="C25" s="18" t="s">
        <v>64</v>
      </c>
      <c r="D25" s="18" t="s">
        <v>65</v>
      </c>
      <c r="E25" s="23" t="b">
        <f aca="false">FALSE()</f>
        <v>0</v>
      </c>
      <c r="F25" s="18"/>
      <c r="G25" s="24"/>
    </row>
    <row r="26" customFormat="false" ht="23.25" hidden="false" customHeight="true" outlineLevel="0" collapsed="false">
      <c r="A26" s="22" t="n">
        <v>46310</v>
      </c>
      <c r="B26" s="18" t="s">
        <v>66</v>
      </c>
      <c r="C26" s="18" t="s">
        <v>61</v>
      </c>
      <c r="D26" s="18" t="s">
        <v>67</v>
      </c>
      <c r="E26" s="23" t="b">
        <f aca="false">FALSE()</f>
        <v>0</v>
      </c>
      <c r="F26" s="18"/>
      <c r="G26" s="24"/>
    </row>
    <row r="27" customFormat="false" ht="15" hidden="false" customHeight="true" outlineLevel="0" collapsed="false">
      <c r="A27" s="21" t="s">
        <v>68</v>
      </c>
      <c r="B27" s="21"/>
      <c r="C27" s="21"/>
      <c r="D27" s="21"/>
      <c r="E27" s="21"/>
      <c r="F27" s="21"/>
      <c r="G27" s="21"/>
    </row>
    <row r="28" customFormat="false" ht="15" hidden="false" customHeight="true" outlineLevel="0" collapsed="false">
      <c r="A28" s="22" t="n">
        <v>46303</v>
      </c>
      <c r="B28" s="18" t="s">
        <v>66</v>
      </c>
      <c r="C28" s="18" t="s">
        <v>61</v>
      </c>
      <c r="D28" s="18" t="s">
        <v>69</v>
      </c>
      <c r="E28" s="23" t="b">
        <f aca="false">FALSE()</f>
        <v>0</v>
      </c>
      <c r="F28" s="18"/>
      <c r="G28" s="24"/>
    </row>
    <row r="29" customFormat="false" ht="23.25" hidden="false" customHeight="true" outlineLevel="0" collapsed="false">
      <c r="A29" s="22" t="n">
        <v>46303</v>
      </c>
      <c r="B29" s="18" t="s">
        <v>66</v>
      </c>
      <c r="C29" s="18" t="s">
        <v>61</v>
      </c>
      <c r="D29" s="18" t="s">
        <v>70</v>
      </c>
      <c r="E29" s="23" t="b">
        <f aca="false">FALSE()</f>
        <v>0</v>
      </c>
      <c r="F29" s="18"/>
      <c r="G29" s="24"/>
    </row>
    <row r="30" customFormat="false" ht="23.25" hidden="false" customHeight="true" outlineLevel="0" collapsed="false">
      <c r="A30" s="22" t="n">
        <v>46303</v>
      </c>
      <c r="B30" s="18" t="s">
        <v>66</v>
      </c>
      <c r="C30" s="18" t="s">
        <v>61</v>
      </c>
      <c r="D30" s="18" t="s">
        <v>71</v>
      </c>
      <c r="E30" s="23" t="b">
        <f aca="false">FALSE()</f>
        <v>0</v>
      </c>
      <c r="F30" s="18"/>
      <c r="G30" s="24"/>
    </row>
    <row r="31" customFormat="false" ht="15" hidden="false" customHeight="true" outlineLevel="0" collapsed="false">
      <c r="A31" s="22" t="n">
        <v>46303</v>
      </c>
      <c r="B31" s="18" t="s">
        <v>60</v>
      </c>
      <c r="C31" s="18" t="s">
        <v>64</v>
      </c>
      <c r="D31" s="18" t="s">
        <v>72</v>
      </c>
      <c r="E31" s="23" t="b">
        <f aca="false">FALSE()</f>
        <v>0</v>
      </c>
      <c r="F31" s="18"/>
      <c r="G31" s="24"/>
    </row>
    <row r="32" customFormat="false" ht="15" hidden="false" customHeight="true" outlineLevel="0" collapsed="false">
      <c r="A32" s="21" t="s">
        <v>59</v>
      </c>
      <c r="B32" s="21"/>
      <c r="C32" s="21"/>
      <c r="D32" s="21"/>
      <c r="E32" s="21"/>
      <c r="F32" s="21"/>
      <c r="G32" s="21"/>
    </row>
    <row r="33" customFormat="false" ht="15" hidden="false" customHeight="true" outlineLevel="0" collapsed="false">
      <c r="A33" s="22" t="n">
        <v>46310</v>
      </c>
      <c r="B33" s="18" t="s">
        <v>66</v>
      </c>
      <c r="C33" s="18" t="s">
        <v>61</v>
      </c>
      <c r="D33" s="18" t="s">
        <v>73</v>
      </c>
      <c r="E33" s="23" t="b">
        <f aca="false">FALSE()</f>
        <v>0</v>
      </c>
      <c r="F33" s="18"/>
      <c r="G33" s="24"/>
    </row>
    <row r="34" customFormat="false" ht="15" hidden="false" customHeight="true" outlineLevel="0" collapsed="false">
      <c r="A34" s="22" t="n">
        <v>46310</v>
      </c>
      <c r="B34" s="18" t="s">
        <v>66</v>
      </c>
      <c r="C34" s="18" t="s">
        <v>61</v>
      </c>
      <c r="D34" s="18" t="s">
        <v>74</v>
      </c>
      <c r="E34" s="23" t="b">
        <f aca="false">FALSE()</f>
        <v>0</v>
      </c>
      <c r="F34" s="18"/>
      <c r="G34" s="24"/>
    </row>
    <row r="35" customFormat="false" ht="15" hidden="false" customHeight="true" outlineLevel="0" collapsed="false">
      <c r="A35" s="22" t="n">
        <v>46310</v>
      </c>
      <c r="B35" s="18" t="s">
        <v>60</v>
      </c>
      <c r="C35" s="18" t="s">
        <v>64</v>
      </c>
      <c r="D35" s="18" t="s">
        <v>75</v>
      </c>
      <c r="E35" s="23" t="b">
        <f aca="false">FALSE()</f>
        <v>0</v>
      </c>
      <c r="F35" s="18"/>
      <c r="G35" s="24"/>
    </row>
    <row r="36" customFormat="false" ht="15" hidden="false" customHeight="true" outlineLevel="0" collapsed="false">
      <c r="A36" s="22" t="n">
        <v>46310</v>
      </c>
      <c r="B36" s="18" t="s">
        <v>76</v>
      </c>
      <c r="C36" s="18" t="s">
        <v>61</v>
      </c>
      <c r="D36" s="18" t="s">
        <v>77</v>
      </c>
      <c r="E36" s="23" t="b">
        <f aca="false">FALSE()</f>
        <v>0</v>
      </c>
      <c r="F36" s="18"/>
      <c r="G36" s="24"/>
    </row>
    <row r="37" customFormat="false" ht="15" hidden="false" customHeight="true" outlineLevel="0" collapsed="false">
      <c r="A37" s="21" t="s">
        <v>78</v>
      </c>
      <c r="B37" s="21"/>
      <c r="C37" s="21"/>
      <c r="D37" s="21"/>
      <c r="E37" s="21"/>
      <c r="F37" s="21"/>
      <c r="G37" s="21"/>
    </row>
    <row r="38" customFormat="false" ht="15" hidden="false" customHeight="true" outlineLevel="0" collapsed="false">
      <c r="A38" s="22" t="n">
        <v>46317</v>
      </c>
      <c r="B38" s="18" t="s">
        <v>66</v>
      </c>
      <c r="C38" s="18" t="s">
        <v>61</v>
      </c>
      <c r="D38" s="18" t="s">
        <v>79</v>
      </c>
      <c r="E38" s="23" t="b">
        <f aca="false">FALSE()</f>
        <v>0</v>
      </c>
      <c r="F38" s="18"/>
      <c r="G38" s="24"/>
    </row>
    <row r="39" customFormat="false" ht="15" hidden="false" customHeight="true" outlineLevel="0" collapsed="false">
      <c r="A39" s="22" t="n">
        <v>46317</v>
      </c>
      <c r="B39" s="18" t="s">
        <v>66</v>
      </c>
      <c r="C39" s="18" t="s">
        <v>61</v>
      </c>
      <c r="D39" s="18" t="s">
        <v>80</v>
      </c>
      <c r="E39" s="23" t="b">
        <f aca="false">FALSE()</f>
        <v>0</v>
      </c>
      <c r="F39" s="18"/>
      <c r="G39" s="24"/>
    </row>
    <row r="40" customFormat="false" ht="23.25" hidden="false" customHeight="true" outlineLevel="0" collapsed="false">
      <c r="A40" s="22" t="n">
        <v>46317</v>
      </c>
      <c r="B40" s="18" t="s">
        <v>60</v>
      </c>
      <c r="C40" s="18" t="s">
        <v>61</v>
      </c>
      <c r="D40" s="18" t="s">
        <v>81</v>
      </c>
      <c r="E40" s="23" t="b">
        <f aca="false">FALSE()</f>
        <v>0</v>
      </c>
      <c r="F40" s="18"/>
      <c r="G40" s="24"/>
    </row>
    <row r="41" customFormat="false" ht="15" hidden="false" customHeight="true" outlineLevel="0" collapsed="false">
      <c r="A41" s="22" t="n">
        <v>46317</v>
      </c>
      <c r="B41" s="18" t="s">
        <v>76</v>
      </c>
      <c r="C41" s="18" t="s">
        <v>61</v>
      </c>
      <c r="D41" s="18" t="s">
        <v>82</v>
      </c>
      <c r="E41" s="23" t="b">
        <f aca="false">FALSE()</f>
        <v>0</v>
      </c>
      <c r="F41" s="18"/>
      <c r="G41" s="24"/>
    </row>
    <row r="42" customFormat="false" ht="15" hidden="false" customHeight="true" outlineLevel="0" collapsed="false">
      <c r="A42" s="21" t="s">
        <v>83</v>
      </c>
      <c r="B42" s="21"/>
      <c r="C42" s="21"/>
      <c r="D42" s="21"/>
      <c r="E42" s="21"/>
      <c r="F42" s="21"/>
      <c r="G42" s="21"/>
    </row>
    <row r="43" customFormat="false" ht="23.25" hidden="false" customHeight="true" outlineLevel="0" collapsed="false">
      <c r="A43" s="22" t="n">
        <v>46324</v>
      </c>
      <c r="B43" s="18" t="s">
        <v>66</v>
      </c>
      <c r="C43" s="18" t="s">
        <v>61</v>
      </c>
      <c r="D43" s="18" t="s">
        <v>84</v>
      </c>
      <c r="E43" s="23" t="b">
        <f aca="false">FALSE()</f>
        <v>0</v>
      </c>
      <c r="F43" s="18"/>
      <c r="G43" s="24"/>
    </row>
    <row r="44" customFormat="false" ht="15" hidden="false" customHeight="true" outlineLevel="0" collapsed="false">
      <c r="A44" s="22" t="n">
        <v>46324</v>
      </c>
      <c r="B44" s="18" t="s">
        <v>60</v>
      </c>
      <c r="C44" s="18" t="s">
        <v>64</v>
      </c>
      <c r="D44" s="18" t="s">
        <v>85</v>
      </c>
      <c r="E44" s="23" t="b">
        <f aca="false">FALSE()</f>
        <v>0</v>
      </c>
      <c r="F44" s="18"/>
      <c r="G44" s="24"/>
    </row>
    <row r="45" customFormat="false" ht="15" hidden="false" customHeight="true" outlineLevel="0" collapsed="false">
      <c r="A45" s="22" t="n">
        <v>46324</v>
      </c>
      <c r="B45" s="18" t="s">
        <v>76</v>
      </c>
      <c r="C45" s="18" t="s">
        <v>61</v>
      </c>
      <c r="D45" s="18" t="s">
        <v>82</v>
      </c>
      <c r="E45" s="23" t="b">
        <f aca="false">FALSE()</f>
        <v>0</v>
      </c>
      <c r="F45" s="18"/>
      <c r="G45" s="24"/>
    </row>
    <row r="46" customFormat="false" ht="15" hidden="false" customHeight="true" outlineLevel="0" collapsed="false">
      <c r="A46" s="21" t="s">
        <v>86</v>
      </c>
      <c r="B46" s="21"/>
      <c r="C46" s="21"/>
      <c r="D46" s="21"/>
      <c r="E46" s="21"/>
      <c r="F46" s="21"/>
      <c r="G46" s="21"/>
    </row>
    <row r="47" customFormat="false" ht="15" hidden="false" customHeight="true" outlineLevel="0" collapsed="false">
      <c r="A47" s="22" t="n">
        <v>46331</v>
      </c>
      <c r="B47" s="18" t="s">
        <v>66</v>
      </c>
      <c r="C47" s="18" t="s">
        <v>61</v>
      </c>
      <c r="D47" s="18" t="s">
        <v>87</v>
      </c>
      <c r="E47" s="23" t="b">
        <f aca="false">FALSE()</f>
        <v>0</v>
      </c>
      <c r="F47" s="18"/>
      <c r="G47" s="24"/>
    </row>
    <row r="48" customFormat="false" ht="23.25" hidden="false" customHeight="true" outlineLevel="0" collapsed="false">
      <c r="A48" s="22" t="n">
        <v>46331</v>
      </c>
      <c r="B48" s="18" t="s">
        <v>66</v>
      </c>
      <c r="C48" s="18" t="s">
        <v>61</v>
      </c>
      <c r="D48" s="18" t="s">
        <v>88</v>
      </c>
      <c r="E48" s="23" t="b">
        <f aca="false">FALSE()</f>
        <v>0</v>
      </c>
      <c r="F48" s="18"/>
      <c r="G48" s="24"/>
    </row>
    <row r="49" customFormat="false" ht="15" hidden="false" customHeight="true" outlineLevel="0" collapsed="false">
      <c r="A49" s="22" t="n">
        <v>46331</v>
      </c>
      <c r="B49" s="18" t="s">
        <v>60</v>
      </c>
      <c r="C49" s="18" t="s">
        <v>64</v>
      </c>
      <c r="D49" s="18" t="s">
        <v>89</v>
      </c>
      <c r="E49" s="23" t="b">
        <f aca="false">FALSE()</f>
        <v>0</v>
      </c>
      <c r="F49" s="18"/>
      <c r="G49" s="24"/>
    </row>
    <row r="50" customFormat="false" ht="15" hidden="false" customHeight="true" outlineLevel="0" collapsed="false">
      <c r="A50" s="21" t="s">
        <v>90</v>
      </c>
      <c r="B50" s="21"/>
      <c r="C50" s="21"/>
      <c r="D50" s="21"/>
      <c r="E50" s="21"/>
      <c r="F50" s="21"/>
      <c r="G50" s="21"/>
    </row>
    <row r="51" customFormat="false" ht="23.25" hidden="false" customHeight="true" outlineLevel="0" collapsed="false">
      <c r="A51" s="22" t="n">
        <v>46338</v>
      </c>
      <c r="B51" s="18" t="s">
        <v>66</v>
      </c>
      <c r="C51" s="18" t="s">
        <v>61</v>
      </c>
      <c r="D51" s="18" t="s">
        <v>91</v>
      </c>
      <c r="E51" s="23" t="b">
        <f aca="false">FALSE()</f>
        <v>0</v>
      </c>
      <c r="F51" s="18"/>
      <c r="G51" s="24"/>
    </row>
    <row r="52" customFormat="false" ht="15" hidden="false" customHeight="true" outlineLevel="0" collapsed="false">
      <c r="A52" s="22" t="n">
        <v>46338</v>
      </c>
      <c r="B52" s="18" t="s">
        <v>66</v>
      </c>
      <c r="C52" s="18" t="s">
        <v>61</v>
      </c>
      <c r="D52" s="18" t="s">
        <v>92</v>
      </c>
      <c r="E52" s="23" t="b">
        <f aca="false">FALSE()</f>
        <v>0</v>
      </c>
      <c r="F52" s="18"/>
      <c r="G52" s="24"/>
    </row>
    <row r="53" customFormat="false" ht="15" hidden="false" customHeight="true" outlineLevel="0" collapsed="false">
      <c r="A53" s="22" t="n">
        <v>46338</v>
      </c>
      <c r="B53" s="18" t="s">
        <v>76</v>
      </c>
      <c r="C53" s="18" t="s">
        <v>61</v>
      </c>
      <c r="D53" s="18" t="s">
        <v>82</v>
      </c>
      <c r="E53" s="23" t="b">
        <f aca="false">FALSE()</f>
        <v>0</v>
      </c>
      <c r="F53" s="18"/>
      <c r="G53" s="24"/>
    </row>
    <row r="54" customFormat="false" ht="15" hidden="false" customHeight="true" outlineLevel="0" collapsed="false">
      <c r="A54" s="21" t="s">
        <v>93</v>
      </c>
      <c r="B54" s="21"/>
      <c r="C54" s="21"/>
      <c r="D54" s="21"/>
      <c r="E54" s="21"/>
      <c r="F54" s="21"/>
      <c r="G54" s="21"/>
    </row>
    <row r="55" customFormat="false" ht="15" hidden="false" customHeight="true" outlineLevel="0" collapsed="false">
      <c r="A55" s="22" t="n">
        <v>46345</v>
      </c>
      <c r="B55" s="18" t="s">
        <v>66</v>
      </c>
      <c r="C55" s="18" t="s">
        <v>61</v>
      </c>
      <c r="D55" s="18" t="s">
        <v>94</v>
      </c>
      <c r="E55" s="23" t="b">
        <f aca="false">FALSE()</f>
        <v>0</v>
      </c>
      <c r="F55" s="18"/>
      <c r="G55" s="24"/>
    </row>
    <row r="56" customFormat="false" ht="15" hidden="false" customHeight="true" outlineLevel="0" collapsed="false">
      <c r="A56" s="22" t="n">
        <v>46345</v>
      </c>
      <c r="B56" s="18" t="s">
        <v>66</v>
      </c>
      <c r="C56" s="18" t="s">
        <v>61</v>
      </c>
      <c r="D56" s="18" t="s">
        <v>95</v>
      </c>
      <c r="E56" s="23" t="b">
        <f aca="false">FALSE()</f>
        <v>0</v>
      </c>
      <c r="F56" s="18"/>
      <c r="G56" s="24"/>
    </row>
    <row r="57" customFormat="false" ht="15" hidden="false" customHeight="true" outlineLevel="0" collapsed="false">
      <c r="A57" s="22" t="n">
        <v>46345</v>
      </c>
      <c r="B57" s="18" t="s">
        <v>60</v>
      </c>
      <c r="C57" s="18" t="s">
        <v>61</v>
      </c>
      <c r="D57" s="18" t="s">
        <v>96</v>
      </c>
      <c r="E57" s="23" t="b">
        <f aca="false">FALSE()</f>
        <v>0</v>
      </c>
      <c r="F57" s="18"/>
      <c r="G57" s="24"/>
    </row>
    <row r="58" customFormat="false" ht="15" hidden="false" customHeight="true" outlineLevel="0" collapsed="false">
      <c r="A58" s="21" t="s">
        <v>97</v>
      </c>
      <c r="B58" s="21"/>
      <c r="C58" s="21"/>
      <c r="D58" s="21"/>
      <c r="E58" s="21"/>
      <c r="F58" s="21"/>
      <c r="G58" s="21"/>
    </row>
    <row r="59" customFormat="false" ht="15" hidden="false" customHeight="true" outlineLevel="0" collapsed="false">
      <c r="A59" s="22" t="n">
        <v>46359</v>
      </c>
      <c r="B59" s="18" t="s">
        <v>66</v>
      </c>
      <c r="C59" s="18" t="s">
        <v>61</v>
      </c>
      <c r="D59" s="18" t="s">
        <v>98</v>
      </c>
      <c r="E59" s="23" t="b">
        <f aca="false">FALSE()</f>
        <v>0</v>
      </c>
      <c r="F59" s="18"/>
      <c r="G59" s="24"/>
    </row>
    <row r="60" customFormat="false" ht="15" hidden="false" customHeight="true" outlineLevel="0" collapsed="false">
      <c r="A60" s="22" t="n">
        <v>46359</v>
      </c>
      <c r="B60" s="18" t="s">
        <v>76</v>
      </c>
      <c r="C60" s="18" t="s">
        <v>61</v>
      </c>
      <c r="D60" s="18" t="s">
        <v>82</v>
      </c>
      <c r="E60" s="23" t="b">
        <f aca="false">FALSE()</f>
        <v>0</v>
      </c>
      <c r="F60" s="18"/>
      <c r="G60" s="24"/>
    </row>
    <row r="61" customFormat="false" ht="15" hidden="false" customHeight="true" outlineLevel="0" collapsed="false">
      <c r="A61" s="21" t="s">
        <v>99</v>
      </c>
      <c r="B61" s="21"/>
      <c r="C61" s="21"/>
      <c r="D61" s="21"/>
      <c r="E61" s="21"/>
      <c r="F61" s="21"/>
      <c r="G61" s="21"/>
    </row>
    <row r="62" customFormat="false" ht="15" hidden="false" customHeight="true" outlineLevel="0" collapsed="false">
      <c r="A62" s="22" t="n">
        <v>46366</v>
      </c>
      <c r="B62" s="18" t="s">
        <v>66</v>
      </c>
      <c r="C62" s="18" t="s">
        <v>61</v>
      </c>
      <c r="D62" s="18" t="s">
        <v>100</v>
      </c>
      <c r="E62" s="23" t="b">
        <f aca="false">FALSE()</f>
        <v>0</v>
      </c>
      <c r="F62" s="18"/>
      <c r="G62" s="24"/>
    </row>
    <row r="63" customFormat="false" ht="15" hidden="false" customHeight="true" outlineLevel="0" collapsed="false">
      <c r="A63" s="22" t="n">
        <v>46366</v>
      </c>
      <c r="B63" s="18" t="s">
        <v>66</v>
      </c>
      <c r="C63" s="18" t="s">
        <v>61</v>
      </c>
      <c r="D63" s="18" t="s">
        <v>101</v>
      </c>
      <c r="E63" s="23" t="b">
        <f aca="false">FALSE()</f>
        <v>0</v>
      </c>
      <c r="F63" s="18"/>
      <c r="G63" s="24"/>
    </row>
    <row r="64" customFormat="false" ht="15" hidden="false" customHeight="true" outlineLevel="0" collapsed="false">
      <c r="A64" s="21" t="s">
        <v>102</v>
      </c>
      <c r="B64" s="21"/>
      <c r="C64" s="21"/>
      <c r="D64" s="21"/>
      <c r="E64" s="21"/>
      <c r="F64" s="21"/>
      <c r="G64" s="21"/>
    </row>
    <row r="65" customFormat="false" ht="15" hidden="false" customHeight="true" outlineLevel="0" collapsed="false">
      <c r="A65" s="22" t="n">
        <v>46373</v>
      </c>
      <c r="B65" s="18" t="s">
        <v>66</v>
      </c>
      <c r="C65" s="18" t="s">
        <v>61</v>
      </c>
      <c r="D65" s="18" t="s">
        <v>103</v>
      </c>
      <c r="E65" s="23" t="b">
        <f aca="false">FALSE()</f>
        <v>0</v>
      </c>
      <c r="F65" s="18"/>
      <c r="G65" s="24"/>
    </row>
    <row r="66" customFormat="false" ht="15" hidden="false" customHeight="true" outlineLevel="0" collapsed="false">
      <c r="A66" s="22" t="n">
        <v>46373</v>
      </c>
      <c r="B66" s="18" t="s">
        <v>66</v>
      </c>
      <c r="C66" s="18" t="s">
        <v>61</v>
      </c>
      <c r="D66" s="18" t="s">
        <v>104</v>
      </c>
      <c r="E66" s="23" t="b">
        <f aca="false">FALSE()</f>
        <v>0</v>
      </c>
      <c r="F66" s="18"/>
      <c r="G66" s="24"/>
    </row>
    <row r="67" customFormat="false" ht="15" hidden="false" customHeight="true" outlineLevel="0" collapsed="false">
      <c r="A67" s="21" t="s">
        <v>105</v>
      </c>
      <c r="B67" s="21"/>
      <c r="C67" s="21"/>
      <c r="D67" s="21"/>
      <c r="E67" s="21"/>
      <c r="F67" s="21"/>
      <c r="G67" s="21"/>
    </row>
    <row r="68" customFormat="false" ht="15" hidden="false" customHeight="true" outlineLevel="0" collapsed="false">
      <c r="A68" s="22" t="n">
        <v>46394</v>
      </c>
      <c r="B68" s="18" t="s">
        <v>66</v>
      </c>
      <c r="C68" s="18" t="s">
        <v>61</v>
      </c>
      <c r="D68" s="18" t="s">
        <v>106</v>
      </c>
      <c r="E68" s="23" t="b">
        <f aca="false">FALSE()</f>
        <v>0</v>
      </c>
      <c r="F68" s="18"/>
      <c r="G68" s="24"/>
    </row>
    <row r="69" customFormat="false" ht="15" hidden="false" customHeight="true" outlineLevel="0" collapsed="false">
      <c r="A69" s="22" t="n">
        <v>46394</v>
      </c>
      <c r="B69" s="18" t="s">
        <v>66</v>
      </c>
      <c r="C69" s="18" t="s">
        <v>61</v>
      </c>
      <c r="D69" s="18" t="s">
        <v>107</v>
      </c>
      <c r="E69" s="23" t="b">
        <f aca="false">FALSE()</f>
        <v>0</v>
      </c>
      <c r="F69" s="18"/>
      <c r="G69" s="24"/>
    </row>
    <row r="70" customFormat="false" ht="15" hidden="false" customHeight="true" outlineLevel="0" collapsed="false">
      <c r="A70" s="21" t="s">
        <v>108</v>
      </c>
      <c r="B70" s="21"/>
      <c r="C70" s="21"/>
      <c r="D70" s="21"/>
      <c r="E70" s="21"/>
      <c r="F70" s="21"/>
      <c r="G70" s="21"/>
    </row>
    <row r="71" customFormat="false" ht="15" hidden="false" customHeight="true" outlineLevel="0" collapsed="false">
      <c r="A71" s="22" t="n">
        <v>46401</v>
      </c>
      <c r="B71" s="18" t="s">
        <v>76</v>
      </c>
      <c r="C71" s="18" t="s">
        <v>61</v>
      </c>
      <c r="D71" s="18" t="s">
        <v>82</v>
      </c>
      <c r="E71" s="23" t="b">
        <f aca="false">FALSE()</f>
        <v>0</v>
      </c>
      <c r="F71" s="18"/>
      <c r="G71" s="24"/>
    </row>
    <row r="72" customFormat="false" ht="15" hidden="false" customHeight="true" outlineLevel="0" collapsed="false">
      <c r="A72" s="22" t="n">
        <v>46401</v>
      </c>
      <c r="B72" s="18" t="s">
        <v>66</v>
      </c>
      <c r="C72" s="18" t="s">
        <v>61</v>
      </c>
      <c r="D72" s="18" t="s">
        <v>109</v>
      </c>
      <c r="E72" s="23" t="b">
        <f aca="false">FALSE()</f>
        <v>0</v>
      </c>
      <c r="F72" s="18"/>
      <c r="G72" s="24"/>
    </row>
    <row r="73" customFormat="false" ht="15" hidden="false" customHeight="true" outlineLevel="0" collapsed="false">
      <c r="A73" s="21" t="s">
        <v>110</v>
      </c>
      <c r="B73" s="21"/>
      <c r="C73" s="21"/>
      <c r="D73" s="21"/>
      <c r="E73" s="21"/>
      <c r="F73" s="21"/>
      <c r="G73" s="21"/>
    </row>
    <row r="74" customFormat="false" ht="15" hidden="false" customHeight="true" outlineLevel="0" collapsed="false">
      <c r="A74" s="22" t="n">
        <v>46408</v>
      </c>
      <c r="B74" s="18" t="s">
        <v>60</v>
      </c>
      <c r="C74" s="18" t="s">
        <v>64</v>
      </c>
      <c r="D74" s="18" t="s">
        <v>111</v>
      </c>
      <c r="E74" s="23" t="b">
        <f aca="false">FALSE()</f>
        <v>0</v>
      </c>
      <c r="F74" s="18"/>
      <c r="G74" s="24"/>
    </row>
    <row r="75" customFormat="false" ht="15" hidden="false" customHeight="true" outlineLevel="0" collapsed="false">
      <c r="A75" s="22" t="n">
        <v>46408</v>
      </c>
      <c r="B75" s="18" t="s">
        <v>60</v>
      </c>
      <c r="C75" s="18" t="s">
        <v>61</v>
      </c>
      <c r="D75" s="18" t="s">
        <v>112</v>
      </c>
      <c r="E75" s="23" t="b">
        <f aca="false">FALSE()</f>
        <v>0</v>
      </c>
      <c r="F75" s="18"/>
      <c r="G75" s="24"/>
    </row>
    <row r="76" customFormat="false" ht="15" hidden="false" customHeight="true" outlineLevel="0" collapsed="false">
      <c r="A76" s="21" t="s">
        <v>113</v>
      </c>
      <c r="B76" s="21"/>
      <c r="C76" s="21"/>
      <c r="D76" s="21"/>
      <c r="E76" s="21"/>
      <c r="F76" s="21"/>
      <c r="G76" s="21"/>
    </row>
    <row r="77" customFormat="false" ht="15" hidden="false" customHeight="true" outlineLevel="0" collapsed="false">
      <c r="A77" s="22" t="n">
        <v>46415</v>
      </c>
      <c r="B77" s="18" t="s">
        <v>76</v>
      </c>
      <c r="C77" s="18" t="s">
        <v>61</v>
      </c>
      <c r="D77" s="18" t="s">
        <v>82</v>
      </c>
      <c r="E77" s="23" t="b">
        <f aca="false">FALSE()</f>
        <v>0</v>
      </c>
      <c r="F77" s="18"/>
      <c r="G77" s="24"/>
    </row>
    <row r="78" customFormat="false" ht="15" hidden="false" customHeight="true" outlineLevel="0" collapsed="false">
      <c r="A78" s="22" t="n">
        <v>46415</v>
      </c>
      <c r="B78" s="18" t="s">
        <v>60</v>
      </c>
      <c r="C78" s="18" t="s">
        <v>61</v>
      </c>
      <c r="D78" s="18" t="s">
        <v>114</v>
      </c>
      <c r="E78" s="23" t="b">
        <f aca="false">FALSE()</f>
        <v>0</v>
      </c>
      <c r="F78" s="18"/>
      <c r="G78" s="24"/>
    </row>
    <row r="79" customFormat="false" ht="15" hidden="false" customHeight="true" outlineLevel="0" collapsed="false">
      <c r="A79" s="20" t="s">
        <v>115</v>
      </c>
    </row>
  </sheetData>
  <mergeCells count="3">
    <mergeCell ref="A2:G2"/>
    <mergeCell ref="F4:G4"/>
    <mergeCell ref="F5:G5"/>
  </mergeCells>
  <conditionalFormatting sqref="A9:D18">
    <cfRule type="expression" priority="2" aboveAverage="0" equalAverage="0" bottom="0" percent="0" rank="0" text="" dxfId="0">
      <formula>AND(ISNUMBER($A9),$A9&lt;TODAY())</formula>
    </cfRule>
    <cfRule type="expression" priority="3" aboveAverage="0" equalAverage="0" bottom="0" percent="0" rank="0" text="" dxfId="1">
      <formula>AND(ISNUMBER($A9),$A9&gt;=TODAY(),$A9&lt;=TODAY()+7)</formula>
    </cfRule>
  </conditionalFormatting>
  <conditionalFormatting sqref="A22:G78">
    <cfRule type="expression" priority="4" aboveAverage="0" equalAverage="0" bottom="0" percent="0" rank="0" text="" dxfId="2">
      <formula>$E22=1</formula>
    </cfRule>
    <cfRule type="expression" priority="5" aboveAverage="0" equalAverage="0" bottom="0" percent="0" rank="0" text="" dxfId="0">
      <formula>AND(ISNUMBER($A22),$A22&lt;TODAY(),$E22&lt;&gt;1,$D22&lt;&gt;"")</formula>
    </cfRule>
    <cfRule type="expression" priority="6" aboveAverage="0" equalAverage="0" bottom="0" percent="0" rank="0" text="" dxfId="1">
      <formula>AND(ISNUMBER($A22),$A22&gt;=TODAY(),$A22&lt;=TODAY()+7,$E22&lt;&gt;1,$D22&lt;&gt;"")</formula>
    </cfRule>
  </conditionalFormatting>
  <dataValidations count="1">
    <dataValidation allowBlank="true" errorStyle="stop" operator="between" showDropDown="false" showErrorMessage="false" showInputMessage="false" sqref="E22:E78"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4"/>
    <col collapsed="false" customWidth="true" hidden="false" outlineLevel="0" max="3" min="3" style="1" width="16"/>
    <col collapsed="false" customWidth="true" hidden="false" outlineLevel="0" max="4" min="4" style="1" width="18"/>
    <col collapsed="false" customWidth="true" hidden="false" outlineLevel="0" max="5" min="5" style="1" width="11"/>
    <col collapsed="false" customWidth="true" hidden="false" outlineLevel="0" max="6" min="6" style="1" width="9"/>
    <col collapsed="false" customWidth="true" hidden="false" outlineLevel="0" max="7" min="7" style="1" width="12"/>
    <col collapsed="false" customWidth="true" hidden="false" outlineLevel="0" max="8" min="8" style="1" width="9"/>
    <col collapsed="false" customWidth="true" hidden="false" outlineLevel="0" max="9" min="9" style="1" width="13"/>
    <col collapsed="false" customWidth="true" hidden="false" outlineLevel="0" max="10" min="10" style="1" width="10"/>
    <col collapsed="false" customWidth="true" hidden="false" outlineLevel="0" max="11" min="11" style="1" width="13"/>
    <col collapsed="false" customWidth="true" hidden="false" outlineLevel="0" max="12" min="12" style="1" width="20"/>
    <col collapsed="false" customWidth="true" hidden="false" outlineLevel="0" max="13" min="13" style="1" width="9"/>
    <col collapsed="false" customWidth="true" hidden="false" outlineLevel="0" max="14" min="14" style="1" width="11"/>
    <col collapsed="false" customWidth="true" hidden="false" outlineLevel="0" max="15" min="15" style="1" width="9"/>
    <col collapsed="false" customWidth="true" hidden="false" outlineLevel="0" max="16" min="16" style="1" width="12"/>
    <col collapsed="false" customWidth="true" hidden="false" outlineLevel="0" max="17" min="17" style="1" width="13"/>
    <col collapsed="false" customWidth="true" hidden="false" outlineLevel="0" max="18" min="18" style="1" width="9"/>
    <col collapsed="false" customWidth="true" hidden="false" outlineLevel="0" max="19" min="19" style="1" width="15"/>
    <col collapsed="false" customWidth="true" hidden="false" outlineLevel="0" max="20" min="20" style="1" width="30"/>
    <col collapsed="false" customWidth="true" hidden="true" outlineLevel="0" max="25" min="21" style="1" width="13"/>
  </cols>
  <sheetData>
    <row r="1" customFormat="false" ht="30" hidden="false" customHeight="true" outlineLevel="0" collapsed="false">
      <c r="A1" s="2" t="s">
        <v>116</v>
      </c>
      <c r="B1" s="3"/>
      <c r="C1" s="3"/>
      <c r="D1" s="3"/>
      <c r="E1" s="3"/>
      <c r="F1" s="3"/>
      <c r="G1" s="3"/>
      <c r="H1" s="3"/>
      <c r="I1" s="3"/>
      <c r="J1" s="3"/>
      <c r="K1" s="3"/>
      <c r="L1" s="3"/>
      <c r="M1" s="3"/>
      <c r="N1" s="3"/>
      <c r="O1" s="3"/>
      <c r="P1" s="3"/>
      <c r="Q1" s="3"/>
      <c r="R1" s="3"/>
      <c r="S1" s="3"/>
      <c r="T1" s="3"/>
    </row>
    <row r="2" customFormat="false" ht="43.5" hidden="false" customHeight="true" outlineLevel="0" collapsed="false">
      <c r="A2" s="4" t="s">
        <v>117</v>
      </c>
      <c r="B2" s="4"/>
      <c r="C2" s="4"/>
      <c r="D2" s="4"/>
      <c r="E2" s="4"/>
      <c r="F2" s="4"/>
      <c r="G2" s="4"/>
      <c r="H2" s="4"/>
      <c r="I2" s="4"/>
      <c r="J2" s="4"/>
      <c r="K2" s="4"/>
      <c r="L2" s="4"/>
      <c r="M2" s="4"/>
      <c r="N2" s="4"/>
      <c r="O2" s="4"/>
      <c r="P2" s="4"/>
      <c r="Q2" s="4"/>
      <c r="R2" s="4"/>
      <c r="S2" s="4"/>
      <c r="T2" s="4"/>
    </row>
    <row r="4" customFormat="false" ht="25.5" hidden="false" customHeight="true" outlineLevel="0" collapsed="false">
      <c r="B4" s="12" t="s">
        <v>118</v>
      </c>
      <c r="C4" s="12" t="s">
        <v>119</v>
      </c>
      <c r="D4" s="12" t="s">
        <v>120</v>
      </c>
      <c r="E4" s="12" t="s">
        <v>121</v>
      </c>
      <c r="I4" s="12" t="s">
        <v>122</v>
      </c>
      <c r="X4" s="1" t="n">
        <f aca="false">IF(ISNUMBER(Me!$B$13),Me!$B$13,IF(ISNUMBER(Me!$B$14),30*Me!$B$14+490,""))</f>
        <v>850</v>
      </c>
      <c r="Y4" s="1" t="n">
        <f aca="false">IF(ISNUMBER(Me!$B$11),Me!$B$11,IF(ISNUMBER(Me!$B$10),Me!$B$10,""))</f>
        <v>3.5</v>
      </c>
    </row>
    <row r="5" customFormat="false" ht="17.25" hidden="false" customHeight="true" outlineLevel="0" collapsed="false">
      <c r="B5" s="14" t="n">
        <f aca="false">COUNTIF(B8:B406,"?*")</f>
        <v>205</v>
      </c>
      <c r="C5" s="14" t="n">
        <f aca="false">COUNTIF(E8:E406,"Likely")</f>
        <v>22</v>
      </c>
      <c r="D5" s="14" t="n">
        <f aca="false">COUNTIF(E8:E406,"Target")</f>
        <v>48</v>
      </c>
      <c r="E5" s="14" t="n">
        <f aca="false">COUNTIF(E8:E406,"Reach")</f>
        <v>106</v>
      </c>
      <c r="I5" s="14" t="str">
        <f aca="false">IF(AND(NOT(ISNUMBER($X$4)),NOT(ISNUMBER($Y$4))),"Add your GPA and SAT/ACT on Me",IF(ISNUMBER(Me!$B$13),"SAT "&amp;Me!$B$13,IF(ISNUMBER(Me!$B$14),"ACT "&amp;Me!$B$14,"no test"))&amp;" and GPA "&amp;IF(ISNUMBER($Y$4),$Y$4,"missing"))</f>
        <v>SAT 850 and GPA 3.5</v>
      </c>
    </row>
    <row r="6" customFormat="false" ht="15" hidden="false" customHeight="true" outlineLevel="0" collapsed="false">
      <c r="B6" s="20" t="s">
        <v>123</v>
      </c>
    </row>
    <row r="7" customFormat="false" ht="31.5" hidden="false" customHeight="true" outlineLevel="0" collapsed="false">
      <c r="A7" s="16" t="s">
        <v>124</v>
      </c>
      <c r="B7" s="16" t="s">
        <v>50</v>
      </c>
      <c r="C7" s="16" t="s">
        <v>125</v>
      </c>
      <c r="D7" s="16" t="s">
        <v>126</v>
      </c>
      <c r="E7" s="16" t="s">
        <v>127</v>
      </c>
      <c r="F7" s="16" t="s">
        <v>128</v>
      </c>
      <c r="G7" s="16" t="s">
        <v>129</v>
      </c>
      <c r="H7" s="16" t="s">
        <v>130</v>
      </c>
      <c r="I7" s="16" t="s">
        <v>131</v>
      </c>
      <c r="J7" s="16" t="s">
        <v>132</v>
      </c>
      <c r="K7" s="16" t="s">
        <v>133</v>
      </c>
      <c r="L7" s="16" t="s">
        <v>134</v>
      </c>
      <c r="M7" s="16" t="s">
        <v>135</v>
      </c>
      <c r="N7" s="16" t="s">
        <v>136</v>
      </c>
      <c r="O7" s="16" t="s">
        <v>137</v>
      </c>
      <c r="P7" s="16" t="s">
        <v>138</v>
      </c>
      <c r="Q7" s="16" t="s">
        <v>139</v>
      </c>
      <c r="R7" s="16" t="s">
        <v>140</v>
      </c>
      <c r="S7" s="16" t="s">
        <v>141</v>
      </c>
      <c r="T7" s="16" t="s">
        <v>142</v>
      </c>
      <c r="U7" s="25" t="s">
        <v>143</v>
      </c>
      <c r="V7" s="25" t="s">
        <v>144</v>
      </c>
      <c r="W7" s="25" t="s">
        <v>145</v>
      </c>
    </row>
    <row r="8" customFormat="false" ht="15" hidden="false" customHeight="true" outlineLevel="0" collapsed="false">
      <c r="A8" s="26" t="str">
        <f aca="false">IF(B8="","",IF(COUNTIF('My Colleges'!$B$8:$B$27,B8)&gt;0,"On list",""))</f>
        <v/>
      </c>
      <c r="B8" s="27" t="str">
        <f aca="false">IF(DB_Colleges!A2="","",DB_Colleges!A2)</f>
        <v>University of Georgia</v>
      </c>
      <c r="C8" s="26" t="str">
        <f aca="false">IF(B8="","",DB_Colleges!B2)</f>
        <v>Georgia Public (USG)</v>
      </c>
      <c r="D8" s="26" t="str">
        <f aca="false">IF(B8="","",DB_Colleges!C2&amp;", "&amp;DB_Colleges!D2)</f>
        <v>Athens, GA</v>
      </c>
      <c r="E8" s="26" t="str">
        <f aca="false">IF(B8="","",IF(AND(NOT(ISNUMBER($X$4)),NOT(ISNUMBER($Y$4))),"Add scores",IF(NOT(ISNUMBER(DB_Colleges!Y2)),IF(OR(C8="Ivy League",C8="Highly Selective"),"Reach",IF(COUNT(U8:V8)=0,"No data",CHOOSE(W8+2,"Reach","Target","Likely"))),IF(DB_Colleges!Y2&lt;0.15,"Reach",IF(DB_Colleges!Y2&gt;=0.75,IF(W8&gt;=0,"Likely","Target"),IF(DB_Colleges!Y2&gt;=0.4,CHOOSE(W8+2,"Reach","Target","Likely"),IF(W8=1,"Target","Reach")))))))</f>
        <v>Reach</v>
      </c>
      <c r="F8" s="28" t="n">
        <f aca="false">IF(OR(B8="",NOT(ISNUMBER(DB_Colleges!Y2))),"",DB_Colleges!Y2)</f>
        <v>0.3</v>
      </c>
      <c r="G8" s="26" t="str">
        <f aca="false">IF(OR(B8="",NOT(ISNUMBER(DB_Colleges!Z2))),"",DB_Colleges!Z2&amp;"-"&amp;DB_Colleges!AA2)</f>
        <v>1360-1500</v>
      </c>
      <c r="H8" s="26" t="n">
        <f aca="false">IF(OR(B8="",NOT(ISNUMBER(DB_Colleges!AD2))),"",DB_Colleges!AD2)</f>
        <v>4.27</v>
      </c>
      <c r="I8" s="29" t="n">
        <f aca="false">IF(B8="","",IF(COUNT(DB_Colleges!I2:O2)=0,IF(DB_Colleges!P2="Yes","Rolling","Check site"),MIN(DB_Colleges!I2:O2)))</f>
        <v>46310</v>
      </c>
      <c r="J8" s="26" t="str">
        <f aca="false">IF(OR(B8="",COUNT(DB_Colleges!I2:O2)=0),"",INDEX({"ED","ED II","EA","EA II","REA","RD","Priority"},MATCH(MIN(DB_Colleges!I2:O2),DB_Colleges!I2:O2,0)))</f>
        <v>EA</v>
      </c>
      <c r="K8" s="29" t="n">
        <f aca="false">IF(OR(B8="",NOT(ISNUMBER(DB_Colleges!N2))),"",DB_Colleges!N2)</f>
        <v>46388</v>
      </c>
      <c r="L8" s="26" t="str">
        <f aca="false">IF(B8="","",DB_Colleges!G2&amp;"")</f>
        <v>Common App</v>
      </c>
      <c r="M8" s="30" t="n">
        <f aca="false">IF(OR(B8="",NOT(ISNUMBER(DB_Colleges!S2))),"",DB_Colleges!S2)</f>
        <v>70</v>
      </c>
      <c r="N8" s="26" t="str">
        <f aca="false">IF(B8="","",DB_Colleges!U2&amp;"")</f>
        <v>Required</v>
      </c>
      <c r="O8" s="26" t="n">
        <f aca="false">IF(B8="","",IF(ISNUMBER(DB_Colleges!AH2),DB_Colleges!AH2,"Check"))</f>
        <v>0</v>
      </c>
      <c r="P8" s="26" t="str">
        <f aca="false">IF(B8="","",DB_Colleges!W2&amp;"")</f>
        <v>Not required</v>
      </c>
      <c r="Q8" s="30" t="str">
        <f aca="false">IF(OR(B8="",NOT(ISNUMBER(DB_Colleges!AF2))),"",DB_Colleges!AF2)</f>
        <v/>
      </c>
      <c r="R8" s="28" t="n">
        <f aca="false">IF(OR(B8="",NOT(ISNUMBER(DB_Colleges!AG2))),"",DB_Colleges!AG2)</f>
        <v>0.9</v>
      </c>
      <c r="S8" s="26" t="str">
        <f aca="false">IF(B8="","",DB_Colleges!AK2&amp;"")</f>
        <v>Official 2026-27</v>
      </c>
      <c r="T8" s="26" t="str">
        <f aca="false">IF(B8="","",DB_Colleges!AI2&amp;"")</f>
        <v>https://admissions.uga.edu/apply/first-year-applicants/</v>
      </c>
      <c r="U8" s="1" t="n">
        <f aca="false">IF(AND(ISNUMBER($X$4),ISNUMBER(DB_Colleges!Z2),ISNUMBER(DB_Colleges!AA2)),IF($X$4&gt;=DB_Colleges!AA2,1,IF($X$4&lt;DB_Colleges!Z2,-1,0)),"")</f>
        <v>-1</v>
      </c>
      <c r="V8" s="1" t="n">
        <f aca="false">IF(AND(ISNUMBER($Y$4),ISNUMBER(DB_Colleges!AD2)),IF($Y$4&gt;=DB_Colleges!AD2+0.15,1,IF($Y$4&lt;DB_Colleges!AD2-0.2,-1,0)),"")</f>
        <v>-1</v>
      </c>
      <c r="W8" s="1" t="n">
        <f aca="false">IF(COUNT(U8:V8)=0,0,MIN(U8:V8))</f>
        <v>-1</v>
      </c>
    </row>
    <row r="9" customFormat="false" ht="15" hidden="false" customHeight="true" outlineLevel="0" collapsed="false">
      <c r="A9" s="26" t="str">
        <f aca="false">IF(B9="","",IF(COUNTIF('My Colleges'!$B$8:$B$27,B9)&gt;0,"On list",""))</f>
        <v/>
      </c>
      <c r="B9" s="27" t="str">
        <f aca="false">IF(DB_Colleges!A3="","",DB_Colleges!A3)</f>
        <v>Georgia Institute of Technology</v>
      </c>
      <c r="C9" s="26" t="str">
        <f aca="false">IF(B9="","",DB_Colleges!B3)</f>
        <v>Georgia Public (USG)</v>
      </c>
      <c r="D9" s="26" t="str">
        <f aca="false">IF(B9="","",DB_Colleges!C3&amp;", "&amp;DB_Colleges!D3)</f>
        <v>Atlanta, GA</v>
      </c>
      <c r="E9" s="26" t="str">
        <f aca="false">IF(B9="","",IF(AND(NOT(ISNUMBER($X$4)),NOT(ISNUMBER($Y$4))),"Add scores",IF(NOT(ISNUMBER(DB_Colleges!Y3)),IF(OR(C9="Ivy League",C9="Highly Selective"),"Reach",IF(COUNT(U9:V9)=0,"No data",CHOOSE(W9+2,"Reach","Target","Likely"))),IF(DB_Colleges!Y3&lt;0.15,"Reach",IF(DB_Colleges!Y3&gt;=0.75,IF(W9&gt;=0,"Likely","Target"),IF(DB_Colleges!Y3&gt;=0.4,CHOOSE(W9+2,"Reach","Target","Likely"),IF(W9=1,"Target","Reach")))))))</f>
        <v>Reach</v>
      </c>
      <c r="F9" s="28" t="n">
        <f aca="false">IF(OR(B9="",NOT(ISNUMBER(DB_Colleges!Y3))),"",DB_Colleges!Y3)</f>
        <v>0.133</v>
      </c>
      <c r="G9" s="26" t="str">
        <f aca="false">IF(OR(B9="",NOT(ISNUMBER(DB_Colleges!Z3))),"",DB_Colleges!Z3&amp;"-"&amp;DB_Colleges!AA3)</f>
        <v>1370-1530</v>
      </c>
      <c r="H9" s="26" t="n">
        <f aca="false">IF(OR(B9="",NOT(ISNUMBER(DB_Colleges!AD3))),"",DB_Colleges!AD3)</f>
        <v>4.17</v>
      </c>
      <c r="I9" s="29" t="n">
        <f aca="false">IF(B9="","",IF(COUNT(DB_Colleges!I3:O3)=0,IF(DB_Colleges!P3="Yes","Rolling","Check site"),MIN(DB_Colleges!I3:O3)))</f>
        <v>46310</v>
      </c>
      <c r="J9" s="26" t="str">
        <f aca="false">IF(OR(B9="",COUNT(DB_Colleges!I3:O3)=0),"",INDEX({"ED","ED II","EA","EA II","REA","RD","Priority"},MATCH(MIN(DB_Colleges!I3:O3),DB_Colleges!I3:O3,0)))</f>
        <v>EA</v>
      </c>
      <c r="K9" s="29" t="n">
        <f aca="false">IF(OR(B9="",NOT(ISNUMBER(DB_Colleges!N3))),"",DB_Colleges!N3)</f>
        <v>46393</v>
      </c>
      <c r="L9" s="26" t="str">
        <f aca="false">IF(B9="","",DB_Colleges!G3&amp;"")</f>
        <v>Common App</v>
      </c>
      <c r="M9" s="30" t="n">
        <f aca="false">IF(OR(B9="",NOT(ISNUMBER(DB_Colleges!S3))),"",DB_Colleges!S3)</f>
        <v>75</v>
      </c>
      <c r="N9" s="26" t="str">
        <f aca="false">IF(B9="","",DB_Colleges!U3&amp;"")</f>
        <v>Required</v>
      </c>
      <c r="O9" s="26" t="str">
        <f aca="false">IF(B9="","",IF(ISNUMBER(DB_Colleges!AH3),DB_Colleges!AH3,"Check"))</f>
        <v>Check</v>
      </c>
      <c r="P9" s="26" t="str">
        <f aca="false">IF(B9="","",DB_Colleges!W3&amp;"")</f>
        <v>Not required</v>
      </c>
      <c r="Q9" s="30" t="str">
        <f aca="false">IF(OR(B9="",NOT(ISNUMBER(DB_Colleges!AF3))),"",DB_Colleges!AF3)</f>
        <v/>
      </c>
      <c r="R9" s="28" t="n">
        <f aca="false">IF(OR(B9="",NOT(ISNUMBER(DB_Colleges!AG3))),"",DB_Colleges!AG3)</f>
        <v>0.94</v>
      </c>
      <c r="S9" s="26" t="str">
        <f aca="false">IF(B9="","",DB_Colleges!AK3&amp;"")</f>
        <v>Mixed</v>
      </c>
      <c r="T9" s="26" t="str">
        <f aca="false">IF(B9="","",DB_Colleges!AI3&amp;"")</f>
        <v>https://admission.gatech.edu/first-year/</v>
      </c>
      <c r="U9" s="1" t="n">
        <f aca="false">IF(AND(ISNUMBER($X$4),ISNUMBER(DB_Colleges!Z3),ISNUMBER(DB_Colleges!AA3)),IF($X$4&gt;=DB_Colleges!AA3,1,IF($X$4&lt;DB_Colleges!Z3,-1,0)),"")</f>
        <v>-1</v>
      </c>
      <c r="V9" s="1" t="n">
        <f aca="false">IF(AND(ISNUMBER($Y$4),ISNUMBER(DB_Colleges!AD3)),IF($Y$4&gt;=DB_Colleges!AD3+0.15,1,IF($Y$4&lt;DB_Colleges!AD3-0.2,-1,0)),"")</f>
        <v>-1</v>
      </c>
      <c r="W9" s="1" t="n">
        <f aca="false">IF(COUNT(U9:V9)=0,0,MIN(U9:V9))</f>
        <v>-1</v>
      </c>
    </row>
    <row r="10" customFormat="false" ht="15" hidden="false" customHeight="true" outlineLevel="0" collapsed="false">
      <c r="A10" s="26" t="str">
        <f aca="false">IF(B10="","",IF(COUNTIF('My Colleges'!$B$8:$B$27,B10)&gt;0,"On list",""))</f>
        <v/>
      </c>
      <c r="B10" s="27" t="str">
        <f aca="false">IF(DB_Colleges!A4="","",DB_Colleges!A4)</f>
        <v>Georgia State University</v>
      </c>
      <c r="C10" s="26" t="str">
        <f aca="false">IF(B10="","",DB_Colleges!B4)</f>
        <v>Georgia Public (USG)</v>
      </c>
      <c r="D10" s="26" t="str">
        <f aca="false">IF(B10="","",DB_Colleges!C4&amp;", "&amp;DB_Colleges!D4)</f>
        <v>Atlanta, GA</v>
      </c>
      <c r="E10" s="26" t="str">
        <f aca="false">IF(B10="","",IF(AND(NOT(ISNUMBER($X$4)),NOT(ISNUMBER($Y$4))),"Add scores",IF(NOT(ISNUMBER(DB_Colleges!Y4)),IF(OR(C10="Ivy League",C10="Highly Selective"),"Reach",IF(COUNT(U10:V10)=0,"No data",CHOOSE(W10+2,"Reach","Target","Likely"))),IF(DB_Colleges!Y4&lt;0.15,"Reach",IF(DB_Colleges!Y4&gt;=0.75,IF(W10&gt;=0,"Likely","Target"),IF(DB_Colleges!Y4&gt;=0.4,CHOOSE(W10+2,"Reach","Target","Likely"),IF(W10=1,"Target","Reach")))))))</f>
        <v>Target</v>
      </c>
      <c r="F10" s="28" t="n">
        <f aca="false">IF(OR(B10="",NOT(ISNUMBER(DB_Colleges!Y4))),"",DB_Colleges!Y4)</f>
        <v>0.57</v>
      </c>
      <c r="G10" s="26" t="str">
        <f aca="false">IF(OR(B10="",NOT(ISNUMBER(DB_Colleges!Z4))),"",DB_Colleges!Z4&amp;"-"&amp;DB_Colleges!AA4)</f>
        <v/>
      </c>
      <c r="H10" s="26" t="str">
        <f aca="false">IF(OR(B10="",NOT(ISNUMBER(DB_Colleges!AD4))),"",DB_Colleges!AD4)</f>
        <v/>
      </c>
      <c r="I10" s="29" t="n">
        <f aca="false">IF(B10="","",IF(COUNT(DB_Colleges!I4:O4)=0,IF(DB_Colleges!P4="Yes","Rolling","Check site"),MIN(DB_Colleges!I4:O4)))</f>
        <v>46341</v>
      </c>
      <c r="J10" s="26" t="str">
        <f aca="false">IF(OR(B10="",COUNT(DB_Colleges!I4:O4)=0),"",INDEX({"ED","ED II","EA","EA II","REA","RD","Priority"},MATCH(MIN(DB_Colleges!I4:O4),DB_Colleges!I4:O4,0)))</f>
        <v>EA</v>
      </c>
      <c r="K10" s="29" t="n">
        <f aca="false">IF(OR(B10="",NOT(ISNUMBER(DB_Colleges!N4))),"",DB_Colleges!N4)</f>
        <v>46508</v>
      </c>
      <c r="L10" s="26" t="str">
        <f aca="false">IF(B10="","",DB_Colleges!G4&amp;"")</f>
        <v>Common App</v>
      </c>
      <c r="M10" s="30" t="n">
        <f aca="false">IF(OR(B10="",NOT(ISNUMBER(DB_Colleges!S4))),"",DB_Colleges!S4)</f>
        <v>60</v>
      </c>
      <c r="N10" s="26" t="str">
        <f aca="false">IF(B10="","",DB_Colleges!U4&amp;"")</f>
        <v>Required</v>
      </c>
      <c r="O10" s="26" t="str">
        <f aca="false">IF(B10="","",IF(ISNUMBER(DB_Colleges!AH4),DB_Colleges!AH4,"Check"))</f>
        <v>Check</v>
      </c>
      <c r="P10" s="26" t="str">
        <f aca="false">IF(B10="","",DB_Colleges!W4&amp;"")</f>
        <v>Not required</v>
      </c>
      <c r="Q10" s="30" t="str">
        <f aca="false">IF(OR(B10="",NOT(ISNUMBER(DB_Colleges!AF4))),"",DB_Colleges!AF4)</f>
        <v/>
      </c>
      <c r="R10" s="28" t="str">
        <f aca="false">IF(OR(B10="",NOT(ISNUMBER(DB_Colleges!AG4))),"",DB_Colleges!AG4)</f>
        <v/>
      </c>
      <c r="S10" s="26" t="str">
        <f aca="false">IF(B10="","",DB_Colleges!AK4&amp;"")</f>
        <v>Mixed</v>
      </c>
      <c r="T10" s="26" t="str">
        <f aca="false">IF(B10="","",DB_Colleges!AI4&amp;"")</f>
        <v>https://admissions.gsu.edu/bachelors-degree/apply/</v>
      </c>
      <c r="U10" s="1" t="str">
        <f aca="false">IF(AND(ISNUMBER($X$4),ISNUMBER(DB_Colleges!Z4),ISNUMBER(DB_Colleges!AA4)),IF($X$4&gt;=DB_Colleges!AA4,1,IF($X$4&lt;DB_Colleges!Z4,-1,0)),"")</f>
        <v/>
      </c>
      <c r="V10" s="1" t="str">
        <f aca="false">IF(AND(ISNUMBER($Y$4),ISNUMBER(DB_Colleges!AD4)),IF($Y$4&gt;=DB_Colleges!AD4+0.15,1,IF($Y$4&lt;DB_Colleges!AD4-0.2,-1,0)),"")</f>
        <v/>
      </c>
      <c r="W10" s="1" t="n">
        <f aca="false">IF(COUNT(U10:V10)=0,0,MIN(U10:V10))</f>
        <v>0</v>
      </c>
    </row>
    <row r="11" customFormat="false" ht="15" hidden="false" customHeight="true" outlineLevel="0" collapsed="false">
      <c r="A11" s="26" t="str">
        <f aca="false">IF(B11="","",IF(COUNTIF('My Colleges'!$B$8:$B$27,B11)&gt;0,"On list",""))</f>
        <v/>
      </c>
      <c r="B11" s="27" t="str">
        <f aca="false">IF(DB_Colleges!A5="","",DB_Colleges!A5)</f>
        <v>Kennesaw State University</v>
      </c>
      <c r="C11" s="26" t="str">
        <f aca="false">IF(B11="","",DB_Colleges!B5)</f>
        <v>Georgia Public (USG)</v>
      </c>
      <c r="D11" s="26" t="str">
        <f aca="false">IF(B11="","",DB_Colleges!C5&amp;", "&amp;DB_Colleges!D5)</f>
        <v>Kennesaw, GA</v>
      </c>
      <c r="E11" s="26" t="str">
        <f aca="false">IF(B11="","",IF(AND(NOT(ISNUMBER($X$4)),NOT(ISNUMBER($Y$4))),"Add scores",IF(NOT(ISNUMBER(DB_Colleges!Y5)),IF(OR(C11="Ivy League",C11="Highly Selective"),"Reach",IF(COUNT(U11:V11)=0,"No data",CHOOSE(W11+2,"Reach","Target","Likely"))),IF(DB_Colleges!Y5&lt;0.15,"Reach",IF(DB_Colleges!Y5&gt;=0.75,IF(W11&gt;=0,"Likely","Target"),IF(DB_Colleges!Y5&gt;=0.4,CHOOSE(W11+2,"Reach","Target","Likely"),IF(W11=1,"Target","Reach")))))))</f>
        <v>Target</v>
      </c>
      <c r="F11" s="28" t="n">
        <f aca="false">IF(OR(B11="",NOT(ISNUMBER(DB_Colleges!Y5))),"",DB_Colleges!Y5)</f>
        <v>0.79</v>
      </c>
      <c r="G11" s="26" t="str">
        <f aca="false">IF(OR(B11="",NOT(ISNUMBER(DB_Colleges!Z5))),"",DB_Colleges!Z5&amp;"-"&amp;DB_Colleges!AA5)</f>
        <v>990-1230</v>
      </c>
      <c r="H11" s="26" t="n">
        <f aca="false">IF(OR(B11="",NOT(ISNUMBER(DB_Colleges!AD5))),"",DB_Colleges!AD5)</f>
        <v>3.5</v>
      </c>
      <c r="I11" s="29" t="n">
        <f aca="false">IF(B11="","",IF(COUNT(DB_Colleges!I5:O5)=0,IF(DB_Colleges!P5="Yes","Rolling","Check site"),MIN(DB_Colleges!I5:O5)))</f>
        <v>46328</v>
      </c>
      <c r="J11" s="26" t="str">
        <f aca="false">IF(OR(B11="",COUNT(DB_Colleges!I5:O5)=0),"",INDEX({"ED","ED II","EA","EA II","REA","RD","Priority"},MATCH(MIN(DB_Colleges!I5:O5),DB_Colleges!I5:O5,0)))</f>
        <v>Priority</v>
      </c>
      <c r="K11" s="29" t="n">
        <f aca="false">IF(OR(B11="",NOT(ISNUMBER(DB_Colleges!N5))),"",DB_Colleges!N5)</f>
        <v>46569</v>
      </c>
      <c r="L11" s="26" t="str">
        <f aca="false">IF(B11="","",DB_Colleges!G5&amp;"")</f>
        <v>Common App; School portal</v>
      </c>
      <c r="M11" s="30" t="n">
        <f aca="false">IF(OR(B11="",NOT(ISNUMBER(DB_Colleges!S5))),"",DB_Colleges!S5)</f>
        <v>40</v>
      </c>
      <c r="N11" s="26" t="str">
        <f aca="false">IF(B11="","",DB_Colleges!U5&amp;"")</f>
        <v>Required</v>
      </c>
      <c r="O11" s="26" t="str">
        <f aca="false">IF(B11="","",IF(ISNUMBER(DB_Colleges!AH5),DB_Colleges!AH5,"Check"))</f>
        <v>Check</v>
      </c>
      <c r="P11" s="26" t="str">
        <f aca="false">IF(B11="","",DB_Colleges!W5&amp;"")</f>
        <v>Not required</v>
      </c>
      <c r="Q11" s="30" t="str">
        <f aca="false">IF(OR(B11="",NOT(ISNUMBER(DB_Colleges!AF5))),"",DB_Colleges!AF5)</f>
        <v/>
      </c>
      <c r="R11" s="28" t="str">
        <f aca="false">IF(OR(B11="",NOT(ISNUMBER(DB_Colleges!AG5))),"",DB_Colleges!AG5)</f>
        <v/>
      </c>
      <c r="S11" s="26" t="str">
        <f aca="false">IF(B11="","",DB_Colleges!AK5&amp;"")</f>
        <v>Mixed</v>
      </c>
      <c r="T11" s="26" t="str">
        <f aca="false">IF(B11="","",DB_Colleges!AI5&amp;"")</f>
        <v>https://www.kennesaw.edu/admissions/undergraduate/admission-requirements/freshman.php</v>
      </c>
      <c r="U11" s="1" t="n">
        <f aca="false">IF(AND(ISNUMBER($X$4),ISNUMBER(DB_Colleges!Z5),ISNUMBER(DB_Colleges!AA5)),IF($X$4&gt;=DB_Colleges!AA5,1,IF($X$4&lt;DB_Colleges!Z5,-1,0)),"")</f>
        <v>-1</v>
      </c>
      <c r="V11" s="1" t="n">
        <f aca="false">IF(AND(ISNUMBER($Y$4),ISNUMBER(DB_Colleges!AD5)),IF($Y$4&gt;=DB_Colleges!AD5+0.15,1,IF($Y$4&lt;DB_Colleges!AD5-0.2,-1,0)),"")</f>
        <v>0</v>
      </c>
      <c r="W11" s="1" t="n">
        <f aca="false">IF(COUNT(U11:V11)=0,0,MIN(U11:V11))</f>
        <v>-1</v>
      </c>
    </row>
    <row r="12" customFormat="false" ht="15" hidden="false" customHeight="true" outlineLevel="0" collapsed="false">
      <c r="A12" s="26" t="str">
        <f aca="false">IF(B12="","",IF(COUNTIF('My Colleges'!$B$8:$B$27,B12)&gt;0,"On list",""))</f>
        <v/>
      </c>
      <c r="B12" s="27" t="str">
        <f aca="false">IF(DB_Colleges!A6="","",DB_Colleges!A6)</f>
        <v>Georgia Southern University</v>
      </c>
      <c r="C12" s="26" t="str">
        <f aca="false">IF(B12="","",DB_Colleges!B6)</f>
        <v>Georgia Public (USG)</v>
      </c>
      <c r="D12" s="26" t="str">
        <f aca="false">IF(B12="","",DB_Colleges!C6&amp;", "&amp;DB_Colleges!D6)</f>
        <v>Statesboro, GA</v>
      </c>
      <c r="E12" s="26" t="str">
        <f aca="false">IF(B12="","",IF(AND(NOT(ISNUMBER($X$4)),NOT(ISNUMBER($Y$4))),"Add scores",IF(NOT(ISNUMBER(DB_Colleges!Y6)),IF(OR(C12="Ivy League",C12="Highly Selective"),"Reach",IF(COUNT(U12:V12)=0,"No data",CHOOSE(W12+2,"Reach","Target","Likely"))),IF(DB_Colleges!Y6&lt;0.15,"Reach",IF(DB_Colleges!Y6&gt;=0.75,IF(W12&gt;=0,"Likely","Target"),IF(DB_Colleges!Y6&gt;=0.4,CHOOSE(W12+2,"Reach","Target","Likely"),IF(W12=1,"Target","Reach")))))))</f>
        <v>Reach</v>
      </c>
      <c r="F12" s="28" t="n">
        <f aca="false">IF(OR(B12="",NOT(ISNUMBER(DB_Colleges!Y6))),"",DB_Colleges!Y6)</f>
        <v>0.7</v>
      </c>
      <c r="G12" s="26" t="str">
        <f aca="false">IF(OR(B12="",NOT(ISNUMBER(DB_Colleges!Z6))),"",DB_Colleges!Z6&amp;"-"&amp;DB_Colleges!AA6)</f>
        <v>940-1130</v>
      </c>
      <c r="H12" s="26" t="str">
        <f aca="false">IF(OR(B12="",NOT(ISNUMBER(DB_Colleges!AD6))),"",DB_Colleges!AD6)</f>
        <v/>
      </c>
      <c r="I12" s="29" t="n">
        <f aca="false">IF(B12="","",IF(COUNT(DB_Colleges!I6:O6)=0,IF(DB_Colleges!P6="Yes","Rolling","Check site"),MIN(DB_Colleges!I6:O6)))</f>
        <v>46600</v>
      </c>
      <c r="J12" s="26" t="str">
        <f aca="false">IF(OR(B12="",COUNT(DB_Colleges!I6:O6)=0),"",INDEX({"ED","ED II","EA","EA II","REA","RD","Priority"},MATCH(MIN(DB_Colleges!I6:O6),DB_Colleges!I6:O6,0)))</f>
        <v>RD</v>
      </c>
      <c r="K12" s="29" t="n">
        <f aca="false">IF(OR(B12="",NOT(ISNUMBER(DB_Colleges!N6))),"",DB_Colleges!N6)</f>
        <v>46600</v>
      </c>
      <c r="L12" s="26" t="str">
        <f aca="false">IF(B12="","",DB_Colleges!G6&amp;"")</f>
        <v>Common App; School portal</v>
      </c>
      <c r="M12" s="30" t="n">
        <f aca="false">IF(OR(B12="",NOT(ISNUMBER(DB_Colleges!S6))),"",DB_Colleges!S6)</f>
        <v>30</v>
      </c>
      <c r="N12" s="26" t="str">
        <f aca="false">IF(B12="","",DB_Colleges!U6&amp;"")</f>
        <v>Required</v>
      </c>
      <c r="O12" s="26" t="str">
        <f aca="false">IF(B12="","",IF(ISNUMBER(DB_Colleges!AH6),DB_Colleges!AH6,"Check"))</f>
        <v>Check</v>
      </c>
      <c r="P12" s="26" t="str">
        <f aca="false">IF(B12="","",DB_Colleges!W6&amp;"")</f>
        <v>Not required</v>
      </c>
      <c r="Q12" s="30" t="str">
        <f aca="false">IF(OR(B12="",NOT(ISNUMBER(DB_Colleges!AF6))),"",DB_Colleges!AF6)</f>
        <v/>
      </c>
      <c r="R12" s="28" t="str">
        <f aca="false">IF(OR(B12="",NOT(ISNUMBER(DB_Colleges!AG6))),"",DB_Colleges!AG6)</f>
        <v/>
      </c>
      <c r="S12" s="26" t="str">
        <f aca="false">IF(B12="","",DB_Colleges!AK6&amp;"")</f>
        <v>Mixed</v>
      </c>
      <c r="T12" s="26" t="str">
        <f aca="false">IF(B12="","",DB_Colleges!AI6&amp;"")</f>
        <v>https://www.georgiasouthern.edu/admissions-aid/first-year-students</v>
      </c>
      <c r="U12" s="1" t="n">
        <f aca="false">IF(AND(ISNUMBER($X$4),ISNUMBER(DB_Colleges!Z6),ISNUMBER(DB_Colleges!AA6)),IF($X$4&gt;=DB_Colleges!AA6,1,IF($X$4&lt;DB_Colleges!Z6,-1,0)),"")</f>
        <v>-1</v>
      </c>
      <c r="V12" s="1" t="str">
        <f aca="false">IF(AND(ISNUMBER($Y$4),ISNUMBER(DB_Colleges!AD6)),IF($Y$4&gt;=DB_Colleges!AD6+0.15,1,IF($Y$4&lt;DB_Colleges!AD6-0.2,-1,0)),"")</f>
        <v/>
      </c>
      <c r="W12" s="1" t="n">
        <f aca="false">IF(COUNT(U12:V12)=0,0,MIN(U12:V12))</f>
        <v>-1</v>
      </c>
    </row>
    <row r="13" customFormat="false" ht="15" hidden="false" customHeight="true" outlineLevel="0" collapsed="false">
      <c r="A13" s="26" t="str">
        <f aca="false">IF(B13="","",IF(COUNTIF('My Colleges'!$B$8:$B$27,B13)&gt;0,"On list",""))</f>
        <v/>
      </c>
      <c r="B13" s="27" t="str">
        <f aca="false">IF(DB_Colleges!A7="","",DB_Colleges!A7)</f>
        <v>Augusta University</v>
      </c>
      <c r="C13" s="26" t="str">
        <f aca="false">IF(B13="","",DB_Colleges!B7)</f>
        <v>Georgia Public (USG)</v>
      </c>
      <c r="D13" s="26" t="str">
        <f aca="false">IF(B13="","",DB_Colleges!C7&amp;", "&amp;DB_Colleges!D7)</f>
        <v>Augusta, GA</v>
      </c>
      <c r="E13" s="26" t="str">
        <f aca="false">IF(B13="","",IF(AND(NOT(ISNUMBER($X$4)),NOT(ISNUMBER($Y$4))),"Add scores",IF(NOT(ISNUMBER(DB_Colleges!Y7)),IF(OR(C13="Ivy League",C13="Highly Selective"),"Reach",IF(COUNT(U13:V13)=0,"No data",CHOOSE(W13+2,"Reach","Target","Likely"))),IF(DB_Colleges!Y7&lt;0.15,"Reach",IF(DB_Colleges!Y7&gt;=0.75,IF(W13&gt;=0,"Likely","Target"),IF(DB_Colleges!Y7&gt;=0.4,CHOOSE(W13+2,"Reach","Target","Likely"),IF(W13=1,"Target","Reach")))))))</f>
        <v>Reach</v>
      </c>
      <c r="F13" s="28" t="str">
        <f aca="false">IF(OR(B13="",NOT(ISNUMBER(DB_Colleges!Y7))),"",DB_Colleges!Y7)</f>
        <v/>
      </c>
      <c r="G13" s="26" t="str">
        <f aca="false">IF(OR(B13="",NOT(ISNUMBER(DB_Colleges!Z7))),"",DB_Colleges!Z7&amp;"-"&amp;DB_Colleges!AA7)</f>
        <v>970-1140</v>
      </c>
      <c r="H13" s="26" t="str">
        <f aca="false">IF(OR(B13="",NOT(ISNUMBER(DB_Colleges!AD7))),"",DB_Colleges!AD7)</f>
        <v/>
      </c>
      <c r="I13" s="29" t="n">
        <f aca="false">IF(B13="","",IF(COUNT(DB_Colleges!I7:O7)=0,IF(DB_Colleges!P7="Yes","Rolling","Check site"),MIN(DB_Colleges!I7:O7)))</f>
        <v>46326</v>
      </c>
      <c r="J13" s="26" t="str">
        <f aca="false">IF(OR(B13="",COUNT(DB_Colleges!I7:O7)=0),"",INDEX({"ED","ED II","EA","EA II","REA","RD","Priority"},MATCH(MIN(DB_Colleges!I7:O7),DB_Colleges!I7:O7,0)))</f>
        <v>EA</v>
      </c>
      <c r="K13" s="29" t="n">
        <f aca="false">IF(OR(B13="",NOT(ISNUMBER(DB_Colleges!N7))),"",DB_Colleges!N7)</f>
        <v>46569</v>
      </c>
      <c r="L13" s="26" t="str">
        <f aca="false">IF(B13="","",DB_Colleges!G7&amp;"")</f>
        <v>Common App</v>
      </c>
      <c r="M13" s="30" t="n">
        <f aca="false">IF(OR(B13="",NOT(ISNUMBER(DB_Colleges!S7))),"",DB_Colleges!S7)</f>
        <v>60</v>
      </c>
      <c r="N13" s="26" t="str">
        <f aca="false">IF(B13="","",DB_Colleges!U7&amp;"")</f>
        <v>Required</v>
      </c>
      <c r="O13" s="26" t="str">
        <f aca="false">IF(B13="","",IF(ISNUMBER(DB_Colleges!AH7),DB_Colleges!AH7,"Check"))</f>
        <v>Check</v>
      </c>
      <c r="P13" s="26" t="str">
        <f aca="false">IF(B13="","",DB_Colleges!W7&amp;"")</f>
        <v>Not required</v>
      </c>
      <c r="Q13" s="30" t="str">
        <f aca="false">IF(OR(B13="",NOT(ISNUMBER(DB_Colleges!AF7))),"",DB_Colleges!AF7)</f>
        <v/>
      </c>
      <c r="R13" s="28" t="str">
        <f aca="false">IF(OR(B13="",NOT(ISNUMBER(DB_Colleges!AG7))),"",DB_Colleges!AG7)</f>
        <v/>
      </c>
      <c r="S13" s="26" t="str">
        <f aca="false">IF(B13="","",DB_Colleges!AK7&amp;"")</f>
        <v>Mixed</v>
      </c>
      <c r="T13" s="26" t="str">
        <f aca="false">IF(B13="","",DB_Colleges!AI7&amp;"")</f>
        <v>https://www.augusta.edu/admissions/freshman.php</v>
      </c>
      <c r="U13" s="1" t="n">
        <f aca="false">IF(AND(ISNUMBER($X$4),ISNUMBER(DB_Colleges!Z7),ISNUMBER(DB_Colleges!AA7)),IF($X$4&gt;=DB_Colleges!AA7,1,IF($X$4&lt;DB_Colleges!Z7,-1,0)),"")</f>
        <v>-1</v>
      </c>
      <c r="V13" s="1" t="str">
        <f aca="false">IF(AND(ISNUMBER($Y$4),ISNUMBER(DB_Colleges!AD7)),IF($Y$4&gt;=DB_Colleges!AD7+0.15,1,IF($Y$4&lt;DB_Colleges!AD7-0.2,-1,0)),"")</f>
        <v/>
      </c>
      <c r="W13" s="1" t="n">
        <f aca="false">IF(COUNT(U13:V13)=0,0,MIN(U13:V13))</f>
        <v>-1</v>
      </c>
    </row>
    <row r="14" customFormat="false" ht="15" hidden="false" customHeight="true" outlineLevel="0" collapsed="false">
      <c r="A14" s="26" t="str">
        <f aca="false">IF(B14="","",IF(COUNTIF('My Colleges'!$B$8:$B$27,B14)&gt;0,"On list",""))</f>
        <v/>
      </c>
      <c r="B14" s="27" t="str">
        <f aca="false">IF(DB_Colleges!A8="","",DB_Colleges!A8)</f>
        <v>Valdosta State University</v>
      </c>
      <c r="C14" s="26" t="str">
        <f aca="false">IF(B14="","",DB_Colleges!B8)</f>
        <v>Georgia Public (USG)</v>
      </c>
      <c r="D14" s="26" t="str">
        <f aca="false">IF(B14="","",DB_Colleges!C8&amp;", "&amp;DB_Colleges!D8)</f>
        <v>Valdosta, GA</v>
      </c>
      <c r="E14" s="26" t="str">
        <f aca="false">IF(B14="","",IF(AND(NOT(ISNUMBER($X$4)),NOT(ISNUMBER($Y$4))),"Add scores",IF(NOT(ISNUMBER(DB_Colleges!Y8)),IF(OR(C14="Ivy League",C14="Highly Selective"),"Reach",IF(COUNT(U14:V14)=0,"No data",CHOOSE(W14+2,"Reach","Target","Likely"))),IF(DB_Colleges!Y8&lt;0.15,"Reach",IF(DB_Colleges!Y8&gt;=0.75,IF(W14&gt;=0,"Likely","Target"),IF(DB_Colleges!Y8&gt;=0.4,CHOOSE(W14+2,"Reach","Target","Likely"),IF(W14=1,"Target","Reach")))))))</f>
        <v>Target</v>
      </c>
      <c r="F14" s="28" t="n">
        <f aca="false">IF(OR(B14="",NOT(ISNUMBER(DB_Colleges!Y8))),"",DB_Colleges!Y8)</f>
        <v>0.78</v>
      </c>
      <c r="G14" s="26" t="str">
        <f aca="false">IF(OR(B14="",NOT(ISNUMBER(DB_Colleges!Z8))),"",DB_Colleges!Z8&amp;"-"&amp;DB_Colleges!AA8)</f>
        <v>920-1110</v>
      </c>
      <c r="H14" s="26" t="str">
        <f aca="false">IF(OR(B14="",NOT(ISNUMBER(DB_Colleges!AD8))),"",DB_Colleges!AD8)</f>
        <v/>
      </c>
      <c r="I14" s="29" t="str">
        <f aca="false">IF(B14="","",IF(COUNT(DB_Colleges!I8:O8)=0,IF(DB_Colleges!P8="Yes","Rolling","Check site"),MIN(DB_Colleges!I8:O8)))</f>
        <v>Rolling</v>
      </c>
      <c r="J14" s="26" t="str">
        <f aca="false">IF(OR(B14="",COUNT(DB_Colleges!I8:O8)=0),"",INDEX({"ED","ED II","EA","EA II","REA","RD","Priority"},MATCH(MIN(DB_Colleges!I8:O8),DB_Colleges!I8:O8,0)))</f>
        <v/>
      </c>
      <c r="K14" s="29" t="str">
        <f aca="false">IF(OR(B14="",NOT(ISNUMBER(DB_Colleges!N8))),"",DB_Colleges!N8)</f>
        <v/>
      </c>
      <c r="L14" s="26" t="str">
        <f aca="false">IF(B14="","",DB_Colleges!G8&amp;"")</f>
        <v>School portal</v>
      </c>
      <c r="M14" s="30" t="str">
        <f aca="false">IF(OR(B14="",NOT(ISNUMBER(DB_Colleges!S8))),"",DB_Colleges!S8)</f>
        <v/>
      </c>
      <c r="N14" s="26" t="str">
        <f aca="false">IF(B14="","",DB_Colleges!U8&amp;"")</f>
        <v>Optional</v>
      </c>
      <c r="O14" s="26" t="str">
        <f aca="false">IF(B14="","",IF(ISNUMBER(DB_Colleges!AH8),DB_Colleges!AH8,"Check"))</f>
        <v>Check</v>
      </c>
      <c r="P14" s="26" t="str">
        <f aca="false">IF(B14="","",DB_Colleges!W8&amp;"")</f>
        <v>Not required</v>
      </c>
      <c r="Q14" s="30" t="str">
        <f aca="false">IF(OR(B14="",NOT(ISNUMBER(DB_Colleges!AF8))),"",DB_Colleges!AF8)</f>
        <v/>
      </c>
      <c r="R14" s="28" t="str">
        <f aca="false">IF(OR(B14="",NOT(ISNUMBER(DB_Colleges!AG8))),"",DB_Colleges!AG8)</f>
        <v/>
      </c>
      <c r="S14" s="26" t="str">
        <f aca="false">IF(B14="","",DB_Colleges!AK8&amp;"")</f>
        <v>Mixed</v>
      </c>
      <c r="T14" s="26" t="str">
        <f aca="false">IF(B14="","",DB_Colleges!AI8&amp;"")</f>
        <v>https://www.valdosta.edu/admissions/undergraduate/dates-and-events.php</v>
      </c>
      <c r="U14" s="1" t="n">
        <f aca="false">IF(AND(ISNUMBER($X$4),ISNUMBER(DB_Colleges!Z8),ISNUMBER(DB_Colleges!AA8)),IF($X$4&gt;=DB_Colleges!AA8,1,IF($X$4&lt;DB_Colleges!Z8,-1,0)),"")</f>
        <v>-1</v>
      </c>
      <c r="V14" s="1" t="str">
        <f aca="false">IF(AND(ISNUMBER($Y$4),ISNUMBER(DB_Colleges!AD8)),IF($Y$4&gt;=DB_Colleges!AD8+0.15,1,IF($Y$4&lt;DB_Colleges!AD8-0.2,-1,0)),"")</f>
        <v/>
      </c>
      <c r="W14" s="1" t="n">
        <f aca="false">IF(COUNT(U14:V14)=0,0,MIN(U14:V14))</f>
        <v>-1</v>
      </c>
    </row>
    <row r="15" customFormat="false" ht="15" hidden="false" customHeight="true" outlineLevel="0" collapsed="false">
      <c r="A15" s="26" t="str">
        <f aca="false">IF(B15="","",IF(COUNTIF('My Colleges'!$B$8:$B$27,B15)&gt;0,"On list",""))</f>
        <v/>
      </c>
      <c r="B15" s="27" t="str">
        <f aca="false">IF(DB_Colleges!A9="","",DB_Colleges!A9)</f>
        <v>University of West Georgia</v>
      </c>
      <c r="C15" s="26" t="str">
        <f aca="false">IF(B15="","",DB_Colleges!B9)</f>
        <v>Georgia Public (USG)</v>
      </c>
      <c r="D15" s="26" t="str">
        <f aca="false">IF(B15="","",DB_Colleges!C9&amp;", "&amp;DB_Colleges!D9)</f>
        <v>Carrollton, GA</v>
      </c>
      <c r="E15" s="26" t="str">
        <f aca="false">IF(B15="","",IF(AND(NOT(ISNUMBER($X$4)),NOT(ISNUMBER($Y$4))),"Add scores",IF(NOT(ISNUMBER(DB_Colleges!Y9)),IF(OR(C15="Ivy League",C15="Highly Selective"),"Reach",IF(COUNT(U15:V15)=0,"No data",CHOOSE(W15+2,"Reach","Target","Likely"))),IF(DB_Colleges!Y9&lt;0.15,"Reach",IF(DB_Colleges!Y9&gt;=0.75,IF(W15&gt;=0,"Likely","Target"),IF(DB_Colleges!Y9&gt;=0.4,CHOOSE(W15+2,"Reach","Target","Likely"),IF(W15=1,"Target","Reach")))))))</f>
        <v>Target</v>
      </c>
      <c r="F15" s="28" t="n">
        <f aca="false">IF(OR(B15="",NOT(ISNUMBER(DB_Colleges!Y9))),"",DB_Colleges!Y9)</f>
        <v>0.8</v>
      </c>
      <c r="G15" s="26" t="str">
        <f aca="false">IF(OR(B15="",NOT(ISNUMBER(DB_Colleges!Z9))),"",DB_Colleges!Z9&amp;"-"&amp;DB_Colleges!AA9)</f>
        <v>930-1150</v>
      </c>
      <c r="H15" s="26" t="str">
        <f aca="false">IF(OR(B15="",NOT(ISNUMBER(DB_Colleges!AD9))),"",DB_Colleges!AD9)</f>
        <v/>
      </c>
      <c r="I15" s="29" t="n">
        <f aca="false">IF(B15="","",IF(COUNT(DB_Colleges!I9:O9)=0,IF(DB_Colleges!P9="Yes","Rolling","Check site"),MIN(DB_Colleges!I9:O9)))</f>
        <v>46326</v>
      </c>
      <c r="J15" s="26" t="str">
        <f aca="false">IF(OR(B15="",COUNT(DB_Colleges!I9:O9)=0),"",INDEX({"ED","ED II","EA","EA II","REA","RD","Priority"},MATCH(MIN(DB_Colleges!I9:O9),DB_Colleges!I9:O9,0)))</f>
        <v>EA</v>
      </c>
      <c r="K15" s="29" t="n">
        <f aca="false">IF(OR(B15="",NOT(ISNUMBER(DB_Colleges!N9))),"",DB_Colleges!N9)</f>
        <v>46607</v>
      </c>
      <c r="L15" s="26" t="str">
        <f aca="false">IF(B15="","",DB_Colleges!G9&amp;"")</f>
        <v>School portal</v>
      </c>
      <c r="M15" s="30" t="n">
        <f aca="false">IF(OR(B15="",NOT(ISNUMBER(DB_Colleges!S9))),"",DB_Colleges!S9)</f>
        <v>40</v>
      </c>
      <c r="N15" s="26" t="str">
        <f aca="false">IF(B15="","",DB_Colleges!U9&amp;"")</f>
        <v>Flexible</v>
      </c>
      <c r="O15" s="26" t="str">
        <f aca="false">IF(B15="","",IF(ISNUMBER(DB_Colleges!AH9),DB_Colleges!AH9,"Check"))</f>
        <v>Check</v>
      </c>
      <c r="P15" s="26" t="str">
        <f aca="false">IF(B15="","",DB_Colleges!W9&amp;"")</f>
        <v>Not required</v>
      </c>
      <c r="Q15" s="30" t="str">
        <f aca="false">IF(OR(B15="",NOT(ISNUMBER(DB_Colleges!AF9))),"",DB_Colleges!AF9)</f>
        <v/>
      </c>
      <c r="R15" s="28" t="str">
        <f aca="false">IF(OR(B15="",NOT(ISNUMBER(DB_Colleges!AG9))),"",DB_Colleges!AG9)</f>
        <v/>
      </c>
      <c r="S15" s="26" t="str">
        <f aca="false">IF(B15="","",DB_Colleges!AK9&amp;"")</f>
        <v>Mixed</v>
      </c>
      <c r="T15" s="26" t="str">
        <f aca="false">IF(B15="","",DB_Colleges!AI9&amp;"")</f>
        <v>https://www.westga.edu/undergraduate-admissions/dates-deadlines.php</v>
      </c>
      <c r="U15" s="1" t="n">
        <f aca="false">IF(AND(ISNUMBER($X$4),ISNUMBER(DB_Colleges!Z9),ISNUMBER(DB_Colleges!AA9)),IF($X$4&gt;=DB_Colleges!AA9,1,IF($X$4&lt;DB_Colleges!Z9,-1,0)),"")</f>
        <v>-1</v>
      </c>
      <c r="V15" s="1" t="str">
        <f aca="false">IF(AND(ISNUMBER($Y$4),ISNUMBER(DB_Colleges!AD9)),IF($Y$4&gt;=DB_Colleges!AD9+0.15,1,IF($Y$4&lt;DB_Colleges!AD9-0.2,-1,0)),"")</f>
        <v/>
      </c>
      <c r="W15" s="1" t="n">
        <f aca="false">IF(COUNT(U15:V15)=0,0,MIN(U15:V15))</f>
        <v>-1</v>
      </c>
    </row>
    <row r="16" customFormat="false" ht="15" hidden="false" customHeight="true" outlineLevel="0" collapsed="false">
      <c r="A16" s="26" t="str">
        <f aca="false">IF(B16="","",IF(COUNTIF('My Colleges'!$B$8:$B$27,B16)&gt;0,"On list",""))</f>
        <v/>
      </c>
      <c r="B16" s="27" t="str">
        <f aca="false">IF(DB_Colleges!A10="","",DB_Colleges!A10)</f>
        <v>Georgia College &amp; State University</v>
      </c>
      <c r="C16" s="26" t="str">
        <f aca="false">IF(B16="","",DB_Colleges!B10)</f>
        <v>Georgia Public (USG)</v>
      </c>
      <c r="D16" s="26" t="str">
        <f aca="false">IF(B16="","",DB_Colleges!C10&amp;", "&amp;DB_Colleges!D10)</f>
        <v>Milledgeville, GA</v>
      </c>
      <c r="E16" s="26" t="str">
        <f aca="false">IF(B16="","",IF(AND(NOT(ISNUMBER($X$4)),NOT(ISNUMBER($Y$4))),"Add scores",IF(NOT(ISNUMBER(DB_Colleges!Y10)),IF(OR(C16="Ivy League",C16="Highly Selective"),"Reach",IF(COUNT(U16:V16)=0,"No data",CHOOSE(W16+2,"Reach","Target","Likely"))),IF(DB_Colleges!Y10&lt;0.15,"Reach",IF(DB_Colleges!Y10&gt;=0.75,IF(W16&gt;=0,"Likely","Target"),IF(DB_Colleges!Y10&gt;=0.4,CHOOSE(W16+2,"Reach","Target","Likely"),IF(W16=1,"Target","Reach")))))))</f>
        <v>Target</v>
      </c>
      <c r="F16" s="28" t="n">
        <f aca="false">IF(OR(B16="",NOT(ISNUMBER(DB_Colleges!Y10))),"",DB_Colleges!Y10)</f>
        <v>0.85</v>
      </c>
      <c r="G16" s="26" t="str">
        <f aca="false">IF(OR(B16="",NOT(ISNUMBER(DB_Colleges!Z10))),"",DB_Colleges!Z10&amp;"-"&amp;DB_Colleges!AA10)</f>
        <v>1110-1270</v>
      </c>
      <c r="H16" s="26" t="str">
        <f aca="false">IF(OR(B16="",NOT(ISNUMBER(DB_Colleges!AD10))),"",DB_Colleges!AD10)</f>
        <v/>
      </c>
      <c r="I16" s="29" t="n">
        <f aca="false">IF(B16="","",IF(COUNT(DB_Colleges!I10:O10)=0,IF(DB_Colleges!P10="Yes","Rolling","Check site"),MIN(DB_Colleges!I10:O10)))</f>
        <v>46310</v>
      </c>
      <c r="J16" s="26" t="str">
        <f aca="false">IF(OR(B16="",COUNT(DB_Colleges!I10:O10)=0),"",INDEX({"ED","ED II","EA","EA II","REA","RD","Priority"},MATCH(MIN(DB_Colleges!I10:O10),DB_Colleges!I10:O10,0)))</f>
        <v>EA</v>
      </c>
      <c r="K16" s="29" t="str">
        <f aca="false">IF(OR(B16="",NOT(ISNUMBER(DB_Colleges!N10))),"",DB_Colleges!N10)</f>
        <v/>
      </c>
      <c r="L16" s="26" t="str">
        <f aca="false">IF(B16="","",DB_Colleges!G10&amp;"")</f>
        <v>Common App</v>
      </c>
      <c r="M16" s="30" t="n">
        <f aca="false">IF(OR(B16="",NOT(ISNUMBER(DB_Colleges!S10))),"",DB_Colleges!S10)</f>
        <v>50</v>
      </c>
      <c r="N16" s="26" t="str">
        <f aca="false">IF(B16="","",DB_Colleges!U10&amp;"")</f>
        <v>Required</v>
      </c>
      <c r="O16" s="26" t="str">
        <f aca="false">IF(B16="","",IF(ISNUMBER(DB_Colleges!AH10),DB_Colleges!AH10,"Check"))</f>
        <v>Check</v>
      </c>
      <c r="P16" s="26" t="str">
        <f aca="false">IF(B16="","",DB_Colleges!W10&amp;"")</f>
        <v>Not required</v>
      </c>
      <c r="Q16" s="30" t="str">
        <f aca="false">IF(OR(B16="",NOT(ISNUMBER(DB_Colleges!AF10))),"",DB_Colleges!AF10)</f>
        <v/>
      </c>
      <c r="R16" s="28" t="str">
        <f aca="false">IF(OR(B16="",NOT(ISNUMBER(DB_Colleges!AG10))),"",DB_Colleges!AG10)</f>
        <v/>
      </c>
      <c r="S16" s="26" t="str">
        <f aca="false">IF(B16="","",DB_Colleges!AK10&amp;"")</f>
        <v>Mixed</v>
      </c>
      <c r="T16" s="26" t="str">
        <f aca="false">IF(B16="","",DB_Colleges!AI10&amp;"")</f>
        <v>https://www.gcsu.edu/admissions/first-year</v>
      </c>
      <c r="U16" s="1" t="n">
        <f aca="false">IF(AND(ISNUMBER($X$4),ISNUMBER(DB_Colleges!Z10),ISNUMBER(DB_Colleges!AA10)),IF($X$4&gt;=DB_Colleges!AA10,1,IF($X$4&lt;DB_Colleges!Z10,-1,0)),"")</f>
        <v>-1</v>
      </c>
      <c r="V16" s="1" t="str">
        <f aca="false">IF(AND(ISNUMBER($Y$4),ISNUMBER(DB_Colleges!AD10)),IF($Y$4&gt;=DB_Colleges!AD10+0.15,1,IF($Y$4&lt;DB_Colleges!AD10-0.2,-1,0)),"")</f>
        <v/>
      </c>
      <c r="W16" s="1" t="n">
        <f aca="false">IF(COUNT(U16:V16)=0,0,MIN(U16:V16))</f>
        <v>-1</v>
      </c>
    </row>
    <row r="17" customFormat="false" ht="15" hidden="false" customHeight="true" outlineLevel="0" collapsed="false">
      <c r="A17" s="26" t="str">
        <f aca="false">IF(B17="","",IF(COUNTIF('My Colleges'!$B$8:$B$27,B17)&gt;0,"On list",""))</f>
        <v/>
      </c>
      <c r="B17" s="27" t="str">
        <f aca="false">IF(DB_Colleges!A11="","",DB_Colleges!A11)</f>
        <v>Columbus State University</v>
      </c>
      <c r="C17" s="26" t="str">
        <f aca="false">IF(B17="","",DB_Colleges!B11)</f>
        <v>Georgia Public (USG)</v>
      </c>
      <c r="D17" s="26" t="str">
        <f aca="false">IF(B17="","",DB_Colleges!C11&amp;", "&amp;DB_Colleges!D11)</f>
        <v>Columbus, GA</v>
      </c>
      <c r="E17" s="26" t="str">
        <f aca="false">IF(B17="","",IF(AND(NOT(ISNUMBER($X$4)),NOT(ISNUMBER($Y$4))),"Add scores",IF(NOT(ISNUMBER(DB_Colleges!Y11)),IF(OR(C17="Ivy League",C17="Highly Selective"),"Reach",IF(COUNT(U17:V17)=0,"No data",CHOOSE(W17+2,"Reach","Target","Likely"))),IF(DB_Colleges!Y11&lt;0.15,"Reach",IF(DB_Colleges!Y11&gt;=0.75,IF(W17&gt;=0,"Likely","Target"),IF(DB_Colleges!Y11&gt;=0.4,CHOOSE(W17+2,"Reach","Target","Likely"),IF(W17=1,"Target","Reach")))))))</f>
        <v>Likely</v>
      </c>
      <c r="F17" s="28" t="n">
        <f aca="false">IF(OR(B17="",NOT(ISNUMBER(DB_Colleges!Y11))),"",DB_Colleges!Y11)</f>
        <v>0.99</v>
      </c>
      <c r="G17" s="26" t="str">
        <f aca="false">IF(OR(B17="",NOT(ISNUMBER(DB_Colleges!Z11))),"",DB_Colleges!Z11&amp;"-"&amp;DB_Colleges!AA11)</f>
        <v>800-1060</v>
      </c>
      <c r="H17" s="26" t="str">
        <f aca="false">IF(OR(B17="",NOT(ISNUMBER(DB_Colleges!AD11))),"",DB_Colleges!AD11)</f>
        <v/>
      </c>
      <c r="I17" s="29" t="n">
        <f aca="false">IF(B17="","",IF(COUNT(DB_Colleges!I11:O11)=0,IF(DB_Colleges!P11="Yes","Rolling","Check site"),MIN(DB_Colleges!I11:O11)))</f>
        <v>46492</v>
      </c>
      <c r="J17" s="26" t="str">
        <f aca="false">IF(OR(B17="",COUNT(DB_Colleges!I11:O11)=0),"",INDEX({"ED","ED II","EA","EA II","REA","RD","Priority"},MATCH(MIN(DB_Colleges!I11:O11),DB_Colleges!I11:O11,0)))</f>
        <v>Priority</v>
      </c>
      <c r="K17" s="29" t="n">
        <f aca="false">IF(OR(B17="",NOT(ISNUMBER(DB_Colleges!N11))),"",DB_Colleges!N11)</f>
        <v>46568</v>
      </c>
      <c r="L17" s="26" t="str">
        <f aca="false">IF(B17="","",DB_Colleges!G11&amp;"")</f>
        <v>School portal</v>
      </c>
      <c r="M17" s="30" t="n">
        <f aca="false">IF(OR(B17="",NOT(ISNUMBER(DB_Colleges!S11))),"",DB_Colleges!S11)</f>
        <v>40</v>
      </c>
      <c r="N17" s="26" t="str">
        <f aca="false">IF(B17="","",DB_Colleges!U11&amp;"")</f>
        <v>Required</v>
      </c>
      <c r="O17" s="26" t="str">
        <f aca="false">IF(B17="","",IF(ISNUMBER(DB_Colleges!AH11),DB_Colleges!AH11,"Check"))</f>
        <v>Check</v>
      </c>
      <c r="P17" s="26" t="str">
        <f aca="false">IF(B17="","",DB_Colleges!W11&amp;"")</f>
        <v>Not required</v>
      </c>
      <c r="Q17" s="30" t="str">
        <f aca="false">IF(OR(B17="",NOT(ISNUMBER(DB_Colleges!AF11))),"",DB_Colleges!AF11)</f>
        <v/>
      </c>
      <c r="R17" s="28" t="str">
        <f aca="false">IF(OR(B17="",NOT(ISNUMBER(DB_Colleges!AG11))),"",DB_Colleges!AG11)</f>
        <v/>
      </c>
      <c r="S17" s="26" t="str">
        <f aca="false">IF(B17="","",DB_Colleges!AK11&amp;"")</f>
        <v>Mixed</v>
      </c>
      <c r="T17" s="26" t="str">
        <f aca="false">IF(B17="","",DB_Colleges!AI11&amp;"")</f>
        <v>https://www.columbusstate.edu/admissions/undergraduate/first-time-freshmen.php</v>
      </c>
      <c r="U17" s="1" t="n">
        <f aca="false">IF(AND(ISNUMBER($X$4),ISNUMBER(DB_Colleges!Z11),ISNUMBER(DB_Colleges!AA11)),IF($X$4&gt;=DB_Colleges!AA11,1,IF($X$4&lt;DB_Colleges!Z11,-1,0)),"")</f>
        <v>0</v>
      </c>
      <c r="V17" s="1" t="str">
        <f aca="false">IF(AND(ISNUMBER($Y$4),ISNUMBER(DB_Colleges!AD11)),IF($Y$4&gt;=DB_Colleges!AD11+0.15,1,IF($Y$4&lt;DB_Colleges!AD11-0.2,-1,0)),"")</f>
        <v/>
      </c>
      <c r="W17" s="1" t="n">
        <f aca="false">IF(COUNT(U17:V17)=0,0,MIN(U17:V17))</f>
        <v>0</v>
      </c>
    </row>
    <row r="18" customFormat="false" ht="15" hidden="false" customHeight="true" outlineLevel="0" collapsed="false">
      <c r="A18" s="26" t="str">
        <f aca="false">IF(B18="","",IF(COUNTIF('My Colleges'!$B$8:$B$27,B18)&gt;0,"On list",""))</f>
        <v/>
      </c>
      <c r="B18" s="27" t="str">
        <f aca="false">IF(DB_Colleges!A12="","",DB_Colleges!A12)</f>
        <v>Georgia Southwestern State University</v>
      </c>
      <c r="C18" s="26" t="str">
        <f aca="false">IF(B18="","",DB_Colleges!B12)</f>
        <v>Georgia Public (USG)</v>
      </c>
      <c r="D18" s="26" t="str">
        <f aca="false">IF(B18="","",DB_Colleges!C12&amp;", "&amp;DB_Colleges!D12)</f>
        <v>Americus, GA</v>
      </c>
      <c r="E18" s="26" t="str">
        <f aca="false">IF(B18="","",IF(AND(NOT(ISNUMBER($X$4)),NOT(ISNUMBER($Y$4))),"Add scores",IF(NOT(ISNUMBER(DB_Colleges!Y12)),IF(OR(C18="Ivy League",C18="Highly Selective"),"Reach",IF(COUNT(U18:V18)=0,"No data",CHOOSE(W18+2,"Reach","Target","Likely"))),IF(DB_Colleges!Y12&lt;0.15,"Reach",IF(DB_Colleges!Y12&gt;=0.75,IF(W18&gt;=0,"Likely","Target"),IF(DB_Colleges!Y12&gt;=0.4,CHOOSE(W18+2,"Reach","Target","Likely"),IF(W18=1,"Target","Reach")))))))</f>
        <v>Target</v>
      </c>
      <c r="F18" s="28" t="n">
        <f aca="false">IF(OR(B18="",NOT(ISNUMBER(DB_Colleges!Y12))),"",DB_Colleges!Y12)</f>
        <v>0.75</v>
      </c>
      <c r="G18" s="26" t="str">
        <f aca="false">IF(OR(B18="",NOT(ISNUMBER(DB_Colleges!Z12))),"",DB_Colleges!Z12&amp;"-"&amp;DB_Colleges!AA12)</f>
        <v>890-1110</v>
      </c>
      <c r="H18" s="26" t="str">
        <f aca="false">IF(OR(B18="",NOT(ISNUMBER(DB_Colleges!AD12))),"",DB_Colleges!AD12)</f>
        <v/>
      </c>
      <c r="I18" s="29" t="str">
        <f aca="false">IF(B18="","",IF(COUNT(DB_Colleges!I12:O12)=0,IF(DB_Colleges!P12="Yes","Rolling","Check site"),MIN(DB_Colleges!I12:O12)))</f>
        <v>Rolling</v>
      </c>
      <c r="J18" s="26" t="str">
        <f aca="false">IF(OR(B18="",COUNT(DB_Colleges!I12:O12)=0),"",INDEX({"ED","ED II","EA","EA II","REA","RD","Priority"},MATCH(MIN(DB_Colleges!I12:O12),DB_Colleges!I12:O12,0)))</f>
        <v/>
      </c>
      <c r="K18" s="29" t="str">
        <f aca="false">IF(OR(B18="",NOT(ISNUMBER(DB_Colleges!N12))),"",DB_Colleges!N12)</f>
        <v/>
      </c>
      <c r="L18" s="26" t="str">
        <f aca="false">IF(B18="","",DB_Colleges!G12&amp;"")</f>
        <v>GAfutures; School portal</v>
      </c>
      <c r="M18" s="30" t="str">
        <f aca="false">IF(OR(B18="",NOT(ISNUMBER(DB_Colleges!S12))),"",DB_Colleges!S12)</f>
        <v/>
      </c>
      <c r="N18" s="26" t="str">
        <f aca="false">IF(B18="","",DB_Colleges!U12&amp;"")</f>
        <v>Optional</v>
      </c>
      <c r="O18" s="26" t="str">
        <f aca="false">IF(B18="","",IF(ISNUMBER(DB_Colleges!AH12),DB_Colleges!AH12,"Check"))</f>
        <v>Check</v>
      </c>
      <c r="P18" s="26" t="str">
        <f aca="false">IF(B18="","",DB_Colleges!W12&amp;"")</f>
        <v>Not required</v>
      </c>
      <c r="Q18" s="30" t="str">
        <f aca="false">IF(OR(B18="",NOT(ISNUMBER(DB_Colleges!AF12))),"",DB_Colleges!AF12)</f>
        <v/>
      </c>
      <c r="R18" s="28" t="str">
        <f aca="false">IF(OR(B18="",NOT(ISNUMBER(DB_Colleges!AG12))),"",DB_Colleges!AG12)</f>
        <v/>
      </c>
      <c r="S18" s="26" t="str">
        <f aca="false">IF(B18="","",DB_Colleges!AK12&amp;"")</f>
        <v>Mixed</v>
      </c>
      <c r="T18" s="26" t="str">
        <f aca="false">IF(B18="","",DB_Colleges!AI12&amp;"")</f>
        <v>https://www.gsw.edu/admissions/undergraduate/freshman</v>
      </c>
      <c r="U18" s="1" t="n">
        <f aca="false">IF(AND(ISNUMBER($X$4),ISNUMBER(DB_Colleges!Z12),ISNUMBER(DB_Colleges!AA12)),IF($X$4&gt;=DB_Colleges!AA12,1,IF($X$4&lt;DB_Colleges!Z12,-1,0)),"")</f>
        <v>-1</v>
      </c>
      <c r="V18" s="1" t="str">
        <f aca="false">IF(AND(ISNUMBER($Y$4),ISNUMBER(DB_Colleges!AD12)),IF($Y$4&gt;=DB_Colleges!AD12+0.15,1,IF($Y$4&lt;DB_Colleges!AD12-0.2,-1,0)),"")</f>
        <v/>
      </c>
      <c r="W18" s="1" t="n">
        <f aca="false">IF(COUNT(U18:V18)=0,0,MIN(U18:V18))</f>
        <v>-1</v>
      </c>
    </row>
    <row r="19" customFormat="false" ht="15" hidden="false" customHeight="true" outlineLevel="0" collapsed="false">
      <c r="A19" s="26" t="str">
        <f aca="false">IF(B19="","",IF(COUNTIF('My Colleges'!$B$8:$B$27,B19)&gt;0,"On list",""))</f>
        <v/>
      </c>
      <c r="B19" s="27" t="str">
        <f aca="false">IF(DB_Colleges!A13="","",DB_Colleges!A13)</f>
        <v>Clayton State University</v>
      </c>
      <c r="C19" s="26" t="str">
        <f aca="false">IF(B19="","",DB_Colleges!B13)</f>
        <v>Georgia Public (USG)</v>
      </c>
      <c r="D19" s="26" t="str">
        <f aca="false">IF(B19="","",DB_Colleges!C13&amp;", "&amp;DB_Colleges!D13)</f>
        <v>Morrow, GA</v>
      </c>
      <c r="E19" s="26" t="str">
        <f aca="false">IF(B19="","",IF(AND(NOT(ISNUMBER($X$4)),NOT(ISNUMBER($Y$4))),"Add scores",IF(NOT(ISNUMBER(DB_Colleges!Y13)),IF(OR(C19="Ivy League",C19="Highly Selective"),"Reach",IF(COUNT(U19:V19)=0,"No data",CHOOSE(W19+2,"Reach","Target","Likely"))),IF(DB_Colleges!Y13&lt;0.15,"Reach",IF(DB_Colleges!Y13&gt;=0.75,IF(W19&gt;=0,"Likely","Target"),IF(DB_Colleges!Y13&gt;=0.4,CHOOSE(W19+2,"Reach","Target","Likely"),IF(W19=1,"Target","Reach")))))))</f>
        <v>Reach</v>
      </c>
      <c r="F19" s="28" t="n">
        <f aca="false">IF(OR(B19="",NOT(ISNUMBER(DB_Colleges!Y13))),"",DB_Colleges!Y13)</f>
        <v>0.68</v>
      </c>
      <c r="G19" s="26" t="str">
        <f aca="false">IF(OR(B19="",NOT(ISNUMBER(DB_Colleges!Z13))),"",DB_Colleges!Z13&amp;"-"&amp;DB_Colleges!AA13)</f>
        <v>860-1078</v>
      </c>
      <c r="H19" s="26" t="str">
        <f aca="false">IF(OR(B19="",NOT(ISNUMBER(DB_Colleges!AD13))),"",DB_Colleges!AD13)</f>
        <v/>
      </c>
      <c r="I19" s="29" t="str">
        <f aca="false">IF(B19="","",IF(COUNT(DB_Colleges!I13:O13)=0,IF(DB_Colleges!P13="Yes","Rolling","Check site"),MIN(DB_Colleges!I13:O13)))</f>
        <v>Rolling</v>
      </c>
      <c r="J19" s="26" t="str">
        <f aca="false">IF(OR(B19="",COUNT(DB_Colleges!I13:O13)=0),"",INDEX({"ED","ED II","EA","EA II","REA","RD","Priority"},MATCH(MIN(DB_Colleges!I13:O13),DB_Colleges!I13:O13,0)))</f>
        <v/>
      </c>
      <c r="K19" s="29" t="str">
        <f aca="false">IF(OR(B19="",NOT(ISNUMBER(DB_Colleges!N13))),"",DB_Colleges!N13)</f>
        <v/>
      </c>
      <c r="L19" s="26" t="str">
        <f aca="false">IF(B19="","",DB_Colleges!G13&amp;"")</f>
        <v>Common App; School portal</v>
      </c>
      <c r="M19" s="30" t="n">
        <f aca="false">IF(OR(B19="",NOT(ISNUMBER(DB_Colleges!S13))),"",DB_Colleges!S13)</f>
        <v>40</v>
      </c>
      <c r="N19" s="26" t="str">
        <f aca="false">IF(B19="","",DB_Colleges!U13&amp;"")</f>
        <v>Optional</v>
      </c>
      <c r="O19" s="26" t="str">
        <f aca="false">IF(B19="","",IF(ISNUMBER(DB_Colleges!AH13),DB_Colleges!AH13,"Check"))</f>
        <v>Check</v>
      </c>
      <c r="P19" s="26" t="str">
        <f aca="false">IF(B19="","",DB_Colleges!W13&amp;"")</f>
        <v>Not required</v>
      </c>
      <c r="Q19" s="30" t="str">
        <f aca="false">IF(OR(B19="",NOT(ISNUMBER(DB_Colleges!AF13))),"",DB_Colleges!AF13)</f>
        <v/>
      </c>
      <c r="R19" s="28" t="str">
        <f aca="false">IF(OR(B19="",NOT(ISNUMBER(DB_Colleges!AG13))),"",DB_Colleges!AG13)</f>
        <v/>
      </c>
      <c r="S19" s="26" t="str">
        <f aca="false">IF(B19="","",DB_Colleges!AK13&amp;"")</f>
        <v>Aggregator only</v>
      </c>
      <c r="T19" s="26" t="str">
        <f aca="false">IF(B19="","",DB_Colleges!AI13&amp;"")</f>
        <v>https://www.clayton.edu/admissions/undergrad/freshman.php</v>
      </c>
      <c r="U19" s="1" t="n">
        <f aca="false">IF(AND(ISNUMBER($X$4),ISNUMBER(DB_Colleges!Z13),ISNUMBER(DB_Colleges!AA13)),IF($X$4&gt;=DB_Colleges!AA13,1,IF($X$4&lt;DB_Colleges!Z13,-1,0)),"")</f>
        <v>-1</v>
      </c>
      <c r="V19" s="1" t="str">
        <f aca="false">IF(AND(ISNUMBER($Y$4),ISNUMBER(DB_Colleges!AD13)),IF($Y$4&gt;=DB_Colleges!AD13+0.15,1,IF($Y$4&lt;DB_Colleges!AD13-0.2,-1,0)),"")</f>
        <v/>
      </c>
      <c r="W19" s="1" t="n">
        <f aca="false">IF(COUNT(U19:V19)=0,0,MIN(U19:V19))</f>
        <v>-1</v>
      </c>
    </row>
    <row r="20" customFormat="false" ht="15" hidden="false" customHeight="true" outlineLevel="0" collapsed="false">
      <c r="A20" s="26" t="str">
        <f aca="false">IF(B20="","",IF(COUNTIF('My Colleges'!$B$8:$B$27,B20)&gt;0,"On list",""))</f>
        <v/>
      </c>
      <c r="B20" s="27" t="str">
        <f aca="false">IF(DB_Colleges!A14="","",DB_Colleges!A14)</f>
        <v>Middle Georgia State University</v>
      </c>
      <c r="C20" s="26" t="str">
        <f aca="false">IF(B20="","",DB_Colleges!B14)</f>
        <v>Georgia Public (USG)</v>
      </c>
      <c r="D20" s="26" t="str">
        <f aca="false">IF(B20="","",DB_Colleges!C14&amp;", "&amp;DB_Colleges!D14)</f>
        <v>Macon, GA</v>
      </c>
      <c r="E20" s="26" t="str">
        <f aca="false">IF(B20="","",IF(AND(NOT(ISNUMBER($X$4)),NOT(ISNUMBER($Y$4))),"Add scores",IF(NOT(ISNUMBER(DB_Colleges!Y14)),IF(OR(C20="Ivy League",C20="Highly Selective"),"Reach",IF(COUNT(U20:V20)=0,"No data",CHOOSE(W20+2,"Reach","Target","Likely"))),IF(DB_Colleges!Y14&lt;0.15,"Reach",IF(DB_Colleges!Y14&gt;=0.75,IF(W20&gt;=0,"Likely","Target"),IF(DB_Colleges!Y14&gt;=0.4,CHOOSE(W20+2,"Reach","Target","Likely"),IF(W20=1,"Target","Reach")))))))</f>
        <v>Target</v>
      </c>
      <c r="F20" s="28" t="n">
        <f aca="false">IF(OR(B20="",NOT(ISNUMBER(DB_Colleges!Y14))),"",DB_Colleges!Y14)</f>
        <v>1</v>
      </c>
      <c r="G20" s="26" t="str">
        <f aca="false">IF(OR(B20="",NOT(ISNUMBER(DB_Colleges!Z14))),"",DB_Colleges!Z14&amp;"-"&amp;DB_Colleges!AA14)</f>
        <v>950-1190</v>
      </c>
      <c r="H20" s="26" t="str">
        <f aca="false">IF(OR(B20="",NOT(ISNUMBER(DB_Colleges!AD14))),"",DB_Colleges!AD14)</f>
        <v/>
      </c>
      <c r="I20" s="29" t="str">
        <f aca="false">IF(B20="","",IF(COUNT(DB_Colleges!I14:O14)=0,IF(DB_Colleges!P14="Yes","Rolling","Check site"),MIN(DB_Colleges!I14:O14)))</f>
        <v>Rolling</v>
      </c>
      <c r="J20" s="26" t="str">
        <f aca="false">IF(OR(B20="",COUNT(DB_Colleges!I14:O14)=0),"",INDEX({"ED","ED II","EA","EA II","REA","RD","Priority"},MATCH(MIN(DB_Colleges!I14:O14),DB_Colleges!I14:O14,0)))</f>
        <v/>
      </c>
      <c r="K20" s="29" t="str">
        <f aca="false">IF(OR(B20="",NOT(ISNUMBER(DB_Colleges!N14))),"",DB_Colleges!N14)</f>
        <v/>
      </c>
      <c r="L20" s="26" t="str">
        <f aca="false">IF(B20="","",DB_Colleges!G14&amp;"")</f>
        <v>School portal</v>
      </c>
      <c r="M20" s="30" t="n">
        <f aca="false">IF(OR(B20="",NOT(ISNUMBER(DB_Colleges!S14))),"",DB_Colleges!S14)</f>
        <v>30</v>
      </c>
      <c r="N20" s="26" t="str">
        <f aca="false">IF(B20="","",DB_Colleges!U14&amp;"")</f>
        <v>Optional</v>
      </c>
      <c r="O20" s="26" t="str">
        <f aca="false">IF(B20="","",IF(ISNUMBER(DB_Colleges!AH14),DB_Colleges!AH14,"Check"))</f>
        <v>Check</v>
      </c>
      <c r="P20" s="26" t="str">
        <f aca="false">IF(B20="","",DB_Colleges!W14&amp;"")</f>
        <v>Not required</v>
      </c>
      <c r="Q20" s="30" t="str">
        <f aca="false">IF(OR(B20="",NOT(ISNUMBER(DB_Colleges!AF14))),"",DB_Colleges!AF14)</f>
        <v/>
      </c>
      <c r="R20" s="28" t="str">
        <f aca="false">IF(OR(B20="",NOT(ISNUMBER(DB_Colleges!AG14))),"",DB_Colleges!AG14)</f>
        <v/>
      </c>
      <c r="S20" s="26" t="str">
        <f aca="false">IF(B20="","",DB_Colleges!AK14&amp;"")</f>
        <v>Aggregator only</v>
      </c>
      <c r="T20" s="26" t="str">
        <f aca="false">IF(B20="","",DB_Colleges!AI14&amp;"")</f>
        <v>https://www.mga.edu/admissions/new-students/first-time-students.php</v>
      </c>
      <c r="U20" s="1" t="n">
        <f aca="false">IF(AND(ISNUMBER($X$4),ISNUMBER(DB_Colleges!Z14),ISNUMBER(DB_Colleges!AA14)),IF($X$4&gt;=DB_Colleges!AA14,1,IF($X$4&lt;DB_Colleges!Z14,-1,0)),"")</f>
        <v>-1</v>
      </c>
      <c r="V20" s="1" t="str">
        <f aca="false">IF(AND(ISNUMBER($Y$4),ISNUMBER(DB_Colleges!AD14)),IF($Y$4&gt;=DB_Colleges!AD14+0.15,1,IF($Y$4&lt;DB_Colleges!AD14-0.2,-1,0)),"")</f>
        <v/>
      </c>
      <c r="W20" s="1" t="n">
        <f aca="false">IF(COUNT(U20:V20)=0,0,MIN(U20:V20))</f>
        <v>-1</v>
      </c>
    </row>
    <row r="21" customFormat="false" ht="15" hidden="false" customHeight="true" outlineLevel="0" collapsed="false">
      <c r="A21" s="26" t="str">
        <f aca="false">IF(B21="","",IF(COUNTIF('My Colleges'!$B$8:$B$27,B21)&gt;0,"On list",""))</f>
        <v/>
      </c>
      <c r="B21" s="27" t="str">
        <f aca="false">IF(DB_Colleges!A15="","",DB_Colleges!A15)</f>
        <v>University of North Georgia</v>
      </c>
      <c r="C21" s="26" t="str">
        <f aca="false">IF(B21="","",DB_Colleges!B15)</f>
        <v>Georgia Public (USG)</v>
      </c>
      <c r="D21" s="26" t="str">
        <f aca="false">IF(B21="","",DB_Colleges!C15&amp;", "&amp;DB_Colleges!D15)</f>
        <v>Dahlonega, GA</v>
      </c>
      <c r="E21" s="26" t="str">
        <f aca="false">IF(B21="","",IF(AND(NOT(ISNUMBER($X$4)),NOT(ISNUMBER($Y$4))),"Add scores",IF(NOT(ISNUMBER(DB_Colleges!Y15)),IF(OR(C21="Ivy League",C21="Highly Selective"),"Reach",IF(COUNT(U21:V21)=0,"No data",CHOOSE(W21+2,"Reach","Target","Likely"))),IF(DB_Colleges!Y15&lt;0.15,"Reach",IF(DB_Colleges!Y15&gt;=0.75,IF(W21&gt;=0,"Likely","Target"),IF(DB_Colleges!Y15&gt;=0.4,CHOOSE(W21+2,"Reach","Target","Likely"),IF(W21=1,"Target","Reach")))))))</f>
        <v>Target</v>
      </c>
      <c r="F21" s="28" t="n">
        <f aca="false">IF(OR(B21="",NOT(ISNUMBER(DB_Colleges!Y15))),"",DB_Colleges!Y15)</f>
        <v>0.96</v>
      </c>
      <c r="G21" s="26" t="str">
        <f aca="false">IF(OR(B21="",NOT(ISNUMBER(DB_Colleges!Z15))),"",DB_Colleges!Z15&amp;"-"&amp;DB_Colleges!AA15)</f>
        <v>990-1210</v>
      </c>
      <c r="H21" s="26" t="str">
        <f aca="false">IF(OR(B21="",NOT(ISNUMBER(DB_Colleges!AD15))),"",DB_Colleges!AD15)</f>
        <v/>
      </c>
      <c r="I21" s="29" t="str">
        <f aca="false">IF(B21="","",IF(COUNT(DB_Colleges!I15:O15)=0,IF(DB_Colleges!P15="Yes","Rolling","Check site"),MIN(DB_Colleges!I15:O15)))</f>
        <v>Rolling</v>
      </c>
      <c r="J21" s="26" t="str">
        <f aca="false">IF(OR(B21="",COUNT(DB_Colleges!I15:O15)=0),"",INDEX({"ED","ED II","EA","EA II","REA","RD","Priority"},MATCH(MIN(DB_Colleges!I15:O15),DB_Colleges!I15:O15,0)))</f>
        <v/>
      </c>
      <c r="K21" s="29" t="str">
        <f aca="false">IF(OR(B21="",NOT(ISNUMBER(DB_Colleges!N15))),"",DB_Colleges!N15)</f>
        <v/>
      </c>
      <c r="L21" s="26" t="str">
        <f aca="false">IF(B21="","",DB_Colleges!G15&amp;"")</f>
        <v>Common App; School portal</v>
      </c>
      <c r="M21" s="30" t="n">
        <f aca="false">IF(OR(B21="",NOT(ISNUMBER(DB_Colleges!S15))),"",DB_Colleges!S15)</f>
        <v>40</v>
      </c>
      <c r="N21" s="26" t="str">
        <f aca="false">IF(B21="","",DB_Colleges!U15&amp;"")</f>
        <v>Optional</v>
      </c>
      <c r="O21" s="26" t="str">
        <f aca="false">IF(B21="","",IF(ISNUMBER(DB_Colleges!AH15),DB_Colleges!AH15,"Check"))</f>
        <v>Check</v>
      </c>
      <c r="P21" s="26" t="str">
        <f aca="false">IF(B21="","",DB_Colleges!W15&amp;"")</f>
        <v>Not required</v>
      </c>
      <c r="Q21" s="30" t="str">
        <f aca="false">IF(OR(B21="",NOT(ISNUMBER(DB_Colleges!AF15))),"",DB_Colleges!AF15)</f>
        <v/>
      </c>
      <c r="R21" s="28" t="str">
        <f aca="false">IF(OR(B21="",NOT(ISNUMBER(DB_Colleges!AG15))),"",DB_Colleges!AG15)</f>
        <v/>
      </c>
      <c r="S21" s="26" t="str">
        <f aca="false">IF(B21="","",DB_Colleges!AK15&amp;"")</f>
        <v>Aggregator only</v>
      </c>
      <c r="T21" s="26" t="str">
        <f aca="false">IF(B21="","",DB_Colleges!AI15&amp;"")</f>
        <v>https://ung.edu/undergraduate-admissions/new-freshmen.php</v>
      </c>
      <c r="U21" s="1" t="n">
        <f aca="false">IF(AND(ISNUMBER($X$4),ISNUMBER(DB_Colleges!Z15),ISNUMBER(DB_Colleges!AA15)),IF($X$4&gt;=DB_Colleges!AA15,1,IF($X$4&lt;DB_Colleges!Z15,-1,0)),"")</f>
        <v>-1</v>
      </c>
      <c r="V21" s="1" t="str">
        <f aca="false">IF(AND(ISNUMBER($Y$4),ISNUMBER(DB_Colleges!AD15)),IF($Y$4&gt;=DB_Colleges!AD15+0.15,1,IF($Y$4&lt;DB_Colleges!AD15-0.2,-1,0)),"")</f>
        <v/>
      </c>
      <c r="W21" s="1" t="n">
        <f aca="false">IF(COUNT(U21:V21)=0,0,MIN(U21:V21))</f>
        <v>-1</v>
      </c>
    </row>
    <row r="22" customFormat="false" ht="15" hidden="false" customHeight="true" outlineLevel="0" collapsed="false">
      <c r="A22" s="26" t="str">
        <f aca="false">IF(B22="","",IF(COUNTIF('My Colleges'!$B$8:$B$27,B22)&gt;0,"On list",""))</f>
        <v/>
      </c>
      <c r="B22" s="27" t="str">
        <f aca="false">IF(DB_Colleges!A16="","",DB_Colleges!A16)</f>
        <v>Georgia Gwinnett College</v>
      </c>
      <c r="C22" s="26" t="str">
        <f aca="false">IF(B22="","",DB_Colleges!B16)</f>
        <v>Georgia Public (USG)</v>
      </c>
      <c r="D22" s="26" t="str">
        <f aca="false">IF(B22="","",DB_Colleges!C16&amp;", "&amp;DB_Colleges!D16)</f>
        <v>Lawrenceville, GA</v>
      </c>
      <c r="E22" s="26" t="str">
        <f aca="false">IF(B22="","",IF(AND(NOT(ISNUMBER($X$4)),NOT(ISNUMBER($Y$4))),"Add scores",IF(NOT(ISNUMBER(DB_Colleges!Y16)),IF(OR(C22="Ivy League",C22="Highly Selective"),"Reach",IF(COUNT(U22:V22)=0,"No data",CHOOSE(W22+2,"Reach","Target","Likely"))),IF(DB_Colleges!Y16&lt;0.15,"Reach",IF(DB_Colleges!Y16&gt;=0.75,IF(W22&gt;=0,"Likely","Target"),IF(DB_Colleges!Y16&gt;=0.4,CHOOSE(W22+2,"Reach","Target","Likely"),IF(W22=1,"Target","Reach")))))))</f>
        <v>Target</v>
      </c>
      <c r="F22" s="28" t="n">
        <f aca="false">IF(OR(B22="",NOT(ISNUMBER(DB_Colleges!Y16))),"",DB_Colleges!Y16)</f>
        <v>0.95</v>
      </c>
      <c r="G22" s="26" t="str">
        <f aca="false">IF(OR(B22="",NOT(ISNUMBER(DB_Colleges!Z16))),"",DB_Colleges!Z16&amp;"-"&amp;DB_Colleges!AA16)</f>
        <v>860-1110</v>
      </c>
      <c r="H22" s="26" t="str">
        <f aca="false">IF(OR(B22="",NOT(ISNUMBER(DB_Colleges!AD16))),"",DB_Colleges!AD16)</f>
        <v/>
      </c>
      <c r="I22" s="29" t="str">
        <f aca="false">IF(B22="","",IF(COUNT(DB_Colleges!I16:O16)=0,IF(DB_Colleges!P16="Yes","Rolling","Check site"),MIN(DB_Colleges!I16:O16)))</f>
        <v>Rolling</v>
      </c>
      <c r="J22" s="26" t="str">
        <f aca="false">IF(OR(B22="",COUNT(DB_Colleges!I16:O16)=0),"",INDEX({"ED","ED II","EA","EA II","REA","RD","Priority"},MATCH(MIN(DB_Colleges!I16:O16),DB_Colleges!I16:O16,0)))</f>
        <v/>
      </c>
      <c r="K22" s="29" t="str">
        <f aca="false">IF(OR(B22="",NOT(ISNUMBER(DB_Colleges!N16))),"",DB_Colleges!N16)</f>
        <v/>
      </c>
      <c r="L22" s="26" t="str">
        <f aca="false">IF(B22="","",DB_Colleges!G16&amp;"")</f>
        <v>School portal</v>
      </c>
      <c r="M22" s="30" t="n">
        <f aca="false">IF(OR(B22="",NOT(ISNUMBER(DB_Colleges!S16))),"",DB_Colleges!S16)</f>
        <v>30</v>
      </c>
      <c r="N22" s="26" t="str">
        <f aca="false">IF(B22="","",DB_Colleges!U16&amp;"")</f>
        <v>Optional</v>
      </c>
      <c r="O22" s="26" t="str">
        <f aca="false">IF(B22="","",IF(ISNUMBER(DB_Colleges!AH16),DB_Colleges!AH16,"Check"))</f>
        <v>Check</v>
      </c>
      <c r="P22" s="26" t="str">
        <f aca="false">IF(B22="","",DB_Colleges!W16&amp;"")</f>
        <v>Not required</v>
      </c>
      <c r="Q22" s="30" t="str">
        <f aca="false">IF(OR(B22="",NOT(ISNUMBER(DB_Colleges!AF16))),"",DB_Colleges!AF16)</f>
        <v/>
      </c>
      <c r="R22" s="28" t="str">
        <f aca="false">IF(OR(B22="",NOT(ISNUMBER(DB_Colleges!AG16))),"",DB_Colleges!AG16)</f>
        <v/>
      </c>
      <c r="S22" s="26" t="str">
        <f aca="false">IF(B22="","",DB_Colleges!AK16&amp;"")</f>
        <v>Aggregator only</v>
      </c>
      <c r="T22" s="26" t="str">
        <f aca="false">IF(B22="","",DB_Colleges!AI16&amp;"")</f>
        <v>https://www.ggc.edu/admission-aid/admissions/how-to-apply/freshmen-admission</v>
      </c>
      <c r="U22" s="1" t="n">
        <f aca="false">IF(AND(ISNUMBER($X$4),ISNUMBER(DB_Colleges!Z16),ISNUMBER(DB_Colleges!AA16)),IF($X$4&gt;=DB_Colleges!AA16,1,IF($X$4&lt;DB_Colleges!Z16,-1,0)),"")</f>
        <v>-1</v>
      </c>
      <c r="V22" s="1" t="str">
        <f aca="false">IF(AND(ISNUMBER($Y$4),ISNUMBER(DB_Colleges!AD16)),IF($Y$4&gt;=DB_Colleges!AD16+0.15,1,IF($Y$4&lt;DB_Colleges!AD16-0.2,-1,0)),"")</f>
        <v/>
      </c>
      <c r="W22" s="1" t="n">
        <f aca="false">IF(COUNT(U22:V22)=0,0,MIN(U22:V22))</f>
        <v>-1</v>
      </c>
    </row>
    <row r="23" customFormat="false" ht="15" hidden="false" customHeight="true" outlineLevel="0" collapsed="false">
      <c r="A23" s="26" t="str">
        <f aca="false">IF(B23="","",IF(COUNTIF('My Colleges'!$B$8:$B$27,B23)&gt;0,"On list",""))</f>
        <v/>
      </c>
      <c r="B23" s="27" t="str">
        <f aca="false">IF(DB_Colleges!A17="","",DB_Colleges!A17)</f>
        <v>Dalton State College</v>
      </c>
      <c r="C23" s="26" t="str">
        <f aca="false">IF(B23="","",DB_Colleges!B17)</f>
        <v>Georgia Public (USG)</v>
      </c>
      <c r="D23" s="26" t="str">
        <f aca="false">IF(B23="","",DB_Colleges!C17&amp;", "&amp;DB_Colleges!D17)</f>
        <v>Dalton, GA</v>
      </c>
      <c r="E23" s="26" t="str">
        <f aca="false">IF(B23="","",IF(AND(NOT(ISNUMBER($X$4)),NOT(ISNUMBER($Y$4))),"Add scores",IF(NOT(ISNUMBER(DB_Colleges!Y17)),IF(OR(C23="Ivy League",C23="Highly Selective"),"Reach",IF(COUNT(U23:V23)=0,"No data",CHOOSE(W23+2,"Reach","Target","Likely"))),IF(DB_Colleges!Y17&lt;0.15,"Reach",IF(DB_Colleges!Y17&gt;=0.75,IF(W23&gt;=0,"Likely","Target"),IF(DB_Colleges!Y17&gt;=0.4,CHOOSE(W23+2,"Reach","Target","Likely"),IF(W23=1,"Target","Reach")))))))</f>
        <v>No data</v>
      </c>
      <c r="F23" s="28" t="str">
        <f aca="false">IF(OR(B23="",NOT(ISNUMBER(DB_Colleges!Y17))),"",DB_Colleges!Y17)</f>
        <v/>
      </c>
      <c r="G23" s="26" t="str">
        <f aca="false">IF(OR(B23="",NOT(ISNUMBER(DB_Colleges!Z17))),"",DB_Colleges!Z17&amp;"-"&amp;DB_Colleges!AA17)</f>
        <v/>
      </c>
      <c r="H23" s="26" t="str">
        <f aca="false">IF(OR(B23="",NOT(ISNUMBER(DB_Colleges!AD17))),"",DB_Colleges!AD17)</f>
        <v/>
      </c>
      <c r="I23" s="29" t="n">
        <f aca="false">IF(B23="","",IF(COUNT(DB_Colleges!I17:O17)=0,IF(DB_Colleges!P17="Yes","Rolling","Check site"),MIN(DB_Colleges!I17:O17)))</f>
        <v>46569</v>
      </c>
      <c r="J23" s="26" t="str">
        <f aca="false">IF(OR(B23="",COUNT(DB_Colleges!I17:O17)=0),"",INDEX({"ED","ED II","EA","EA II","REA","RD","Priority"},MATCH(MIN(DB_Colleges!I17:O17),DB_Colleges!I17:O17,0)))</f>
        <v>RD</v>
      </c>
      <c r="K23" s="29" t="n">
        <f aca="false">IF(OR(B23="",NOT(ISNUMBER(DB_Colleges!N17))),"",DB_Colleges!N17)</f>
        <v>46569</v>
      </c>
      <c r="L23" s="26" t="str">
        <f aca="false">IF(B23="","",DB_Colleges!G17&amp;"")</f>
        <v>School portal (Nest Portal)</v>
      </c>
      <c r="M23" s="30" t="n">
        <f aca="false">IF(OR(B23="",NOT(ISNUMBER(DB_Colleges!S17))),"",DB_Colleges!S17)</f>
        <v>30</v>
      </c>
      <c r="N23" s="26" t="str">
        <f aca="false">IF(B23="","",DB_Colleges!U17&amp;"")</f>
        <v>Optional</v>
      </c>
      <c r="O23" s="26" t="str">
        <f aca="false">IF(B23="","",IF(ISNUMBER(DB_Colleges!AH17),DB_Colleges!AH17,"Check"))</f>
        <v>Check</v>
      </c>
      <c r="P23" s="26" t="str">
        <f aca="false">IF(B23="","",DB_Colleges!W17&amp;"")</f>
        <v/>
      </c>
      <c r="Q23" s="30" t="str">
        <f aca="false">IF(OR(B23="",NOT(ISNUMBER(DB_Colleges!AF17))),"",DB_Colleges!AF17)</f>
        <v/>
      </c>
      <c r="R23" s="28" t="str">
        <f aca="false">IF(OR(B23="",NOT(ISNUMBER(DB_Colleges!AG17))),"",DB_Colleges!AG17)</f>
        <v/>
      </c>
      <c r="S23" s="26" t="str">
        <f aca="false">IF(B23="","",DB_Colleges!AK17&amp;"")</f>
        <v>Mixed</v>
      </c>
      <c r="T23" s="26" t="str">
        <f aca="false">IF(B23="","",DB_Colleges!AI17&amp;"")</f>
        <v>https://www.daltonstate.edu/admissions/</v>
      </c>
      <c r="U23" s="1" t="str">
        <f aca="false">IF(AND(ISNUMBER($X$4),ISNUMBER(DB_Colleges!Z17),ISNUMBER(DB_Colleges!AA17)),IF($X$4&gt;=DB_Colleges!AA17,1,IF($X$4&lt;DB_Colleges!Z17,-1,0)),"")</f>
        <v/>
      </c>
      <c r="V23" s="1" t="str">
        <f aca="false">IF(AND(ISNUMBER($Y$4),ISNUMBER(DB_Colleges!AD17)),IF($Y$4&gt;=DB_Colleges!AD17+0.15,1,IF($Y$4&lt;DB_Colleges!AD17-0.2,-1,0)),"")</f>
        <v/>
      </c>
      <c r="W23" s="1" t="n">
        <f aca="false">IF(COUNT(U23:V23)=0,0,MIN(U23:V23))</f>
        <v>0</v>
      </c>
    </row>
    <row r="24" customFormat="false" ht="15" hidden="false" customHeight="true" outlineLevel="0" collapsed="false">
      <c r="A24" s="26" t="str">
        <f aca="false">IF(B24="","",IF(COUNTIF('My Colleges'!$B$8:$B$27,B24)&gt;0,"On list",""))</f>
        <v/>
      </c>
      <c r="B24" s="27" t="str">
        <f aca="false">IF(DB_Colleges!A18="","",DB_Colleges!A18)</f>
        <v>College of Coastal Georgia</v>
      </c>
      <c r="C24" s="26" t="str">
        <f aca="false">IF(B24="","",DB_Colleges!B18)</f>
        <v>Georgia Public (USG)</v>
      </c>
      <c r="D24" s="26" t="str">
        <f aca="false">IF(B24="","",DB_Colleges!C18&amp;", "&amp;DB_Colleges!D18)</f>
        <v>Brunswick, GA</v>
      </c>
      <c r="E24" s="26" t="str">
        <f aca="false">IF(B24="","",IF(AND(NOT(ISNUMBER($X$4)),NOT(ISNUMBER($Y$4))),"Add scores",IF(NOT(ISNUMBER(DB_Colleges!Y18)),IF(OR(C24="Ivy League",C24="Highly Selective"),"Reach",IF(COUNT(U24:V24)=0,"No data",CHOOSE(W24+2,"Reach","Target","Likely"))),IF(DB_Colleges!Y18&lt;0.15,"Reach",IF(DB_Colleges!Y18&gt;=0.75,IF(W24&gt;=0,"Likely","Target"),IF(DB_Colleges!Y18&gt;=0.4,CHOOSE(W24+2,"Reach","Target","Likely"),IF(W24=1,"Target","Reach")))))))</f>
        <v>Target</v>
      </c>
      <c r="F24" s="28" t="n">
        <f aca="false">IF(OR(B24="",NOT(ISNUMBER(DB_Colleges!Y18))),"",DB_Colleges!Y18)</f>
        <v>0.981</v>
      </c>
      <c r="G24" s="26" t="str">
        <f aca="false">IF(OR(B24="",NOT(ISNUMBER(DB_Colleges!Z18))),"",DB_Colleges!Z18&amp;"-"&amp;DB_Colleges!AA18)</f>
        <v>875-1100</v>
      </c>
      <c r="H24" s="26" t="n">
        <f aca="false">IF(OR(B24="",NOT(ISNUMBER(DB_Colleges!AD18))),"",DB_Colleges!AD18)</f>
        <v>3.1</v>
      </c>
      <c r="I24" s="29" t="n">
        <f aca="false">IF(B24="","",IF(COUNT(DB_Colleges!I18:O18)=0,IF(DB_Colleges!P18="Yes","Rolling","Check site"),MIN(DB_Colleges!I18:O18)))</f>
        <v>46357</v>
      </c>
      <c r="J24" s="26" t="str">
        <f aca="false">IF(OR(B24="",COUNT(DB_Colleges!I18:O18)=0),"",INDEX({"ED","ED II","EA","EA II","REA","RD","Priority"},MATCH(MIN(DB_Colleges!I18:O18),DB_Colleges!I18:O18,0)))</f>
        <v>Priority</v>
      </c>
      <c r="K24" s="29" t="n">
        <f aca="false">IF(OR(B24="",NOT(ISNUMBER(DB_Colleges!N18))),"",DB_Colleges!N18)</f>
        <v>46600</v>
      </c>
      <c r="L24" s="26" t="str">
        <f aca="false">IF(B24="","",DB_Colleges!G18&amp;"")</f>
        <v>School portal</v>
      </c>
      <c r="M24" s="30" t="n">
        <f aca="false">IF(OR(B24="",NOT(ISNUMBER(DB_Colleges!S18))),"",DB_Colleges!S18)</f>
        <v>25</v>
      </c>
      <c r="N24" s="26" t="str">
        <f aca="false">IF(B24="","",DB_Colleges!U18&amp;"")</f>
        <v>Optional</v>
      </c>
      <c r="O24" s="26" t="str">
        <f aca="false">IF(B24="","",IF(ISNUMBER(DB_Colleges!AH18),DB_Colleges!AH18,"Check"))</f>
        <v>Check</v>
      </c>
      <c r="P24" s="26" t="str">
        <f aca="false">IF(B24="","",DB_Colleges!W18&amp;"")</f>
        <v/>
      </c>
      <c r="Q24" s="30" t="str">
        <f aca="false">IF(OR(B24="",NOT(ISNUMBER(DB_Colleges!AF18))),"",DB_Colleges!AF18)</f>
        <v/>
      </c>
      <c r="R24" s="28" t="str">
        <f aca="false">IF(OR(B24="",NOT(ISNUMBER(DB_Colleges!AG18))),"",DB_Colleges!AG18)</f>
        <v/>
      </c>
      <c r="S24" s="26" t="str">
        <f aca="false">IF(B24="","",DB_Colleges!AK18&amp;"")</f>
        <v>Mixed</v>
      </c>
      <c r="T24" s="26" t="str">
        <f aca="false">IF(B24="","",DB_Colleges!AI18&amp;"")</f>
        <v>https://www.ccga.edu/admissions/requirements/freshman/</v>
      </c>
      <c r="U24" s="1" t="n">
        <f aca="false">IF(AND(ISNUMBER($X$4),ISNUMBER(DB_Colleges!Z18),ISNUMBER(DB_Colleges!AA18)),IF($X$4&gt;=DB_Colleges!AA18,1,IF($X$4&lt;DB_Colleges!Z18,-1,0)),"")</f>
        <v>-1</v>
      </c>
      <c r="V24" s="1" t="n">
        <f aca="false">IF(AND(ISNUMBER($Y$4),ISNUMBER(DB_Colleges!AD18)),IF($Y$4&gt;=DB_Colleges!AD18+0.15,1,IF($Y$4&lt;DB_Colleges!AD18-0.2,-1,0)),"")</f>
        <v>1</v>
      </c>
      <c r="W24" s="1" t="n">
        <f aca="false">IF(COUNT(U24:V24)=0,0,MIN(U24:V24))</f>
        <v>-1</v>
      </c>
    </row>
    <row r="25" customFormat="false" ht="15" hidden="false" customHeight="true" outlineLevel="0" collapsed="false">
      <c r="A25" s="26" t="str">
        <f aca="false">IF(B25="","",IF(COUNTIF('My Colleges'!$B$8:$B$27,B25)&gt;0,"On list",""))</f>
        <v/>
      </c>
      <c r="B25" s="27" t="str">
        <f aca="false">IF(DB_Colleges!A19="","",DB_Colleges!A19)</f>
        <v>Georgia Highlands College</v>
      </c>
      <c r="C25" s="26" t="str">
        <f aca="false">IF(B25="","",DB_Colleges!B19)</f>
        <v>Georgia Public (USG)</v>
      </c>
      <c r="D25" s="26" t="str">
        <f aca="false">IF(B25="","",DB_Colleges!C19&amp;", "&amp;DB_Colleges!D19)</f>
        <v>Rome, GA</v>
      </c>
      <c r="E25" s="26" t="str">
        <f aca="false">IF(B25="","",IF(AND(NOT(ISNUMBER($X$4)),NOT(ISNUMBER($Y$4))),"Add scores",IF(NOT(ISNUMBER(DB_Colleges!Y19)),IF(OR(C25="Ivy League",C25="Highly Selective"),"Reach",IF(COUNT(U25:V25)=0,"No data",CHOOSE(W25+2,"Reach","Target","Likely"))),IF(DB_Colleges!Y19&lt;0.15,"Reach",IF(DB_Colleges!Y19&gt;=0.75,IF(W25&gt;=0,"Likely","Target"),IF(DB_Colleges!Y19&gt;=0.4,CHOOSE(W25+2,"Reach","Target","Likely"),IF(W25=1,"Target","Reach")))))))</f>
        <v>No data</v>
      </c>
      <c r="F25" s="28" t="str">
        <f aca="false">IF(OR(B25="",NOT(ISNUMBER(DB_Colleges!Y19))),"",DB_Colleges!Y19)</f>
        <v/>
      </c>
      <c r="G25" s="26" t="str">
        <f aca="false">IF(OR(B25="",NOT(ISNUMBER(DB_Colleges!Z19))),"",DB_Colleges!Z19&amp;"-"&amp;DB_Colleges!AA19)</f>
        <v/>
      </c>
      <c r="H25" s="26" t="str">
        <f aca="false">IF(OR(B25="",NOT(ISNUMBER(DB_Colleges!AD19))),"",DB_Colleges!AD19)</f>
        <v/>
      </c>
      <c r="I25" s="29" t="n">
        <f aca="false">IF(B25="","",IF(COUNT(DB_Colleges!I19:O19)=0,IF(DB_Colleges!P19="Yes","Rolling","Check site"),MIN(DB_Colleges!I19:O19)))</f>
        <v>46596</v>
      </c>
      <c r="J25" s="26" t="str">
        <f aca="false">IF(OR(B25="",COUNT(DB_Colleges!I19:O19)=0),"",INDEX({"ED","ED II","EA","EA II","REA","RD","Priority"},MATCH(MIN(DB_Colleges!I19:O19),DB_Colleges!I19:O19,0)))</f>
        <v>RD</v>
      </c>
      <c r="K25" s="29" t="n">
        <f aca="false">IF(OR(B25="",NOT(ISNUMBER(DB_Colleges!N19))),"",DB_Colleges!N19)</f>
        <v>46596</v>
      </c>
      <c r="L25" s="26" t="str">
        <f aca="false">IF(B25="","",DB_Colleges!G19&amp;"")</f>
        <v>School portal (apply.highlands.edu)</v>
      </c>
      <c r="M25" s="30" t="n">
        <f aca="false">IF(OR(B25="",NOT(ISNUMBER(DB_Colleges!S19))),"",DB_Colleges!S19)</f>
        <v>30</v>
      </c>
      <c r="N25" s="26" t="str">
        <f aca="false">IF(B25="","",DB_Colleges!U19&amp;"")</f>
        <v>Flexible</v>
      </c>
      <c r="O25" s="26" t="str">
        <f aca="false">IF(B25="","",IF(ISNUMBER(DB_Colleges!AH19),DB_Colleges!AH19,"Check"))</f>
        <v>Check</v>
      </c>
      <c r="P25" s="26" t="str">
        <f aca="false">IF(B25="","",DB_Colleges!W19&amp;"")</f>
        <v/>
      </c>
      <c r="Q25" s="30" t="str">
        <f aca="false">IF(OR(B25="",NOT(ISNUMBER(DB_Colleges!AF19))),"",DB_Colleges!AF19)</f>
        <v/>
      </c>
      <c r="R25" s="28" t="str">
        <f aca="false">IF(OR(B25="",NOT(ISNUMBER(DB_Colleges!AG19))),"",DB_Colleges!AG19)</f>
        <v/>
      </c>
      <c r="S25" s="26" t="str">
        <f aca="false">IF(B25="","",DB_Colleges!AK19&amp;"")</f>
        <v>Mixed</v>
      </c>
      <c r="T25" s="26" t="str">
        <f aca="false">IF(B25="","",DB_Colleges!AI19&amp;"")</f>
        <v>https://www.highlands.edu/how-do-i-apply/high-school-applicants/</v>
      </c>
      <c r="U25" s="1" t="str">
        <f aca="false">IF(AND(ISNUMBER($X$4),ISNUMBER(DB_Colleges!Z19),ISNUMBER(DB_Colleges!AA19)),IF($X$4&gt;=DB_Colleges!AA19,1,IF($X$4&lt;DB_Colleges!Z19,-1,0)),"")</f>
        <v/>
      </c>
      <c r="V25" s="1" t="str">
        <f aca="false">IF(AND(ISNUMBER($Y$4),ISNUMBER(DB_Colleges!AD19)),IF($Y$4&gt;=DB_Colleges!AD19+0.15,1,IF($Y$4&lt;DB_Colleges!AD19-0.2,-1,0)),"")</f>
        <v/>
      </c>
      <c r="W25" s="1" t="n">
        <f aca="false">IF(COUNT(U25:V25)=0,0,MIN(U25:V25))</f>
        <v>0</v>
      </c>
    </row>
    <row r="26" customFormat="false" ht="15" hidden="false" customHeight="true" outlineLevel="0" collapsed="false">
      <c r="A26" s="26" t="str">
        <f aca="false">IF(B26="","",IF(COUNTIF('My Colleges'!$B$8:$B$27,B26)&gt;0,"On list",""))</f>
        <v/>
      </c>
      <c r="B26" s="27" t="str">
        <f aca="false">IF(DB_Colleges!A20="","",DB_Colleges!A20)</f>
        <v>Gordon State College</v>
      </c>
      <c r="C26" s="26" t="str">
        <f aca="false">IF(B26="","",DB_Colleges!B20)</f>
        <v>Georgia Public (USG)</v>
      </c>
      <c r="D26" s="26" t="str">
        <f aca="false">IF(B26="","",DB_Colleges!C20&amp;", "&amp;DB_Colleges!D20)</f>
        <v>Barnesville, GA</v>
      </c>
      <c r="E26" s="26" t="str">
        <f aca="false">IF(B26="","",IF(AND(NOT(ISNUMBER($X$4)),NOT(ISNUMBER($Y$4))),"Add scores",IF(NOT(ISNUMBER(DB_Colleges!Y20)),IF(OR(C26="Ivy League",C26="Highly Selective"),"Reach",IF(COUNT(U26:V26)=0,"No data",CHOOSE(W26+2,"Reach","Target","Likely"))),IF(DB_Colleges!Y20&lt;0.15,"Reach",IF(DB_Colleges!Y20&gt;=0.75,IF(W26&gt;=0,"Likely","Target"),IF(DB_Colleges!Y20&gt;=0.4,CHOOSE(W26+2,"Reach","Target","Likely"),IF(W26=1,"Target","Reach")))))))</f>
        <v>Likely</v>
      </c>
      <c r="F26" s="28" t="n">
        <f aca="false">IF(OR(B26="",NOT(ISNUMBER(DB_Colleges!Y20))),"",DB_Colleges!Y20)</f>
        <v>0.8678</v>
      </c>
      <c r="G26" s="26" t="str">
        <f aca="false">IF(OR(B26="",NOT(ISNUMBER(DB_Colleges!Z20))),"",DB_Colleges!Z20&amp;"-"&amp;DB_Colleges!AA20)</f>
        <v/>
      </c>
      <c r="H26" s="26" t="str">
        <f aca="false">IF(OR(B26="",NOT(ISNUMBER(DB_Colleges!AD20))),"",DB_Colleges!AD20)</f>
        <v/>
      </c>
      <c r="I26" s="29" t="n">
        <f aca="false">IF(B26="","",IF(COUNT(DB_Colleges!I20:O20)=0,IF(DB_Colleges!P20="Yes","Rolling","Check site"),MIN(DB_Colleges!I20:O20)))</f>
        <v>46583</v>
      </c>
      <c r="J26" s="26" t="str">
        <f aca="false">IF(OR(B26="",COUNT(DB_Colleges!I20:O20)=0),"",INDEX({"ED","ED II","EA","EA II","REA","RD","Priority"},MATCH(MIN(DB_Colleges!I20:O20),DB_Colleges!I20:O20,0)))</f>
        <v>RD</v>
      </c>
      <c r="K26" s="29" t="n">
        <f aca="false">IF(OR(B26="",NOT(ISNUMBER(DB_Colleges!N20))),"",DB_Colleges!N20)</f>
        <v>46583</v>
      </c>
      <c r="L26" s="26" t="str">
        <f aca="false">IF(B26="","",DB_Colleges!G20&amp;"")</f>
        <v>School portal</v>
      </c>
      <c r="M26" s="30" t="n">
        <f aca="false">IF(OR(B26="",NOT(ISNUMBER(DB_Colleges!S20))),"",DB_Colleges!S20)</f>
        <v>30</v>
      </c>
      <c r="N26" s="26" t="str">
        <f aca="false">IF(B26="","",DB_Colleges!U20&amp;"")</f>
        <v>Optional</v>
      </c>
      <c r="O26" s="26" t="str">
        <f aca="false">IF(B26="","",IF(ISNUMBER(DB_Colleges!AH20),DB_Colleges!AH20,"Check"))</f>
        <v>Check</v>
      </c>
      <c r="P26" s="26" t="str">
        <f aca="false">IF(B26="","",DB_Colleges!W20&amp;"")</f>
        <v/>
      </c>
      <c r="Q26" s="30" t="str">
        <f aca="false">IF(OR(B26="",NOT(ISNUMBER(DB_Colleges!AF20))),"",DB_Colleges!AF20)</f>
        <v/>
      </c>
      <c r="R26" s="28" t="str">
        <f aca="false">IF(OR(B26="",NOT(ISNUMBER(DB_Colleges!AG20))),"",DB_Colleges!AG20)</f>
        <v/>
      </c>
      <c r="S26" s="26" t="str">
        <f aca="false">IF(B26="","",DB_Colleges!AK20&amp;"")</f>
        <v>Mixed</v>
      </c>
      <c r="T26" s="26" t="str">
        <f aca="false">IF(B26="","",DB_Colleges!AI20&amp;"")</f>
        <v>https://www.gordonstate.edu/admissions/types-of-students/freshmen/index.html</v>
      </c>
      <c r="U26" s="1" t="str">
        <f aca="false">IF(AND(ISNUMBER($X$4),ISNUMBER(DB_Colleges!Z20),ISNUMBER(DB_Colleges!AA20)),IF($X$4&gt;=DB_Colleges!AA20,1,IF($X$4&lt;DB_Colleges!Z20,-1,0)),"")</f>
        <v/>
      </c>
      <c r="V26" s="1" t="str">
        <f aca="false">IF(AND(ISNUMBER($Y$4),ISNUMBER(DB_Colleges!AD20)),IF($Y$4&gt;=DB_Colleges!AD20+0.15,1,IF($Y$4&lt;DB_Colleges!AD20-0.2,-1,0)),"")</f>
        <v/>
      </c>
      <c r="W26" s="1" t="n">
        <f aca="false">IF(COUNT(U26:V26)=0,0,MIN(U26:V26))</f>
        <v>0</v>
      </c>
    </row>
    <row r="27" customFormat="false" ht="15" hidden="false" customHeight="true" outlineLevel="0" collapsed="false">
      <c r="A27" s="26" t="str">
        <f aca="false">IF(B27="","",IF(COUNTIF('My Colleges'!$B$8:$B$27,B27)&gt;0,"On list",""))</f>
        <v/>
      </c>
      <c r="B27" s="27" t="str">
        <f aca="false">IF(DB_Colleges!A21="","",DB_Colleges!A21)</f>
        <v>East Georgia State College</v>
      </c>
      <c r="C27" s="26" t="str">
        <f aca="false">IF(B27="","",DB_Colleges!B21)</f>
        <v>Georgia Public (USG)</v>
      </c>
      <c r="D27" s="26" t="str">
        <f aca="false">IF(B27="","",DB_Colleges!C21&amp;", "&amp;DB_Colleges!D21)</f>
        <v>Swainsboro, GA</v>
      </c>
      <c r="E27" s="26" t="str">
        <f aca="false">IF(B27="","",IF(AND(NOT(ISNUMBER($X$4)),NOT(ISNUMBER($Y$4))),"Add scores",IF(NOT(ISNUMBER(DB_Colleges!Y21)),IF(OR(C27="Ivy League",C27="Highly Selective"),"Reach",IF(COUNT(U27:V27)=0,"No data",CHOOSE(W27+2,"Reach","Target","Likely"))),IF(DB_Colleges!Y21&lt;0.15,"Reach",IF(DB_Colleges!Y21&gt;=0.75,IF(W27&gt;=0,"Likely","Target"),IF(DB_Colleges!Y21&gt;=0.4,CHOOSE(W27+2,"Reach","Target","Likely"),IF(W27=1,"Target","Reach")))))))</f>
        <v>Likely</v>
      </c>
      <c r="F27" s="28" t="n">
        <f aca="false">IF(OR(B27="",NOT(ISNUMBER(DB_Colleges!Y21))),"",DB_Colleges!Y21)</f>
        <v>0.7743</v>
      </c>
      <c r="G27" s="26" t="str">
        <f aca="false">IF(OR(B27="",NOT(ISNUMBER(DB_Colleges!Z21))),"",DB_Colleges!Z21&amp;"-"&amp;DB_Colleges!AA21)</f>
        <v/>
      </c>
      <c r="H27" s="26" t="str">
        <f aca="false">IF(OR(B27="",NOT(ISNUMBER(DB_Colleges!AD21))),"",DB_Colleges!AD21)</f>
        <v/>
      </c>
      <c r="I27" s="29" t="n">
        <f aca="false">IF(B27="","",IF(COUNT(DB_Colleges!I21:O21)=0,IF(DB_Colleges!P21="Yes","Rolling","Check site"),MIN(DB_Colleges!I21:O21)))</f>
        <v>46600</v>
      </c>
      <c r="J27" s="26" t="str">
        <f aca="false">IF(OR(B27="",COUNT(DB_Colleges!I21:O21)=0),"",INDEX({"ED","ED II","EA","EA II","REA","RD","Priority"},MATCH(MIN(DB_Colleges!I21:O21),DB_Colleges!I21:O21,0)))</f>
        <v>RD</v>
      </c>
      <c r="K27" s="29" t="n">
        <f aca="false">IF(OR(B27="",NOT(ISNUMBER(DB_Colleges!N21))),"",DB_Colleges!N21)</f>
        <v>46600</v>
      </c>
      <c r="L27" s="26" t="str">
        <f aca="false">IF(B27="","",DB_Colleges!G21&amp;"")</f>
        <v>GAfutures (USG common application)</v>
      </c>
      <c r="M27" s="30" t="n">
        <f aca="false">IF(OR(B27="",NOT(ISNUMBER(DB_Colleges!S21))),"",DB_Colleges!S21)</f>
        <v>20</v>
      </c>
      <c r="N27" s="26" t="str">
        <f aca="false">IF(B27="","",DB_Colleges!U21&amp;"")</f>
        <v>Optional</v>
      </c>
      <c r="O27" s="26" t="str">
        <f aca="false">IF(B27="","",IF(ISNUMBER(DB_Colleges!AH21),DB_Colleges!AH21,"Check"))</f>
        <v>Check</v>
      </c>
      <c r="P27" s="26" t="str">
        <f aca="false">IF(B27="","",DB_Colleges!W21&amp;"")</f>
        <v/>
      </c>
      <c r="Q27" s="30" t="str">
        <f aca="false">IF(OR(B27="",NOT(ISNUMBER(DB_Colleges!AF21))),"",DB_Colleges!AF21)</f>
        <v/>
      </c>
      <c r="R27" s="28" t="str">
        <f aca="false">IF(OR(B27="",NOT(ISNUMBER(DB_Colleges!AG21))),"",DB_Colleges!AG21)</f>
        <v/>
      </c>
      <c r="S27" s="26" t="str">
        <f aca="false">IF(B27="","",DB_Colleges!AK21&amp;"")</f>
        <v>Aggregator only</v>
      </c>
      <c r="T27" s="26" t="str">
        <f aca="false">IF(B27="","",DB_Colleges!AI21&amp;"")</f>
        <v>https://www.ega.edu/admissions/index.html</v>
      </c>
      <c r="U27" s="1" t="str">
        <f aca="false">IF(AND(ISNUMBER($X$4),ISNUMBER(DB_Colleges!Z21),ISNUMBER(DB_Colleges!AA21)),IF($X$4&gt;=DB_Colleges!AA21,1,IF($X$4&lt;DB_Colleges!Z21,-1,0)),"")</f>
        <v/>
      </c>
      <c r="V27" s="1" t="str">
        <f aca="false">IF(AND(ISNUMBER($Y$4),ISNUMBER(DB_Colleges!AD21)),IF($Y$4&gt;=DB_Colleges!AD21+0.15,1,IF($Y$4&lt;DB_Colleges!AD21-0.2,-1,0)),"")</f>
        <v/>
      </c>
      <c r="W27" s="1" t="n">
        <f aca="false">IF(COUNT(U27:V27)=0,0,MIN(U27:V27))</f>
        <v>0</v>
      </c>
    </row>
    <row r="28" customFormat="false" ht="15" hidden="false" customHeight="true" outlineLevel="0" collapsed="false">
      <c r="A28" s="26" t="str">
        <f aca="false">IF(B28="","",IF(COUNTIF('My Colleges'!$B$8:$B$27,B28)&gt;0,"On list",""))</f>
        <v/>
      </c>
      <c r="B28" s="27" t="str">
        <f aca="false">IF(DB_Colleges!A22="","",DB_Colleges!A22)</f>
        <v>Abraham Baldwin Agricultural College</v>
      </c>
      <c r="C28" s="26" t="str">
        <f aca="false">IF(B28="","",DB_Colleges!B22)</f>
        <v>Georgia Public (USG)</v>
      </c>
      <c r="D28" s="26" t="str">
        <f aca="false">IF(B28="","",DB_Colleges!C22&amp;", "&amp;DB_Colleges!D22)</f>
        <v>Tifton, GA</v>
      </c>
      <c r="E28" s="26" t="str">
        <f aca="false">IF(B28="","",IF(AND(NOT(ISNUMBER($X$4)),NOT(ISNUMBER($Y$4))),"Add scores",IF(NOT(ISNUMBER(DB_Colleges!Y22)),IF(OR(C28="Ivy League",C28="Highly Selective"),"Reach",IF(COUNT(U28:V28)=0,"No data",CHOOSE(W28+2,"Reach","Target","Likely"))),IF(DB_Colleges!Y22&lt;0.15,"Reach",IF(DB_Colleges!Y22&gt;=0.75,IF(W28&gt;=0,"Likely","Target"),IF(DB_Colleges!Y22&gt;=0.4,CHOOSE(W28+2,"Reach","Target","Likely"),IF(W28=1,"Target","Reach")))))))</f>
        <v>Target</v>
      </c>
      <c r="F28" s="28" t="n">
        <f aca="false">IF(OR(B28="",NOT(ISNUMBER(DB_Colleges!Y22))),"",DB_Colleges!Y22)</f>
        <v>0.757</v>
      </c>
      <c r="G28" s="26" t="str">
        <f aca="false">IF(OR(B28="",NOT(ISNUMBER(DB_Colleges!Z22))),"",DB_Colleges!Z22&amp;"-"&amp;DB_Colleges!AA22)</f>
        <v>860-1080</v>
      </c>
      <c r="H28" s="26" t="n">
        <f aca="false">IF(OR(B28="",NOT(ISNUMBER(DB_Colleges!AD22))),"",DB_Colleges!AD22)</f>
        <v>2.85</v>
      </c>
      <c r="I28" s="29" t="str">
        <f aca="false">IF(B28="","",IF(COUNT(DB_Colleges!I22:O22)=0,IF(DB_Colleges!P22="Yes","Rolling","Check site"),MIN(DB_Colleges!I22:O22)))</f>
        <v>Rolling</v>
      </c>
      <c r="J28" s="26" t="str">
        <f aca="false">IF(OR(B28="",COUNT(DB_Colleges!I22:O22)=0),"",INDEX({"ED","ED II","EA","EA II","REA","RD","Priority"},MATCH(MIN(DB_Colleges!I22:O22),DB_Colleges!I22:O22,0)))</f>
        <v/>
      </c>
      <c r="K28" s="29" t="str">
        <f aca="false">IF(OR(B28="",NOT(ISNUMBER(DB_Colleges!N22))),"",DB_Colleges!N22)</f>
        <v/>
      </c>
      <c r="L28" s="26" t="str">
        <f aca="false">IF(B28="","",DB_Colleges!G22&amp;"")</f>
        <v>GAfutures</v>
      </c>
      <c r="M28" s="30" t="n">
        <f aca="false">IF(OR(B28="",NOT(ISNUMBER(DB_Colleges!S22))),"",DB_Colleges!S22)</f>
        <v>20</v>
      </c>
      <c r="N28" s="26" t="str">
        <f aca="false">IF(B28="","",DB_Colleges!U22&amp;"")</f>
        <v>Flexible</v>
      </c>
      <c r="O28" s="26" t="str">
        <f aca="false">IF(B28="","",IF(ISNUMBER(DB_Colleges!AH22),DB_Colleges!AH22,"Check"))</f>
        <v>Check</v>
      </c>
      <c r="P28" s="26" t="str">
        <f aca="false">IF(B28="","",DB_Colleges!W22&amp;"")</f>
        <v/>
      </c>
      <c r="Q28" s="30" t="str">
        <f aca="false">IF(OR(B28="",NOT(ISNUMBER(DB_Colleges!AF22))),"",DB_Colleges!AF22)</f>
        <v/>
      </c>
      <c r="R28" s="28" t="str">
        <f aca="false">IF(OR(B28="",NOT(ISNUMBER(DB_Colleges!AG22))),"",DB_Colleges!AG22)</f>
        <v/>
      </c>
      <c r="S28" s="26" t="str">
        <f aca="false">IF(B28="","",DB_Colleges!AK22&amp;"")</f>
        <v>Mixed</v>
      </c>
      <c r="T28" s="26" t="str">
        <f aca="false">IF(B28="","",DB_Colleges!AI22&amp;"")</f>
        <v>https://www.abac.edu/admissions/applicants/freshmen-applicants.html</v>
      </c>
      <c r="U28" s="1" t="n">
        <f aca="false">IF(AND(ISNUMBER($X$4),ISNUMBER(DB_Colleges!Z22),ISNUMBER(DB_Colleges!AA22)),IF($X$4&gt;=DB_Colleges!AA22,1,IF($X$4&lt;DB_Colleges!Z22,-1,0)),"")</f>
        <v>-1</v>
      </c>
      <c r="V28" s="1" t="n">
        <f aca="false">IF(AND(ISNUMBER($Y$4),ISNUMBER(DB_Colleges!AD22)),IF($Y$4&gt;=DB_Colleges!AD22+0.15,1,IF($Y$4&lt;DB_Colleges!AD22-0.2,-1,0)),"")</f>
        <v>1</v>
      </c>
      <c r="W28" s="1" t="n">
        <f aca="false">IF(COUNT(U28:V28)=0,0,MIN(U28:V28))</f>
        <v>-1</v>
      </c>
    </row>
    <row r="29" customFormat="false" ht="15" hidden="false" customHeight="true" outlineLevel="0" collapsed="false">
      <c r="A29" s="26" t="str">
        <f aca="false">IF(B29="","",IF(COUNTIF('My Colleges'!$B$8:$B$27,B29)&gt;0,"On list",""))</f>
        <v/>
      </c>
      <c r="B29" s="27" t="str">
        <f aca="false">IF(DB_Colleges!A23="","",DB_Colleges!A23)</f>
        <v>South Georgia State College</v>
      </c>
      <c r="C29" s="26" t="str">
        <f aca="false">IF(B29="","",DB_Colleges!B23)</f>
        <v>Georgia Public (USG)</v>
      </c>
      <c r="D29" s="26" t="str">
        <f aca="false">IF(B29="","",DB_Colleges!C23&amp;", "&amp;DB_Colleges!D23)</f>
        <v>Douglas, GA</v>
      </c>
      <c r="E29" s="26" t="str">
        <f aca="false">IF(B29="","",IF(AND(NOT(ISNUMBER($X$4)),NOT(ISNUMBER($Y$4))),"Add scores",IF(NOT(ISNUMBER(DB_Colleges!Y23)),IF(OR(C29="Ivy League",C29="Highly Selective"),"Reach",IF(COUNT(U29:V29)=0,"No data",CHOOSE(W29+2,"Reach","Target","Likely"))),IF(DB_Colleges!Y23&lt;0.15,"Reach",IF(DB_Colleges!Y23&gt;=0.75,IF(W29&gt;=0,"Likely","Target"),IF(DB_Colleges!Y23&gt;=0.4,CHOOSE(W29+2,"Reach","Target","Likely"),IF(W29=1,"Target","Reach")))))))</f>
        <v>No data</v>
      </c>
      <c r="F29" s="28" t="str">
        <f aca="false">IF(OR(B29="",NOT(ISNUMBER(DB_Colleges!Y23))),"",DB_Colleges!Y23)</f>
        <v/>
      </c>
      <c r="G29" s="26" t="str">
        <f aca="false">IF(OR(B29="",NOT(ISNUMBER(DB_Colleges!Z23))),"",DB_Colleges!Z23&amp;"-"&amp;DB_Colleges!AA23)</f>
        <v/>
      </c>
      <c r="H29" s="26" t="str">
        <f aca="false">IF(OR(B29="",NOT(ISNUMBER(DB_Colleges!AD23))),"",DB_Colleges!AD23)</f>
        <v/>
      </c>
      <c r="I29" s="29" t="str">
        <f aca="false">IF(B29="","",IF(COUNT(DB_Colleges!I23:O23)=0,IF(DB_Colleges!P23="Yes","Rolling","Check site"),MIN(DB_Colleges!I23:O23)))</f>
        <v>Rolling</v>
      </c>
      <c r="J29" s="26" t="str">
        <f aca="false">IF(OR(B29="",COUNT(DB_Colleges!I23:O23)=0),"",INDEX({"ED","ED II","EA","EA II","REA","RD","Priority"},MATCH(MIN(DB_Colleges!I23:O23),DB_Colleges!I23:O23,0)))</f>
        <v/>
      </c>
      <c r="K29" s="29" t="str">
        <f aca="false">IF(OR(B29="",NOT(ISNUMBER(DB_Colleges!N23))),"",DB_Colleges!N23)</f>
        <v/>
      </c>
      <c r="L29" s="26" t="str">
        <f aca="false">IF(B29="","",DB_Colleges!G23&amp;"")</f>
        <v>School portal</v>
      </c>
      <c r="M29" s="30" t="n">
        <f aca="false">IF(OR(B29="",NOT(ISNUMBER(DB_Colleges!S23))),"",DB_Colleges!S23)</f>
        <v>20</v>
      </c>
      <c r="N29" s="26" t="str">
        <f aca="false">IF(B29="","",DB_Colleges!U23&amp;"")</f>
        <v>Optional</v>
      </c>
      <c r="O29" s="26" t="str">
        <f aca="false">IF(B29="","",IF(ISNUMBER(DB_Colleges!AH23),DB_Colleges!AH23,"Check"))</f>
        <v>Check</v>
      </c>
      <c r="P29" s="26" t="str">
        <f aca="false">IF(B29="","",DB_Colleges!W23&amp;"")</f>
        <v/>
      </c>
      <c r="Q29" s="30" t="str">
        <f aca="false">IF(OR(B29="",NOT(ISNUMBER(DB_Colleges!AF23))),"",DB_Colleges!AF23)</f>
        <v/>
      </c>
      <c r="R29" s="28" t="str">
        <f aca="false">IF(OR(B29="",NOT(ISNUMBER(DB_Colleges!AG23))),"",DB_Colleges!AG23)</f>
        <v/>
      </c>
      <c r="S29" s="26" t="str">
        <f aca="false">IF(B29="","",DB_Colleges!AK23&amp;"")</f>
        <v>Aggregator only</v>
      </c>
      <c r="T29" s="26" t="str">
        <f aca="false">IF(B29="","",DB_Colleges!AI23&amp;"")</f>
        <v>https://www.sgsc.edu/admissions/</v>
      </c>
      <c r="U29" s="1" t="str">
        <f aca="false">IF(AND(ISNUMBER($X$4),ISNUMBER(DB_Colleges!Z23),ISNUMBER(DB_Colleges!AA23)),IF($X$4&gt;=DB_Colleges!AA23,1,IF($X$4&lt;DB_Colleges!Z23,-1,0)),"")</f>
        <v/>
      </c>
      <c r="V29" s="1" t="str">
        <f aca="false">IF(AND(ISNUMBER($Y$4),ISNUMBER(DB_Colleges!AD23)),IF($Y$4&gt;=DB_Colleges!AD23+0.15,1,IF($Y$4&lt;DB_Colleges!AD23-0.2,-1,0)),"")</f>
        <v/>
      </c>
      <c r="W29" s="1" t="n">
        <f aca="false">IF(COUNT(U29:V29)=0,0,MIN(U29:V29))</f>
        <v>0</v>
      </c>
    </row>
    <row r="30" customFormat="false" ht="15" hidden="false" customHeight="true" outlineLevel="0" collapsed="false">
      <c r="A30" s="26" t="str">
        <f aca="false">IF(B30="","",IF(COUNTIF('My Colleges'!$B$8:$B$27,B30)&gt;0,"On list",""))</f>
        <v/>
      </c>
      <c r="B30" s="27" t="str">
        <f aca="false">IF(DB_Colleges!A24="","",DB_Colleges!A24)</f>
        <v>Atlanta Metropolitan State College</v>
      </c>
      <c r="C30" s="26" t="str">
        <f aca="false">IF(B30="","",DB_Colleges!B24)</f>
        <v>Georgia Public (USG)</v>
      </c>
      <c r="D30" s="26" t="str">
        <f aca="false">IF(B30="","",DB_Colleges!C24&amp;", "&amp;DB_Colleges!D24)</f>
        <v>Atlanta, GA</v>
      </c>
      <c r="E30" s="26" t="str">
        <f aca="false">IF(B30="","",IF(AND(NOT(ISNUMBER($X$4)),NOT(ISNUMBER($Y$4))),"Add scores",IF(NOT(ISNUMBER(DB_Colleges!Y24)),IF(OR(C30="Ivy League",C30="Highly Selective"),"Reach",IF(COUNT(U30:V30)=0,"No data",CHOOSE(W30+2,"Reach","Target","Likely"))),IF(DB_Colleges!Y24&lt;0.15,"Reach",IF(DB_Colleges!Y24&gt;=0.75,IF(W30&gt;=0,"Likely","Target"),IF(DB_Colleges!Y24&gt;=0.4,CHOOSE(W30+2,"Reach","Target","Likely"),IF(W30=1,"Target","Reach")))))))</f>
        <v>No data</v>
      </c>
      <c r="F30" s="28" t="str">
        <f aca="false">IF(OR(B30="",NOT(ISNUMBER(DB_Colleges!Y24))),"",DB_Colleges!Y24)</f>
        <v/>
      </c>
      <c r="G30" s="26" t="str">
        <f aca="false">IF(OR(B30="",NOT(ISNUMBER(DB_Colleges!Z24))),"",DB_Colleges!Z24&amp;"-"&amp;DB_Colleges!AA24)</f>
        <v/>
      </c>
      <c r="H30" s="26" t="str">
        <f aca="false">IF(OR(B30="",NOT(ISNUMBER(DB_Colleges!AD24))),"",DB_Colleges!AD24)</f>
        <v/>
      </c>
      <c r="I30" s="29" t="n">
        <f aca="false">IF(B30="","",IF(COUNT(DB_Colleges!I24:O24)=0,IF(DB_Colleges!P24="Yes","Rolling","Check site"),MIN(DB_Colleges!I24:O24)))</f>
        <v>46600</v>
      </c>
      <c r="J30" s="26" t="str">
        <f aca="false">IF(OR(B30="",COUNT(DB_Colleges!I24:O24)=0),"",INDEX({"ED","ED II","EA","EA II","REA","RD","Priority"},MATCH(MIN(DB_Colleges!I24:O24),DB_Colleges!I24:O24,0)))</f>
        <v>Priority</v>
      </c>
      <c r="K30" s="29" t="str">
        <f aca="false">IF(OR(B30="",NOT(ISNUMBER(DB_Colleges!N24))),"",DB_Colleges!N24)</f>
        <v/>
      </c>
      <c r="L30" s="26" t="str">
        <f aca="false">IF(B30="","",DB_Colleges!G24&amp;"")</f>
        <v>School portal (apply.atlm.edu)</v>
      </c>
      <c r="M30" s="30" t="n">
        <f aca="false">IF(OR(B30="",NOT(ISNUMBER(DB_Colleges!S24))),"",DB_Colleges!S24)</f>
        <v>20</v>
      </c>
      <c r="N30" s="26" t="str">
        <f aca="false">IF(B30="","",DB_Colleges!U24&amp;"")</f>
        <v>Optional</v>
      </c>
      <c r="O30" s="26" t="str">
        <f aca="false">IF(B30="","",IF(ISNUMBER(DB_Colleges!AH24),DB_Colleges!AH24,"Check"))</f>
        <v>Check</v>
      </c>
      <c r="P30" s="26" t="str">
        <f aca="false">IF(B30="","",DB_Colleges!W24&amp;"")</f>
        <v/>
      </c>
      <c r="Q30" s="30" t="str">
        <f aca="false">IF(OR(B30="",NOT(ISNUMBER(DB_Colleges!AF24))),"",DB_Colleges!AF24)</f>
        <v/>
      </c>
      <c r="R30" s="28" t="str">
        <f aca="false">IF(OR(B30="",NOT(ISNUMBER(DB_Colleges!AG24))),"",DB_Colleges!AG24)</f>
        <v/>
      </c>
      <c r="S30" s="26" t="str">
        <f aca="false">IF(B30="","",DB_Colleges!AK24&amp;"")</f>
        <v>Mixed</v>
      </c>
      <c r="T30" s="26" t="str">
        <f aca="false">IF(B30="","",DB_Colleges!AI24&amp;"")</f>
        <v>https://www.atlm.edu/students/admissions_checklist.aspx</v>
      </c>
      <c r="U30" s="1" t="str">
        <f aca="false">IF(AND(ISNUMBER($X$4),ISNUMBER(DB_Colleges!Z24),ISNUMBER(DB_Colleges!AA24)),IF($X$4&gt;=DB_Colleges!AA24,1,IF($X$4&lt;DB_Colleges!Z24,-1,0)),"")</f>
        <v/>
      </c>
      <c r="V30" s="1" t="str">
        <f aca="false">IF(AND(ISNUMBER($Y$4),ISNUMBER(DB_Colleges!AD24)),IF($Y$4&gt;=DB_Colleges!AD24+0.15,1,IF($Y$4&lt;DB_Colleges!AD24-0.2,-1,0)),"")</f>
        <v/>
      </c>
      <c r="W30" s="1" t="n">
        <f aca="false">IF(COUNT(U30:V30)=0,0,MIN(U30:V30))</f>
        <v>0</v>
      </c>
    </row>
    <row r="31" customFormat="false" ht="15" hidden="false" customHeight="true" outlineLevel="0" collapsed="false">
      <c r="A31" s="26" t="str">
        <f aca="false">IF(B31="","",IF(COUNTIF('My Colleges'!$B$8:$B$27,B31)&gt;0,"On list",""))</f>
        <v/>
      </c>
      <c r="B31" s="27" t="str">
        <f aca="false">IF(DB_Colleges!A25="","",DB_Colleges!A25)</f>
        <v>Emory University</v>
      </c>
      <c r="C31" s="26" t="str">
        <f aca="false">IF(B31="","",DB_Colleges!B25)</f>
        <v>Georgia Private</v>
      </c>
      <c r="D31" s="26" t="str">
        <f aca="false">IF(B31="","",DB_Colleges!C25&amp;", "&amp;DB_Colleges!D25)</f>
        <v>Atlanta, GA</v>
      </c>
      <c r="E31" s="26" t="str">
        <f aca="false">IF(B31="","",IF(AND(NOT(ISNUMBER($X$4)),NOT(ISNUMBER($Y$4))),"Add scores",IF(NOT(ISNUMBER(DB_Colleges!Y25)),IF(OR(C31="Ivy League",C31="Highly Selective"),"Reach",IF(COUNT(U31:V31)=0,"No data",CHOOSE(W31+2,"Reach","Target","Likely"))),IF(DB_Colleges!Y25&lt;0.15,"Reach",IF(DB_Colleges!Y25&gt;=0.75,IF(W31&gt;=0,"Likely","Target"),IF(DB_Colleges!Y25&gt;=0.4,CHOOSE(W31+2,"Reach","Target","Likely"),IF(W31=1,"Target","Reach")))))))</f>
        <v>Reach</v>
      </c>
      <c r="F31" s="28" t="n">
        <f aca="false">IF(OR(B31="",NOT(ISNUMBER(DB_Colleges!Y25))),"",DB_Colleges!Y25)</f>
        <v>0.106</v>
      </c>
      <c r="G31" s="26" t="str">
        <f aca="false">IF(OR(B31="",NOT(ISNUMBER(DB_Colleges!Z25))),"",DB_Colleges!Z25&amp;"-"&amp;DB_Colleges!AA25)</f>
        <v>1470-1550</v>
      </c>
      <c r="H31" s="26" t="str">
        <f aca="false">IF(OR(B31="",NOT(ISNUMBER(DB_Colleges!AD25))),"",DB_Colleges!AD25)</f>
        <v/>
      </c>
      <c r="I31" s="29" t="n">
        <f aca="false">IF(B31="","",IF(COUNT(DB_Colleges!I25:O25)=0,IF(DB_Colleges!P25="Yes","Rolling","Check site"),MIN(DB_Colleges!I25:O25)))</f>
        <v>46327</v>
      </c>
      <c r="J31" s="26" t="str">
        <f aca="false">IF(OR(B31="",COUNT(DB_Colleges!I25:O25)=0),"",INDEX({"ED","ED II","EA","EA II","REA","RD","Priority"},MATCH(MIN(DB_Colleges!I25:O25),DB_Colleges!I25:O25,0)))</f>
        <v>ED</v>
      </c>
      <c r="K31" s="29" t="n">
        <f aca="false">IF(OR(B31="",NOT(ISNUMBER(DB_Colleges!N25))),"",DB_Colleges!N25)</f>
        <v>46388</v>
      </c>
      <c r="L31" s="26" t="str">
        <f aca="false">IF(B31="","",DB_Colleges!G25&amp;"")</f>
        <v>Common App; QuestBridge</v>
      </c>
      <c r="M31" s="30" t="n">
        <f aca="false">IF(OR(B31="",NOT(ISNUMBER(DB_Colleges!S25))),"",DB_Colleges!S25)</f>
        <v>75</v>
      </c>
      <c r="N31" s="26" t="str">
        <f aca="false">IF(B31="","",DB_Colleges!U25&amp;"")</f>
        <v>Optional</v>
      </c>
      <c r="O31" s="26" t="n">
        <f aca="false">IF(B31="","",IF(ISNUMBER(DB_Colleges!AH25),DB_Colleges!AH25,"Check"))</f>
        <v>2</v>
      </c>
      <c r="P31" s="26" t="str">
        <f aca="false">IF(B31="","",DB_Colleges!W25&amp;"")</f>
        <v/>
      </c>
      <c r="Q31" s="30" t="str">
        <f aca="false">IF(OR(B31="",NOT(ISNUMBER(DB_Colleges!AF25))),"",DB_Colleges!AF25)</f>
        <v/>
      </c>
      <c r="R31" s="28" t="n">
        <f aca="false">IF(OR(B31="",NOT(ISNUMBER(DB_Colleges!AG25))),"",DB_Colleges!AG25)</f>
        <v>0.9</v>
      </c>
      <c r="S31" s="26" t="str">
        <f aca="false">IF(B31="","",DB_Colleges!AK25&amp;"")</f>
        <v>Mixed</v>
      </c>
      <c r="T31" s="26" t="str">
        <f aca="false">IF(B31="","",DB_Colleges!AI25&amp;"")</f>
        <v>https://apply.emory.edu/apply/first-year/plans-deadlines/index.html</v>
      </c>
      <c r="U31" s="1" t="n">
        <f aca="false">IF(AND(ISNUMBER($X$4),ISNUMBER(DB_Colleges!Z25),ISNUMBER(DB_Colleges!AA25)),IF($X$4&gt;=DB_Colleges!AA25,1,IF($X$4&lt;DB_Colleges!Z25,-1,0)),"")</f>
        <v>-1</v>
      </c>
      <c r="V31" s="1" t="str">
        <f aca="false">IF(AND(ISNUMBER($Y$4),ISNUMBER(DB_Colleges!AD25)),IF($Y$4&gt;=DB_Colleges!AD25+0.15,1,IF($Y$4&lt;DB_Colleges!AD25-0.2,-1,0)),"")</f>
        <v/>
      </c>
      <c r="W31" s="1" t="n">
        <f aca="false">IF(COUNT(U31:V31)=0,0,MIN(U31:V31))</f>
        <v>-1</v>
      </c>
    </row>
    <row r="32" customFormat="false" ht="15" hidden="false" customHeight="true" outlineLevel="0" collapsed="false">
      <c r="A32" s="26" t="str">
        <f aca="false">IF(B32="","",IF(COUNTIF('My Colleges'!$B$8:$B$27,B32)&gt;0,"On list",""))</f>
        <v/>
      </c>
      <c r="B32" s="27" t="str">
        <f aca="false">IF(DB_Colleges!A26="","",DB_Colleges!A26)</f>
        <v>Mercer University</v>
      </c>
      <c r="C32" s="26" t="str">
        <f aca="false">IF(B32="","",DB_Colleges!B26)</f>
        <v>Georgia Private</v>
      </c>
      <c r="D32" s="26" t="str">
        <f aca="false">IF(B32="","",DB_Colleges!C26&amp;", "&amp;DB_Colleges!D26)</f>
        <v>Macon, GA</v>
      </c>
      <c r="E32" s="26" t="str">
        <f aca="false">IF(B32="","",IF(AND(NOT(ISNUMBER($X$4)),NOT(ISNUMBER($Y$4))),"Add scores",IF(NOT(ISNUMBER(DB_Colleges!Y26)),IF(OR(C32="Ivy League",C32="Highly Selective"),"Reach",IF(COUNT(U32:V32)=0,"No data",CHOOSE(W32+2,"Reach","Target","Likely"))),IF(DB_Colleges!Y26&lt;0.15,"Reach",IF(DB_Colleges!Y26&gt;=0.75,IF(W32&gt;=0,"Likely","Target"),IF(DB_Colleges!Y26&gt;=0.4,CHOOSE(W32+2,"Reach","Target","Likely"),IF(W32=1,"Target","Reach")))))))</f>
        <v>Reach</v>
      </c>
      <c r="F32" s="28" t="n">
        <f aca="false">IF(OR(B32="",NOT(ISNUMBER(DB_Colleges!Y26))),"",DB_Colleges!Y26)</f>
        <v>0.689</v>
      </c>
      <c r="G32" s="26" t="str">
        <f aca="false">IF(OR(B32="",NOT(ISNUMBER(DB_Colleges!Z26))),"",DB_Colleges!Z26&amp;"-"&amp;DB_Colleges!AA26)</f>
        <v>1160-1350</v>
      </c>
      <c r="H32" s="26" t="n">
        <f aca="false">IF(OR(B32="",NOT(ISNUMBER(DB_Colleges!AD26))),"",DB_Colleges!AD26)</f>
        <v>3.98</v>
      </c>
      <c r="I32" s="29" t="n">
        <f aca="false">IF(B32="","",IF(COUNT(DB_Colleges!I26:O26)=0,IF(DB_Colleges!P26="Yes","Rolling","Check site"),MIN(DB_Colleges!I26:O26)))</f>
        <v>46327</v>
      </c>
      <c r="J32" s="26" t="str">
        <f aca="false">IF(OR(B32="",COUNT(DB_Colleges!I26:O26)=0),"",INDEX({"ED","ED II","EA","EA II","REA","RD","Priority"},MATCH(MIN(DB_Colleges!I26:O26),DB_Colleges!I26:O26,0)))</f>
        <v>EA</v>
      </c>
      <c r="K32" s="29" t="n">
        <f aca="false">IF(OR(B32="",NOT(ISNUMBER(DB_Colleges!N26))),"",DB_Colleges!N26)</f>
        <v>46419</v>
      </c>
      <c r="L32" s="26" t="str">
        <f aca="false">IF(B32="","",DB_Colleges!G26&amp;"")</f>
        <v>Common App; Mercer Application</v>
      </c>
      <c r="M32" s="30" t="n">
        <f aca="false">IF(OR(B32="",NOT(ISNUMBER(DB_Colleges!S26))),"",DB_Colleges!S26)</f>
        <v>50</v>
      </c>
      <c r="N32" s="26" t="str">
        <f aca="false">IF(B32="","",DB_Colleges!U26&amp;"")</f>
        <v>Required</v>
      </c>
      <c r="O32" s="26" t="str">
        <f aca="false">IF(B32="","",IF(ISNUMBER(DB_Colleges!AH26),DB_Colleges!AH26,"Check"))</f>
        <v>Check</v>
      </c>
      <c r="P32" s="26" t="str">
        <f aca="false">IF(B32="","",DB_Colleges!W26&amp;"")</f>
        <v/>
      </c>
      <c r="Q32" s="30" t="str">
        <f aca="false">IF(OR(B32="",NOT(ISNUMBER(DB_Colleges!AF26))),"",DB_Colleges!AF26)</f>
        <v/>
      </c>
      <c r="R32" s="28" t="str">
        <f aca="false">IF(OR(B32="",NOT(ISNUMBER(DB_Colleges!AG26))),"",DB_Colleges!AG26)</f>
        <v/>
      </c>
      <c r="S32" s="26" t="str">
        <f aca="false">IF(B32="","",DB_Colleges!AK26&amp;"")</f>
        <v>Mixed</v>
      </c>
      <c r="T32" s="26" t="str">
        <f aca="false">IF(B32="","",DB_Colleges!AI26&amp;"")</f>
        <v>https://undergrad.mercer.edu/first-year-admissions/</v>
      </c>
      <c r="U32" s="1" t="n">
        <f aca="false">IF(AND(ISNUMBER($X$4),ISNUMBER(DB_Colleges!Z26),ISNUMBER(DB_Colleges!AA26)),IF($X$4&gt;=DB_Colleges!AA26,1,IF($X$4&lt;DB_Colleges!Z26,-1,0)),"")</f>
        <v>-1</v>
      </c>
      <c r="V32" s="1" t="n">
        <f aca="false">IF(AND(ISNUMBER($Y$4),ISNUMBER(DB_Colleges!AD26)),IF($Y$4&gt;=DB_Colleges!AD26+0.15,1,IF($Y$4&lt;DB_Colleges!AD26-0.2,-1,0)),"")</f>
        <v>-1</v>
      </c>
      <c r="W32" s="1" t="n">
        <f aca="false">IF(COUNT(U32:V32)=0,0,MIN(U32:V32))</f>
        <v>-1</v>
      </c>
    </row>
    <row r="33" customFormat="false" ht="15" hidden="false" customHeight="true" outlineLevel="0" collapsed="false">
      <c r="A33" s="26" t="str">
        <f aca="false">IF(B33="","",IF(COUNTIF('My Colleges'!$B$8:$B$27,B33)&gt;0,"On list",""))</f>
        <v/>
      </c>
      <c r="B33" s="27" t="str">
        <f aca="false">IF(DB_Colleges!A27="","",DB_Colleges!A27)</f>
        <v>Agnes Scott College</v>
      </c>
      <c r="C33" s="26" t="str">
        <f aca="false">IF(B33="","",DB_Colleges!B27)</f>
        <v>Georgia Private</v>
      </c>
      <c r="D33" s="26" t="str">
        <f aca="false">IF(B33="","",DB_Colleges!C27&amp;", "&amp;DB_Colleges!D27)</f>
        <v>Decatur, GA</v>
      </c>
      <c r="E33" s="26" t="str">
        <f aca="false">IF(B33="","",IF(AND(NOT(ISNUMBER($X$4)),NOT(ISNUMBER($Y$4))),"Add scores",IF(NOT(ISNUMBER(DB_Colleges!Y27)),IF(OR(C33="Ivy League",C33="Highly Selective"),"Reach",IF(COUNT(U33:V33)=0,"No data",CHOOSE(W33+2,"Reach","Target","Likely"))),IF(DB_Colleges!Y27&lt;0.15,"Reach",IF(DB_Colleges!Y27&gt;=0.75,IF(W33&gt;=0,"Likely","Target"),IF(DB_Colleges!Y27&gt;=0.4,CHOOSE(W33+2,"Reach","Target","Likely"),IF(W33=1,"Target","Reach")))))))</f>
        <v>Reach</v>
      </c>
      <c r="F33" s="28" t="n">
        <f aca="false">IF(OR(B33="",NOT(ISNUMBER(DB_Colleges!Y27))),"",DB_Colleges!Y27)</f>
        <v>0.622</v>
      </c>
      <c r="G33" s="26" t="str">
        <f aca="false">IF(OR(B33="",NOT(ISNUMBER(DB_Colleges!Z27))),"",DB_Colleges!Z27&amp;"-"&amp;DB_Colleges!AA27)</f>
        <v>1160-1330</v>
      </c>
      <c r="H33" s="26" t="n">
        <f aca="false">IF(OR(B33="",NOT(ISNUMBER(DB_Colleges!AD27))),"",DB_Colleges!AD27)</f>
        <v>3.77</v>
      </c>
      <c r="I33" s="29" t="n">
        <f aca="false">IF(B33="","",IF(COUNT(DB_Colleges!I27:O27)=0,IF(DB_Colleges!P27="Yes","Rolling","Check site"),MIN(DB_Colleges!I27:O27)))</f>
        <v>46327</v>
      </c>
      <c r="J33" s="26" t="str">
        <f aca="false">IF(OR(B33="",COUNT(DB_Colleges!I27:O27)=0),"",INDEX({"ED","ED II","EA","EA II","REA","RD","Priority"},MATCH(MIN(DB_Colleges!I27:O27),DB_Colleges!I27:O27,0)))</f>
        <v>ED</v>
      </c>
      <c r="K33" s="29" t="n">
        <f aca="false">IF(OR(B33="",NOT(ISNUMBER(DB_Colleges!N27))),"",DB_Colleges!N27)</f>
        <v>46461</v>
      </c>
      <c r="L33" s="26" t="str">
        <f aca="false">IF(B33="","",DB_Colleges!G27&amp;"")</f>
        <v>Common App</v>
      </c>
      <c r="M33" s="30" t="str">
        <f aca="false">IF(OR(B33="",NOT(ISNUMBER(DB_Colleges!S27))),"",DB_Colleges!S27)</f>
        <v/>
      </c>
      <c r="N33" s="26" t="str">
        <f aca="false">IF(B33="","",DB_Colleges!U27&amp;"")</f>
        <v>Optional</v>
      </c>
      <c r="O33" s="26" t="str">
        <f aca="false">IF(B33="","",IF(ISNUMBER(DB_Colleges!AH27),DB_Colleges!AH27,"Check"))</f>
        <v>Check</v>
      </c>
      <c r="P33" s="26" t="str">
        <f aca="false">IF(B33="","",DB_Colleges!W27&amp;"")</f>
        <v/>
      </c>
      <c r="Q33" s="30" t="str">
        <f aca="false">IF(OR(B33="",NOT(ISNUMBER(DB_Colleges!AF27))),"",DB_Colleges!AF27)</f>
        <v/>
      </c>
      <c r="R33" s="28" t="str">
        <f aca="false">IF(OR(B33="",NOT(ISNUMBER(DB_Colleges!AG27))),"",DB_Colleges!AG27)</f>
        <v/>
      </c>
      <c r="S33" s="26" t="str">
        <f aca="false">IF(B33="","",DB_Colleges!AK27&amp;"")</f>
        <v>Mixed</v>
      </c>
      <c r="T33" s="26" t="str">
        <f aca="false">IF(B33="","",DB_Colleges!AI27&amp;"")</f>
        <v>https://www.agnesscott.edu/admission/undergraduate-admission/high-school-students/index.html</v>
      </c>
      <c r="U33" s="1" t="n">
        <f aca="false">IF(AND(ISNUMBER($X$4),ISNUMBER(DB_Colleges!Z27),ISNUMBER(DB_Colleges!AA27)),IF($X$4&gt;=DB_Colleges!AA27,1,IF($X$4&lt;DB_Colleges!Z27,-1,0)),"")</f>
        <v>-1</v>
      </c>
      <c r="V33" s="1" t="n">
        <f aca="false">IF(AND(ISNUMBER($Y$4),ISNUMBER(DB_Colleges!AD27)),IF($Y$4&gt;=DB_Colleges!AD27+0.15,1,IF($Y$4&lt;DB_Colleges!AD27-0.2,-1,0)),"")</f>
        <v>-1</v>
      </c>
      <c r="W33" s="1" t="n">
        <f aca="false">IF(COUNT(U33:V33)=0,0,MIN(U33:V33))</f>
        <v>-1</v>
      </c>
    </row>
    <row r="34" customFormat="false" ht="15" hidden="false" customHeight="true" outlineLevel="0" collapsed="false">
      <c r="A34" s="26" t="str">
        <f aca="false">IF(B34="","",IF(COUNTIF('My Colleges'!$B$8:$B$27,B34)&gt;0,"On list",""))</f>
        <v/>
      </c>
      <c r="B34" s="27" t="str">
        <f aca="false">IF(DB_Colleges!A28="","",DB_Colleges!A28)</f>
        <v>Oglethorpe University</v>
      </c>
      <c r="C34" s="26" t="str">
        <f aca="false">IF(B34="","",DB_Colleges!B28)</f>
        <v>Georgia Private</v>
      </c>
      <c r="D34" s="26" t="str">
        <f aca="false">IF(B34="","",DB_Colleges!C28&amp;", "&amp;DB_Colleges!D28)</f>
        <v>Atlanta, GA</v>
      </c>
      <c r="E34" s="26" t="str">
        <f aca="false">IF(B34="","",IF(AND(NOT(ISNUMBER($X$4)),NOT(ISNUMBER($Y$4))),"Add scores",IF(NOT(ISNUMBER(DB_Colleges!Y28)),IF(OR(C34="Ivy League",C34="Highly Selective"),"Reach",IF(COUNT(U34:V34)=0,"No data",CHOOSE(W34+2,"Reach","Target","Likely"))),IF(DB_Colleges!Y28&lt;0.15,"Reach",IF(DB_Colleges!Y28&gt;=0.75,IF(W34&gt;=0,"Likely","Target"),IF(DB_Colleges!Y28&gt;=0.4,CHOOSE(W34+2,"Reach","Target","Likely"),IF(W34=1,"Target","Reach")))))))</f>
        <v>Target</v>
      </c>
      <c r="F34" s="28" t="n">
        <f aca="false">IF(OR(B34="",NOT(ISNUMBER(DB_Colleges!Y28))),"",DB_Colleges!Y28)</f>
        <v>0.884</v>
      </c>
      <c r="G34" s="26" t="str">
        <f aca="false">IF(OR(B34="",NOT(ISNUMBER(DB_Colleges!Z28))),"",DB_Colleges!Z28&amp;"-"&amp;DB_Colleges!AA28)</f>
        <v>1090-1310</v>
      </c>
      <c r="H34" s="26" t="n">
        <f aca="false">IF(OR(B34="",NOT(ISNUMBER(DB_Colleges!AD28))),"",DB_Colleges!AD28)</f>
        <v>3.73</v>
      </c>
      <c r="I34" s="29" t="n">
        <f aca="false">IF(B34="","",IF(COUNT(DB_Colleges!I28:O28)=0,IF(DB_Colleges!P28="Yes","Rolling","Check site"),MIN(DB_Colleges!I28:O28)))</f>
        <v>46327</v>
      </c>
      <c r="J34" s="26" t="str">
        <f aca="false">IF(OR(B34="",COUNT(DB_Colleges!I28:O28)=0),"",INDEX({"ED","ED II","EA","EA II","REA","RD","Priority"},MATCH(MIN(DB_Colleges!I28:O28),DB_Colleges!I28:O28,0)))</f>
        <v>EA</v>
      </c>
      <c r="K34" s="29" t="str">
        <f aca="false">IF(OR(B34="",NOT(ISNUMBER(DB_Colleges!N28))),"",DB_Colleges!N28)</f>
        <v/>
      </c>
      <c r="L34" s="26" t="str">
        <f aca="false">IF(B34="","",DB_Colleges!G28&amp;"")</f>
        <v>Common App; Petrel Portal (apply.oglethorpe.edu)</v>
      </c>
      <c r="M34" s="30" t="n">
        <f aca="false">IF(OR(B34="",NOT(ISNUMBER(DB_Colleges!S28))),"",DB_Colleges!S28)</f>
        <v>50</v>
      </c>
      <c r="N34" s="26" t="str">
        <f aca="false">IF(B34="","",DB_Colleges!U28&amp;"")</f>
        <v>Optional</v>
      </c>
      <c r="O34" s="26" t="n">
        <f aca="false">IF(B34="","",IF(ISNUMBER(DB_Colleges!AH28),DB_Colleges!AH28,"Check"))</f>
        <v>0</v>
      </c>
      <c r="P34" s="26" t="str">
        <f aca="false">IF(B34="","",DB_Colleges!W28&amp;"")</f>
        <v/>
      </c>
      <c r="Q34" s="30" t="str">
        <f aca="false">IF(OR(B34="",NOT(ISNUMBER(DB_Colleges!AF28))),"",DB_Colleges!AF28)</f>
        <v/>
      </c>
      <c r="R34" s="28" t="str">
        <f aca="false">IF(OR(B34="",NOT(ISNUMBER(DB_Colleges!AG28))),"",DB_Colleges!AG28)</f>
        <v/>
      </c>
      <c r="S34" s="26" t="str">
        <f aca="false">IF(B34="","",DB_Colleges!AK28&amp;"")</f>
        <v>Official 2026-27</v>
      </c>
      <c r="T34" s="26" t="str">
        <f aca="false">IF(B34="","",DB_Colleges!AI28&amp;"")</f>
        <v>https://oglethorpe.edu/admission/apply/first-year/</v>
      </c>
      <c r="U34" s="1" t="n">
        <f aca="false">IF(AND(ISNUMBER($X$4),ISNUMBER(DB_Colleges!Z28),ISNUMBER(DB_Colleges!AA28)),IF($X$4&gt;=DB_Colleges!AA28,1,IF($X$4&lt;DB_Colleges!Z28,-1,0)),"")</f>
        <v>-1</v>
      </c>
      <c r="V34" s="1" t="n">
        <f aca="false">IF(AND(ISNUMBER($Y$4),ISNUMBER(DB_Colleges!AD28)),IF($Y$4&gt;=DB_Colleges!AD28+0.15,1,IF($Y$4&lt;DB_Colleges!AD28-0.2,-1,0)),"")</f>
        <v>-1</v>
      </c>
      <c r="W34" s="1" t="n">
        <f aca="false">IF(COUNT(U34:V34)=0,0,MIN(U34:V34))</f>
        <v>-1</v>
      </c>
    </row>
    <row r="35" customFormat="false" ht="15" hidden="false" customHeight="true" outlineLevel="0" collapsed="false">
      <c r="A35" s="26" t="str">
        <f aca="false">IF(B35="","",IF(COUNTIF('My Colleges'!$B$8:$B$27,B35)&gt;0,"On list",""))</f>
        <v/>
      </c>
      <c r="B35" s="27" t="str">
        <f aca="false">IF(DB_Colleges!A29="","",DB_Colleges!A29)</f>
        <v>Berry College</v>
      </c>
      <c r="C35" s="26" t="str">
        <f aca="false">IF(B35="","",DB_Colleges!B29)</f>
        <v>Georgia Private</v>
      </c>
      <c r="D35" s="26" t="str">
        <f aca="false">IF(B35="","",DB_Colleges!C29&amp;", "&amp;DB_Colleges!D29)</f>
        <v>Mount Berry, GA</v>
      </c>
      <c r="E35" s="26" t="str">
        <f aca="false">IF(B35="","",IF(AND(NOT(ISNUMBER($X$4)),NOT(ISNUMBER($Y$4))),"Add scores",IF(NOT(ISNUMBER(DB_Colleges!Y29)),IF(OR(C35="Ivy League",C35="Highly Selective"),"Reach",IF(COUNT(U35:V35)=0,"No data",CHOOSE(W35+2,"Reach","Target","Likely"))),IF(DB_Colleges!Y29&lt;0.15,"Reach",IF(DB_Colleges!Y29&gt;=0.75,IF(W35&gt;=0,"Likely","Target"),IF(DB_Colleges!Y29&gt;=0.4,CHOOSE(W35+2,"Reach","Target","Likely"),IF(W35=1,"Target","Reach")))))))</f>
        <v>Reach</v>
      </c>
      <c r="F35" s="28" t="n">
        <f aca="false">IF(OR(B35="",NOT(ISNUMBER(DB_Colleges!Y29))),"",DB_Colleges!Y29)</f>
        <v>0.64</v>
      </c>
      <c r="G35" s="26" t="str">
        <f aca="false">IF(OR(B35="",NOT(ISNUMBER(DB_Colleges!Z29))),"",DB_Colleges!Z29&amp;"-"&amp;DB_Colleges!AA29)</f>
        <v>1125-1330</v>
      </c>
      <c r="H35" s="26" t="n">
        <f aca="false">IF(OR(B35="",NOT(ISNUMBER(DB_Colleges!AD29))),"",DB_Colleges!AD29)</f>
        <v>3.84</v>
      </c>
      <c r="I35" s="29" t="n">
        <f aca="false">IF(B35="","",IF(COUNT(DB_Colleges!I29:O29)=0,IF(DB_Colleges!P29="Yes","Rolling","Check site"),MIN(DB_Colleges!I29:O29)))</f>
        <v>46327</v>
      </c>
      <c r="J35" s="26" t="str">
        <f aca="false">IF(OR(B35="",COUNT(DB_Colleges!I29:O29)=0),"",INDEX({"ED","ED II","EA","EA II","REA","RD","Priority"},MATCH(MIN(DB_Colleges!I29:O29),DB_Colleges!I29:O29,0)))</f>
        <v>EA</v>
      </c>
      <c r="K35" s="29" t="n">
        <f aca="false">IF(OR(B35="",NOT(ISNUMBER(DB_Colleges!N29))),"",DB_Colleges!N29)</f>
        <v>46402</v>
      </c>
      <c r="L35" s="26" t="str">
        <f aca="false">IF(B35="","",DB_Colleges!G29&amp;"")</f>
        <v>Common App; Berry Application (myportal.berry.edu)</v>
      </c>
      <c r="M35" s="30" t="n">
        <f aca="false">IF(OR(B35="",NOT(ISNUMBER(DB_Colleges!S29))),"",DB_Colleges!S29)</f>
        <v>0</v>
      </c>
      <c r="N35" s="26" t="str">
        <f aca="false">IF(B35="","",DB_Colleges!U29&amp;"")</f>
        <v>Optional</v>
      </c>
      <c r="O35" s="26" t="n">
        <f aca="false">IF(B35="","",IF(ISNUMBER(DB_Colleges!AH29),DB_Colleges!AH29,"Check"))</f>
        <v>0</v>
      </c>
      <c r="P35" s="26" t="str">
        <f aca="false">IF(B35="","",DB_Colleges!W29&amp;"")</f>
        <v/>
      </c>
      <c r="Q35" s="30" t="str">
        <f aca="false">IF(OR(B35="",NOT(ISNUMBER(DB_Colleges!AF29))),"",DB_Colleges!AF29)</f>
        <v/>
      </c>
      <c r="R35" s="28" t="str">
        <f aca="false">IF(OR(B35="",NOT(ISNUMBER(DB_Colleges!AG29))),"",DB_Colleges!AG29)</f>
        <v/>
      </c>
      <c r="S35" s="26" t="str">
        <f aca="false">IF(B35="","",DB_Colleges!AK29&amp;"")</f>
        <v>Official 2026-27</v>
      </c>
      <c r="T35" s="26" t="str">
        <f aca="false">IF(B35="","",DB_Colleges!AI29&amp;"")</f>
        <v>https://berry.edu/admission/how-to-apply/first-year</v>
      </c>
      <c r="U35" s="1" t="n">
        <f aca="false">IF(AND(ISNUMBER($X$4),ISNUMBER(DB_Colleges!Z29),ISNUMBER(DB_Colleges!AA29)),IF($X$4&gt;=DB_Colleges!AA29,1,IF($X$4&lt;DB_Colleges!Z29,-1,0)),"")</f>
        <v>-1</v>
      </c>
      <c r="V35" s="1" t="n">
        <f aca="false">IF(AND(ISNUMBER($Y$4),ISNUMBER(DB_Colleges!AD29)),IF($Y$4&gt;=DB_Colleges!AD29+0.15,1,IF($Y$4&lt;DB_Colleges!AD29-0.2,-1,0)),"")</f>
        <v>-1</v>
      </c>
      <c r="W35" s="1" t="n">
        <f aca="false">IF(COUNT(U35:V35)=0,0,MIN(U35:V35))</f>
        <v>-1</v>
      </c>
    </row>
    <row r="36" customFormat="false" ht="15" hidden="false" customHeight="true" outlineLevel="0" collapsed="false">
      <c r="A36" s="26" t="str">
        <f aca="false">IF(B36="","",IF(COUNTIF('My Colleges'!$B$8:$B$27,B36)&gt;0,"On list",""))</f>
        <v/>
      </c>
      <c r="B36" s="27" t="str">
        <f aca="false">IF(DB_Colleges!A30="","",DB_Colleges!A30)</f>
        <v>Savannah College of Art and Design</v>
      </c>
      <c r="C36" s="26" t="str">
        <f aca="false">IF(B36="","",DB_Colleges!B30)</f>
        <v>Georgia Private</v>
      </c>
      <c r="D36" s="26" t="str">
        <f aca="false">IF(B36="","",DB_Colleges!C30&amp;", "&amp;DB_Colleges!D30)</f>
        <v>Savannah, GA</v>
      </c>
      <c r="E36" s="26" t="str">
        <f aca="false">IF(B36="","",IF(AND(NOT(ISNUMBER($X$4)),NOT(ISNUMBER($Y$4))),"Add scores",IF(NOT(ISNUMBER(DB_Colleges!Y30)),IF(OR(C36="Ivy League",C36="Highly Selective"),"Reach",IF(COUNT(U36:V36)=0,"No data",CHOOSE(W36+2,"Reach","Target","Likely"))),IF(DB_Colleges!Y30&lt;0.15,"Reach",IF(DB_Colleges!Y30&gt;=0.75,IF(W36&gt;=0,"Likely","Target"),IF(DB_Colleges!Y30&gt;=0.4,CHOOSE(W36+2,"Reach","Target","Likely"),IF(W36=1,"Target","Reach")))))))</f>
        <v>Target</v>
      </c>
      <c r="F36" s="28" t="n">
        <f aca="false">IF(OR(B36="",NOT(ISNUMBER(DB_Colleges!Y30))),"",DB_Colleges!Y30)</f>
        <v>0.83</v>
      </c>
      <c r="G36" s="26" t="str">
        <f aca="false">IF(OR(B36="",NOT(ISNUMBER(DB_Colleges!Z30))),"",DB_Colleges!Z30&amp;"-"&amp;DB_Colleges!AA30)</f>
        <v>1030-1270</v>
      </c>
      <c r="H36" s="26" t="n">
        <f aca="false">IF(OR(B36="",NOT(ISNUMBER(DB_Colleges!AD30))),"",DB_Colleges!AD30)</f>
        <v>3.56</v>
      </c>
      <c r="I36" s="29" t="str">
        <f aca="false">IF(B36="","",IF(COUNT(DB_Colleges!I30:O30)=0,IF(DB_Colleges!P30="Yes","Rolling","Check site"),MIN(DB_Colleges!I30:O30)))</f>
        <v>Rolling</v>
      </c>
      <c r="J36" s="26" t="str">
        <f aca="false">IF(OR(B36="",COUNT(DB_Colleges!I30:O30)=0),"",INDEX({"ED","ED II","EA","EA II","REA","RD","Priority"},MATCH(MIN(DB_Colleges!I30:O30),DB_Colleges!I30:O30,0)))</f>
        <v/>
      </c>
      <c r="K36" s="29" t="str">
        <f aca="false">IF(OR(B36="",NOT(ISNUMBER(DB_Colleges!N30))),"",DB_Colleges!N30)</f>
        <v/>
      </c>
      <c r="L36" s="26" t="str">
        <f aca="false">IF(B36="","",DB_Colleges!G30&amp;"")</f>
        <v>Common App; SCAD application (MyAdmission portal)</v>
      </c>
      <c r="M36" s="30" t="n">
        <f aca="false">IF(OR(B36="",NOT(ISNUMBER(DB_Colleges!S30))),"",DB_Colleges!S30)</f>
        <v>100</v>
      </c>
      <c r="N36" s="26" t="str">
        <f aca="false">IF(B36="","",DB_Colleges!U30&amp;"")</f>
        <v>Optional</v>
      </c>
      <c r="O36" s="26" t="str">
        <f aca="false">IF(B36="","",IF(ISNUMBER(DB_Colleges!AH30),DB_Colleges!AH30,"Check"))</f>
        <v>Check</v>
      </c>
      <c r="P36" s="26" t="str">
        <f aca="false">IF(B36="","",DB_Colleges!W30&amp;"")</f>
        <v/>
      </c>
      <c r="Q36" s="30" t="str">
        <f aca="false">IF(OR(B36="",NOT(ISNUMBER(DB_Colleges!AF30))),"",DB_Colleges!AF30)</f>
        <v/>
      </c>
      <c r="R36" s="28" t="str">
        <f aca="false">IF(OR(B36="",NOT(ISNUMBER(DB_Colleges!AG30))),"",DB_Colleges!AG30)</f>
        <v/>
      </c>
      <c r="S36" s="26" t="str">
        <f aca="false">IF(B36="","",DB_Colleges!AK30&amp;"")</f>
        <v>Mixed</v>
      </c>
      <c r="T36" s="26" t="str">
        <f aca="false">IF(B36="","",DB_Colleges!AI30&amp;"")</f>
        <v>https://www.scad.edu/admission/admission-information/first-year</v>
      </c>
      <c r="U36" s="1" t="n">
        <f aca="false">IF(AND(ISNUMBER($X$4),ISNUMBER(DB_Colleges!Z30),ISNUMBER(DB_Colleges!AA30)),IF($X$4&gt;=DB_Colleges!AA30,1,IF($X$4&lt;DB_Colleges!Z30,-1,0)),"")</f>
        <v>-1</v>
      </c>
      <c r="V36" s="1" t="n">
        <f aca="false">IF(AND(ISNUMBER($Y$4),ISNUMBER(DB_Colleges!AD30)),IF($Y$4&gt;=DB_Colleges!AD30+0.15,1,IF($Y$4&lt;DB_Colleges!AD30-0.2,-1,0)),"")</f>
        <v>0</v>
      </c>
      <c r="W36" s="1" t="n">
        <f aca="false">IF(COUNT(U36:V36)=0,0,MIN(U36:V36))</f>
        <v>-1</v>
      </c>
    </row>
    <row r="37" customFormat="false" ht="15" hidden="false" customHeight="true" outlineLevel="0" collapsed="false">
      <c r="A37" s="26" t="str">
        <f aca="false">IF(B37="","",IF(COUNTIF('My Colleges'!$B$8:$B$27,B37)&gt;0,"On list",""))</f>
        <v/>
      </c>
      <c r="B37" s="27" t="str">
        <f aca="false">IF(DB_Colleges!A31="","",DB_Colleges!A31)</f>
        <v>Piedmont University</v>
      </c>
      <c r="C37" s="26" t="str">
        <f aca="false">IF(B37="","",DB_Colleges!B31)</f>
        <v>Georgia Private</v>
      </c>
      <c r="D37" s="26" t="str">
        <f aca="false">IF(B37="","",DB_Colleges!C31&amp;", "&amp;DB_Colleges!D31)</f>
        <v>Demorest, GA</v>
      </c>
      <c r="E37" s="26" t="str">
        <f aca="false">IF(B37="","",IF(AND(NOT(ISNUMBER($X$4)),NOT(ISNUMBER($Y$4))),"Add scores",IF(NOT(ISNUMBER(DB_Colleges!Y31)),IF(OR(C37="Ivy League",C37="Highly Selective"),"Reach",IF(COUNT(U37:V37)=0,"No data",CHOOSE(W37+2,"Reach","Target","Likely"))),IF(DB_Colleges!Y31&lt;0.15,"Reach",IF(DB_Colleges!Y31&gt;=0.75,IF(W37&gt;=0,"Likely","Target"),IF(DB_Colleges!Y31&gt;=0.4,CHOOSE(W37+2,"Reach","Target","Likely"),IF(W37=1,"Target","Reach")))))))</f>
        <v>Target</v>
      </c>
      <c r="F37" s="28" t="n">
        <f aca="false">IF(OR(B37="",NOT(ISNUMBER(DB_Colleges!Y31))),"",DB_Colleges!Y31)</f>
        <v>0.933</v>
      </c>
      <c r="G37" s="26" t="str">
        <f aca="false">IF(OR(B37="",NOT(ISNUMBER(DB_Colleges!Z31))),"",DB_Colleges!Z31&amp;"-"&amp;DB_Colleges!AA31)</f>
        <v>1038-1245</v>
      </c>
      <c r="H37" s="26" t="n">
        <f aca="false">IF(OR(B37="",NOT(ISNUMBER(DB_Colleges!AD31))),"",DB_Colleges!AD31)</f>
        <v>3.54</v>
      </c>
      <c r="I37" s="29" t="n">
        <f aca="false">IF(B37="","",IF(COUNT(DB_Colleges!I31:O31)=0,IF(DB_Colleges!P31="Yes","Rolling","Check site"),MIN(DB_Colleges!I31:O31)))</f>
        <v>46600</v>
      </c>
      <c r="J37" s="26" t="str">
        <f aca="false">IF(OR(B37="",COUNT(DB_Colleges!I31:O31)=0),"",INDEX({"ED","ED II","EA","EA II","REA","RD","Priority"},MATCH(MIN(DB_Colleges!I31:O31),DB_Colleges!I31:O31,0)))</f>
        <v>RD</v>
      </c>
      <c r="K37" s="29" t="n">
        <f aca="false">IF(OR(B37="",NOT(ISNUMBER(DB_Colleges!N31))),"",DB_Colleges!N31)</f>
        <v>46600</v>
      </c>
      <c r="L37" s="26" t="str">
        <f aca="false">IF(B37="","",DB_Colleges!G31&amp;"")</f>
        <v>Common App; Piedmont application</v>
      </c>
      <c r="M37" s="30" t="str">
        <f aca="false">IF(OR(B37="",NOT(ISNUMBER(DB_Colleges!S31))),"",DB_Colleges!S31)</f>
        <v/>
      </c>
      <c r="N37" s="26" t="str">
        <f aca="false">IF(B37="","",DB_Colleges!U31&amp;"")</f>
        <v>Optional</v>
      </c>
      <c r="O37" s="26" t="str">
        <f aca="false">IF(B37="","",IF(ISNUMBER(DB_Colleges!AH31),DB_Colleges!AH31,"Check"))</f>
        <v>Check</v>
      </c>
      <c r="P37" s="26" t="str">
        <f aca="false">IF(B37="","",DB_Colleges!W31&amp;"")</f>
        <v/>
      </c>
      <c r="Q37" s="30" t="str">
        <f aca="false">IF(OR(B37="",NOT(ISNUMBER(DB_Colleges!AF31))),"",DB_Colleges!AF31)</f>
        <v/>
      </c>
      <c r="R37" s="28" t="str">
        <f aca="false">IF(OR(B37="",NOT(ISNUMBER(DB_Colleges!AG31))),"",DB_Colleges!AG31)</f>
        <v/>
      </c>
      <c r="S37" s="26" t="str">
        <f aca="false">IF(B37="","",DB_Colleges!AK31&amp;"")</f>
        <v>Mixed</v>
      </c>
      <c r="T37" s="26" t="str">
        <f aca="false">IF(B37="","",DB_Colleges!AI31&amp;"")</f>
        <v>https://www.piedmont.edu/admissions-aid/apply/first-year-students/</v>
      </c>
      <c r="U37" s="1" t="n">
        <f aca="false">IF(AND(ISNUMBER($X$4),ISNUMBER(DB_Colleges!Z31),ISNUMBER(DB_Colleges!AA31)),IF($X$4&gt;=DB_Colleges!AA31,1,IF($X$4&lt;DB_Colleges!Z31,-1,0)),"")</f>
        <v>-1</v>
      </c>
      <c r="V37" s="1" t="n">
        <f aca="false">IF(AND(ISNUMBER($Y$4),ISNUMBER(DB_Colleges!AD31)),IF($Y$4&gt;=DB_Colleges!AD31+0.15,1,IF($Y$4&lt;DB_Colleges!AD31-0.2,-1,0)),"")</f>
        <v>0</v>
      </c>
      <c r="W37" s="1" t="n">
        <f aca="false">IF(COUNT(U37:V37)=0,0,MIN(U37:V37))</f>
        <v>-1</v>
      </c>
    </row>
    <row r="38" customFormat="false" ht="15" hidden="false" customHeight="true" outlineLevel="0" collapsed="false">
      <c r="A38" s="26" t="str">
        <f aca="false">IF(B38="","",IF(COUNTIF('My Colleges'!$B$8:$B$27,B38)&gt;0,"On list",""))</f>
        <v/>
      </c>
      <c r="B38" s="27" t="str">
        <f aca="false">IF(DB_Colleges!A32="","",DB_Colleges!A32)</f>
        <v>LaGrange College</v>
      </c>
      <c r="C38" s="26" t="str">
        <f aca="false">IF(B38="","",DB_Colleges!B32)</f>
        <v>Georgia Private</v>
      </c>
      <c r="D38" s="26" t="str">
        <f aca="false">IF(B38="","",DB_Colleges!C32&amp;", "&amp;DB_Colleges!D32)</f>
        <v>LaGrange, GA</v>
      </c>
      <c r="E38" s="26" t="str">
        <f aca="false">IF(B38="","",IF(AND(NOT(ISNUMBER($X$4)),NOT(ISNUMBER($Y$4))),"Add scores",IF(NOT(ISNUMBER(DB_Colleges!Y32)),IF(OR(C38="Ivy League",C38="Highly Selective"),"Reach",IF(COUNT(U38:V38)=0,"No data",CHOOSE(W38+2,"Reach","Target","Likely"))),IF(DB_Colleges!Y32&lt;0.15,"Reach",IF(DB_Colleges!Y32&gt;=0.75,IF(W38&gt;=0,"Likely","Target"),IF(DB_Colleges!Y32&gt;=0.4,CHOOSE(W38+2,"Reach","Target","Likely"),IF(W38=1,"Target","Reach")))))))</f>
        <v>Reach</v>
      </c>
      <c r="F38" s="28" t="n">
        <f aca="false">IF(OR(B38="",NOT(ISNUMBER(DB_Colleges!Y32))),"",DB_Colleges!Y32)</f>
        <v>0.621</v>
      </c>
      <c r="G38" s="26" t="str">
        <f aca="false">IF(OR(B38="",NOT(ISNUMBER(DB_Colleges!Z32))),"",DB_Colleges!Z32&amp;"-"&amp;DB_Colleges!AA32)</f>
        <v>980-1123</v>
      </c>
      <c r="H38" s="26" t="n">
        <f aca="false">IF(OR(B38="",NOT(ISNUMBER(DB_Colleges!AD32))),"",DB_Colleges!AD32)</f>
        <v>3.49</v>
      </c>
      <c r="I38" s="29" t="str">
        <f aca="false">IF(B38="","",IF(COUNT(DB_Colleges!I32:O32)=0,IF(DB_Colleges!P32="Yes","Rolling","Check site"),MIN(DB_Colleges!I32:O32)))</f>
        <v>Rolling</v>
      </c>
      <c r="J38" s="26" t="str">
        <f aca="false">IF(OR(B38="",COUNT(DB_Colleges!I32:O32)=0),"",INDEX({"ED","ED II","EA","EA II","REA","RD","Priority"},MATCH(MIN(DB_Colleges!I32:O32),DB_Colleges!I32:O32,0)))</f>
        <v/>
      </c>
      <c r="K38" s="29" t="str">
        <f aca="false">IF(OR(B38="",NOT(ISNUMBER(DB_Colleges!N32))),"",DB_Colleges!N32)</f>
        <v/>
      </c>
      <c r="L38" s="26" t="str">
        <f aca="false">IF(B38="","",DB_Colleges!G32&amp;"")</f>
        <v>School portal</v>
      </c>
      <c r="M38" s="30" t="n">
        <f aca="false">IF(OR(B38="",NOT(ISNUMBER(DB_Colleges!S32))),"",DB_Colleges!S32)</f>
        <v>0</v>
      </c>
      <c r="N38" s="26" t="str">
        <f aca="false">IF(B38="","",DB_Colleges!U32&amp;"")</f>
        <v>Blind</v>
      </c>
      <c r="O38" s="26" t="str">
        <f aca="false">IF(B38="","",IF(ISNUMBER(DB_Colleges!AH32),DB_Colleges!AH32,"Check"))</f>
        <v>Check</v>
      </c>
      <c r="P38" s="26" t="str">
        <f aca="false">IF(B38="","",DB_Colleges!W32&amp;"")</f>
        <v/>
      </c>
      <c r="Q38" s="30" t="n">
        <f aca="false">IF(OR(B38="",NOT(ISNUMBER(DB_Colleges!AF32))),"",DB_Colleges!AF32)</f>
        <v>20764</v>
      </c>
      <c r="R38" s="28" t="n">
        <f aca="false">IF(OR(B38="",NOT(ISNUMBER(DB_Colleges!AG32))),"",DB_Colleges!AG32)</f>
        <v>0.48</v>
      </c>
      <c r="S38" s="26" t="str">
        <f aca="false">IF(B38="","",DB_Colleges!AK32&amp;"")</f>
        <v>Mixed</v>
      </c>
      <c r="T38" s="26" t="str">
        <f aca="false">IF(B38="","",DB_Colleges!AI32&amp;"")</f>
        <v>https://www.lagrange.edu/ADMISSIONS/UNDERGRADUATE/dates-and-deadlines.html</v>
      </c>
      <c r="U38" s="1" t="n">
        <f aca="false">IF(AND(ISNUMBER($X$4),ISNUMBER(DB_Colleges!Z32),ISNUMBER(DB_Colleges!AA32)),IF($X$4&gt;=DB_Colleges!AA32,1,IF($X$4&lt;DB_Colleges!Z32,-1,0)),"")</f>
        <v>-1</v>
      </c>
      <c r="V38" s="1" t="n">
        <f aca="false">IF(AND(ISNUMBER($Y$4),ISNUMBER(DB_Colleges!AD32)),IF($Y$4&gt;=DB_Colleges!AD32+0.15,1,IF($Y$4&lt;DB_Colleges!AD32-0.2,-1,0)),"")</f>
        <v>0</v>
      </c>
      <c r="W38" s="1" t="n">
        <f aca="false">IF(COUNT(U38:V38)=0,0,MIN(U38:V38))</f>
        <v>-1</v>
      </c>
    </row>
    <row r="39" customFormat="false" ht="15" hidden="false" customHeight="true" outlineLevel="0" collapsed="false">
      <c r="A39" s="26" t="str">
        <f aca="false">IF(B39="","",IF(COUNTIF('My Colleges'!$B$8:$B$27,B39)&gt;0,"On list",""))</f>
        <v/>
      </c>
      <c r="B39" s="27" t="str">
        <f aca="false">IF(DB_Colleges!A33="","",DB_Colleges!A33)</f>
        <v>Wesleyan College</v>
      </c>
      <c r="C39" s="26" t="str">
        <f aca="false">IF(B39="","",DB_Colleges!B33)</f>
        <v>Georgia Private</v>
      </c>
      <c r="D39" s="26" t="str">
        <f aca="false">IF(B39="","",DB_Colleges!C33&amp;", "&amp;DB_Colleges!D33)</f>
        <v>Macon, GA</v>
      </c>
      <c r="E39" s="26" t="str">
        <f aca="false">IF(B39="","",IF(AND(NOT(ISNUMBER($X$4)),NOT(ISNUMBER($Y$4))),"Add scores",IF(NOT(ISNUMBER(DB_Colleges!Y33)),IF(OR(C39="Ivy League",C39="Highly Selective"),"Reach",IF(COUNT(U39:V39)=0,"No data",CHOOSE(W39+2,"Reach","Target","Likely"))),IF(DB_Colleges!Y33&lt;0.15,"Reach",IF(DB_Colleges!Y33&gt;=0.75,IF(W39&gt;=0,"Likely","Target"),IF(DB_Colleges!Y33&gt;=0.4,CHOOSE(W39+2,"Reach","Target","Likely"),IF(W39=1,"Target","Reach")))))))</f>
        <v>Reach</v>
      </c>
      <c r="F39" s="28" t="n">
        <f aca="false">IF(OR(B39="",NOT(ISNUMBER(DB_Colleges!Y33))),"",DB_Colleges!Y33)</f>
        <v>0.591</v>
      </c>
      <c r="G39" s="26" t="str">
        <f aca="false">IF(OR(B39="",NOT(ISNUMBER(DB_Colleges!Z33))),"",DB_Colleges!Z33&amp;"-"&amp;DB_Colleges!AA33)</f>
        <v>968-1116</v>
      </c>
      <c r="H39" s="26" t="n">
        <f aca="false">IF(OR(B39="",NOT(ISNUMBER(DB_Colleges!AD33))),"",DB_Colleges!AD33)</f>
        <v>3.28</v>
      </c>
      <c r="I39" s="29" t="str">
        <f aca="false">IF(B39="","",IF(COUNT(DB_Colleges!I33:O33)=0,IF(DB_Colleges!P33="Yes","Rolling","Check site"),MIN(DB_Colleges!I33:O33)))</f>
        <v>Rolling</v>
      </c>
      <c r="J39" s="26" t="str">
        <f aca="false">IF(OR(B39="",COUNT(DB_Colleges!I33:O33)=0),"",INDEX({"ED","ED II","EA","EA II","REA","RD","Priority"},MATCH(MIN(DB_Colleges!I33:O33),DB_Colleges!I33:O33,0)))</f>
        <v/>
      </c>
      <c r="K39" s="29" t="str">
        <f aca="false">IF(OR(B39="",NOT(ISNUMBER(DB_Colleges!N33))),"",DB_Colleges!N33)</f>
        <v/>
      </c>
      <c r="L39" s="26" t="str">
        <f aca="false">IF(B39="","",DB_Colleges!G33&amp;"")</f>
        <v>Common App; School portal</v>
      </c>
      <c r="M39" s="30" t="n">
        <f aca="false">IF(OR(B39="",NOT(ISNUMBER(DB_Colleges!S33))),"",DB_Colleges!S33)</f>
        <v>0</v>
      </c>
      <c r="N39" s="26" t="str">
        <f aca="false">IF(B39="","",DB_Colleges!U33&amp;"")</f>
        <v>Optional</v>
      </c>
      <c r="O39" s="26" t="n">
        <f aca="false">IF(B39="","",IF(ISNUMBER(DB_Colleges!AH33),DB_Colleges!AH33,"Check"))</f>
        <v>0</v>
      </c>
      <c r="P39" s="26" t="str">
        <f aca="false">IF(B39="","",DB_Colleges!W33&amp;"")</f>
        <v>Not required</v>
      </c>
      <c r="Q39" s="30" t="n">
        <f aca="false">IF(OR(B39="",NOT(ISNUMBER(DB_Colleges!AF33))),"",DB_Colleges!AF33)</f>
        <v>11045</v>
      </c>
      <c r="R39" s="28" t="n">
        <f aca="false">IF(OR(B39="",NOT(ISNUMBER(DB_Colleges!AG33))),"",DB_Colleges!AG33)</f>
        <v>0.52</v>
      </c>
      <c r="S39" s="26" t="str">
        <f aca="false">IF(B39="","",DB_Colleges!AK33&amp;"")</f>
        <v>Official 2026-27</v>
      </c>
      <c r="T39" s="26" t="str">
        <f aca="false">IF(B39="","",DB_Colleges!AI33&amp;"")</f>
        <v>https://www.wesleyancollege.edu/admission/undergraduate/admission-undergraduate.cfm</v>
      </c>
      <c r="U39" s="1" t="n">
        <f aca="false">IF(AND(ISNUMBER($X$4),ISNUMBER(DB_Colleges!Z33),ISNUMBER(DB_Colleges!AA33)),IF($X$4&gt;=DB_Colleges!AA33,1,IF($X$4&lt;DB_Colleges!Z33,-1,0)),"")</f>
        <v>-1</v>
      </c>
      <c r="V39" s="1" t="n">
        <f aca="false">IF(AND(ISNUMBER($Y$4),ISNUMBER(DB_Colleges!AD33)),IF($Y$4&gt;=DB_Colleges!AD33+0.15,1,IF($Y$4&lt;DB_Colleges!AD33-0.2,-1,0)),"")</f>
        <v>1</v>
      </c>
      <c r="W39" s="1" t="n">
        <f aca="false">IF(COUNT(U39:V39)=0,0,MIN(U39:V39))</f>
        <v>-1</v>
      </c>
    </row>
    <row r="40" customFormat="false" ht="15" hidden="false" customHeight="true" outlineLevel="0" collapsed="false">
      <c r="A40" s="26" t="str">
        <f aca="false">IF(B40="","",IF(COUNTIF('My Colleges'!$B$8:$B$27,B40)&gt;0,"On list",""))</f>
        <v/>
      </c>
      <c r="B40" s="27" t="str">
        <f aca="false">IF(DB_Colleges!A34="","",DB_Colleges!A34)</f>
        <v>Brenau University</v>
      </c>
      <c r="C40" s="26" t="str">
        <f aca="false">IF(B40="","",DB_Colleges!B34)</f>
        <v>Georgia Private</v>
      </c>
      <c r="D40" s="26" t="str">
        <f aca="false">IF(B40="","",DB_Colleges!C34&amp;", "&amp;DB_Colleges!D34)</f>
        <v>Gainesville, GA</v>
      </c>
      <c r="E40" s="26" t="str">
        <f aca="false">IF(B40="","",IF(AND(NOT(ISNUMBER($X$4)),NOT(ISNUMBER($Y$4))),"Add scores",IF(NOT(ISNUMBER(DB_Colleges!Y34)),IF(OR(C40="Ivy League",C40="Highly Selective"),"Reach",IF(COUNT(U40:V40)=0,"No data",CHOOSE(W40+2,"Reach","Target","Likely"))),IF(DB_Colleges!Y34&lt;0.15,"Reach",IF(DB_Colleges!Y34&gt;=0.75,IF(W40&gt;=0,"Likely","Target"),IF(DB_Colleges!Y34&gt;=0.4,CHOOSE(W40+2,"Reach","Target","Likely"),IF(W40=1,"Target","Reach")))))))</f>
        <v>Target</v>
      </c>
      <c r="F40" s="28" t="n">
        <f aca="false">IF(OR(B40="",NOT(ISNUMBER(DB_Colleges!Y34))),"",DB_Colleges!Y34)</f>
        <v>0.878</v>
      </c>
      <c r="G40" s="26" t="str">
        <f aca="false">IF(OR(B40="",NOT(ISNUMBER(DB_Colleges!Z34))),"",DB_Colleges!Z34&amp;"-"&amp;DB_Colleges!AA34)</f>
        <v>930-1200</v>
      </c>
      <c r="H40" s="26" t="n">
        <f aca="false">IF(OR(B40="",NOT(ISNUMBER(DB_Colleges!AD34))),"",DB_Colleges!AD34)</f>
        <v>3.39</v>
      </c>
      <c r="I40" s="29" t="str">
        <f aca="false">IF(B40="","",IF(COUNT(DB_Colleges!I34:O34)=0,IF(DB_Colleges!P34="Yes","Rolling","Check site"),MIN(DB_Colleges!I34:O34)))</f>
        <v>Rolling</v>
      </c>
      <c r="J40" s="26" t="str">
        <f aca="false">IF(OR(B40="",COUNT(DB_Colleges!I34:O34)=0),"",INDEX({"ED","ED II","EA","EA II","REA","RD","Priority"},MATCH(MIN(DB_Colleges!I34:O34),DB_Colleges!I34:O34,0)))</f>
        <v/>
      </c>
      <c r="K40" s="29" t="str">
        <f aca="false">IF(OR(B40="",NOT(ISNUMBER(DB_Colleges!N34))),"",DB_Colleges!N34)</f>
        <v/>
      </c>
      <c r="L40" s="26" t="str">
        <f aca="false">IF(B40="","",DB_Colleges!G34&amp;"")</f>
        <v>Common App; School portal</v>
      </c>
      <c r="M40" s="30" t="n">
        <f aca="false">IF(OR(B40="",NOT(ISNUMBER(DB_Colleges!S34))),"",DB_Colleges!S34)</f>
        <v>25</v>
      </c>
      <c r="N40" s="26" t="str">
        <f aca="false">IF(B40="","",DB_Colleges!U34&amp;"")</f>
        <v>Optional</v>
      </c>
      <c r="O40" s="26" t="str">
        <f aca="false">IF(B40="","",IF(ISNUMBER(DB_Colleges!AH34),DB_Colleges!AH34,"Check"))</f>
        <v>Check</v>
      </c>
      <c r="P40" s="26" t="str">
        <f aca="false">IF(B40="","",DB_Colleges!W34&amp;"")</f>
        <v/>
      </c>
      <c r="Q40" s="30" t="n">
        <f aca="false">IF(OR(B40="",NOT(ISNUMBER(DB_Colleges!AF34))),"",DB_Colleges!AF34)</f>
        <v>19481</v>
      </c>
      <c r="R40" s="28" t="n">
        <f aca="false">IF(OR(B40="",NOT(ISNUMBER(DB_Colleges!AG34))),"",DB_Colleges!AG34)</f>
        <v>0.44</v>
      </c>
      <c r="S40" s="26" t="str">
        <f aca="false">IF(B40="","",DB_Colleges!AK34&amp;"")</f>
        <v>Mixed</v>
      </c>
      <c r="T40" s="26" t="str">
        <f aca="false">IF(B40="","",DB_Colleges!AI34&amp;"")</f>
        <v>https://www.brenau.edu/admissions/freshman/</v>
      </c>
      <c r="U40" s="1" t="n">
        <f aca="false">IF(AND(ISNUMBER($X$4),ISNUMBER(DB_Colleges!Z34),ISNUMBER(DB_Colleges!AA34)),IF($X$4&gt;=DB_Colleges!AA34,1,IF($X$4&lt;DB_Colleges!Z34,-1,0)),"")</f>
        <v>-1</v>
      </c>
      <c r="V40" s="1" t="n">
        <f aca="false">IF(AND(ISNUMBER($Y$4),ISNUMBER(DB_Colleges!AD34)),IF($Y$4&gt;=DB_Colleges!AD34+0.15,1,IF($Y$4&lt;DB_Colleges!AD34-0.2,-1,0)),"")</f>
        <v>0</v>
      </c>
      <c r="W40" s="1" t="n">
        <f aca="false">IF(COUNT(U40:V40)=0,0,MIN(U40:V40))</f>
        <v>-1</v>
      </c>
    </row>
    <row r="41" customFormat="false" ht="15" hidden="false" customHeight="true" outlineLevel="0" collapsed="false">
      <c r="A41" s="26" t="str">
        <f aca="false">IF(B41="","",IF(COUNTIF('My Colleges'!$B$8:$B$27,B41)&gt;0,"On list",""))</f>
        <v/>
      </c>
      <c r="B41" s="27" t="str">
        <f aca="false">IF(DB_Colleges!A35="","",DB_Colleges!A35)</f>
        <v>Shorter University</v>
      </c>
      <c r="C41" s="26" t="str">
        <f aca="false">IF(B41="","",DB_Colleges!B35)</f>
        <v>Georgia Private</v>
      </c>
      <c r="D41" s="26" t="str">
        <f aca="false">IF(B41="","",DB_Colleges!C35&amp;", "&amp;DB_Colleges!D35)</f>
        <v>Rome, GA</v>
      </c>
      <c r="E41" s="26" t="str">
        <f aca="false">IF(B41="","",IF(AND(NOT(ISNUMBER($X$4)),NOT(ISNUMBER($Y$4))),"Add scores",IF(NOT(ISNUMBER(DB_Colleges!Y35)),IF(OR(C41="Ivy League",C41="Highly Selective"),"Reach",IF(COUNT(U41:V41)=0,"No data",CHOOSE(W41+2,"Reach","Target","Likely"))),IF(DB_Colleges!Y35&lt;0.15,"Reach",IF(DB_Colleges!Y35&gt;=0.75,IF(W41&gt;=0,"Likely","Target"),IF(DB_Colleges!Y35&gt;=0.4,CHOOSE(W41+2,"Reach","Target","Likely"),IF(W41=1,"Target","Reach")))))))</f>
        <v>Target</v>
      </c>
      <c r="F41" s="28" t="n">
        <f aca="false">IF(OR(B41="",NOT(ISNUMBER(DB_Colleges!Y35))),"",DB_Colleges!Y35)</f>
        <v>0.969</v>
      </c>
      <c r="G41" s="26" t="str">
        <f aca="false">IF(OR(B41="",NOT(ISNUMBER(DB_Colleges!Z35))),"",DB_Colleges!Z35&amp;"-"&amp;DB_Colleges!AA35)</f>
        <v>900-1130</v>
      </c>
      <c r="H41" s="26" t="n">
        <f aca="false">IF(OR(B41="",NOT(ISNUMBER(DB_Colleges!AD35))),"",DB_Colleges!AD35)</f>
        <v>3.25</v>
      </c>
      <c r="I41" s="29" t="str">
        <f aca="false">IF(B41="","",IF(COUNT(DB_Colleges!I35:O35)=0,IF(DB_Colleges!P35="Yes","Rolling","Check site"),MIN(DB_Colleges!I35:O35)))</f>
        <v>Rolling</v>
      </c>
      <c r="J41" s="26" t="str">
        <f aca="false">IF(OR(B41="",COUNT(DB_Colleges!I35:O35)=0),"",INDEX({"ED","ED II","EA","EA II","REA","RD","Priority"},MATCH(MIN(DB_Colleges!I35:O35),DB_Colleges!I35:O35,0)))</f>
        <v/>
      </c>
      <c r="K41" s="29" t="str">
        <f aca="false">IF(OR(B41="",NOT(ISNUMBER(DB_Colleges!N35))),"",DB_Colleges!N35)</f>
        <v/>
      </c>
      <c r="L41" s="26" t="str">
        <f aca="false">IF(B41="","",DB_Colleges!G35&amp;"")</f>
        <v>School portal</v>
      </c>
      <c r="M41" s="30" t="n">
        <f aca="false">IF(OR(B41="",NOT(ISNUMBER(DB_Colleges!S35))),"",DB_Colleges!S35)</f>
        <v>25</v>
      </c>
      <c r="N41" s="26" t="str">
        <f aca="false">IF(B41="","",DB_Colleges!U35&amp;"")</f>
        <v>Optional</v>
      </c>
      <c r="O41" s="26" t="str">
        <f aca="false">IF(B41="","",IF(ISNUMBER(DB_Colleges!AH35),DB_Colleges!AH35,"Check"))</f>
        <v>Check</v>
      </c>
      <c r="P41" s="26" t="str">
        <f aca="false">IF(B41="","",DB_Colleges!W35&amp;"")</f>
        <v/>
      </c>
      <c r="Q41" s="30" t="n">
        <f aca="false">IF(OR(B41="",NOT(ISNUMBER(DB_Colleges!AF35))),"",DB_Colleges!AF35)</f>
        <v>15929</v>
      </c>
      <c r="R41" s="28" t="n">
        <f aca="false">IF(OR(B41="",NOT(ISNUMBER(DB_Colleges!AG35))),"",DB_Colleges!AG35)</f>
        <v>0.47</v>
      </c>
      <c r="S41" s="26" t="str">
        <f aca="false">IF(B41="","",DB_Colleges!AK35&amp;"")</f>
        <v>Aggregator only</v>
      </c>
      <c r="T41" s="26" t="str">
        <f aca="false">IF(B41="","",DB_Colleges!AI35&amp;"")</f>
        <v>https://www.shorter.edu/admissions/</v>
      </c>
      <c r="U41" s="1" t="n">
        <f aca="false">IF(AND(ISNUMBER($X$4),ISNUMBER(DB_Colleges!Z35),ISNUMBER(DB_Colleges!AA35)),IF($X$4&gt;=DB_Colleges!AA35,1,IF($X$4&lt;DB_Colleges!Z35,-1,0)),"")</f>
        <v>-1</v>
      </c>
      <c r="V41" s="1" t="n">
        <f aca="false">IF(AND(ISNUMBER($Y$4),ISNUMBER(DB_Colleges!AD35)),IF($Y$4&gt;=DB_Colleges!AD35+0.15,1,IF($Y$4&lt;DB_Colleges!AD35-0.2,-1,0)),"")</f>
        <v>1</v>
      </c>
      <c r="W41" s="1" t="n">
        <f aca="false">IF(COUNT(U41:V41)=0,0,MIN(U41:V41))</f>
        <v>-1</v>
      </c>
    </row>
    <row r="42" customFormat="false" ht="15" hidden="false" customHeight="true" outlineLevel="0" collapsed="false">
      <c r="A42" s="26" t="str">
        <f aca="false">IF(B42="","",IF(COUNTIF('My Colleges'!$B$8:$B$27,B42)&gt;0,"On list",""))</f>
        <v/>
      </c>
      <c r="B42" s="27" t="str">
        <f aca="false">IF(DB_Colleges!A36="","",DB_Colleges!A36)</f>
        <v>Reinhardt University</v>
      </c>
      <c r="C42" s="26" t="str">
        <f aca="false">IF(B42="","",DB_Colleges!B36)</f>
        <v>Georgia Private</v>
      </c>
      <c r="D42" s="26" t="str">
        <f aca="false">IF(B42="","",DB_Colleges!C36&amp;", "&amp;DB_Colleges!D36)</f>
        <v>Waleska, GA</v>
      </c>
      <c r="E42" s="26" t="str">
        <f aca="false">IF(B42="","",IF(AND(NOT(ISNUMBER($X$4)),NOT(ISNUMBER($Y$4))),"Add scores",IF(NOT(ISNUMBER(DB_Colleges!Y36)),IF(OR(C42="Ivy League",C42="Highly Selective"),"Reach",IF(COUNT(U42:V42)=0,"No data",CHOOSE(W42+2,"Reach","Target","Likely"))),IF(DB_Colleges!Y36&lt;0.15,"Reach",IF(DB_Colleges!Y36&gt;=0.75,IF(W42&gt;=0,"Likely","Target"),IF(DB_Colleges!Y36&gt;=0.4,CHOOSE(W42+2,"Reach","Target","Likely"),IF(W42=1,"Target","Reach")))))))</f>
        <v>Reach</v>
      </c>
      <c r="F42" s="28" t="n">
        <f aca="false">IF(OR(B42="",NOT(ISNUMBER(DB_Colleges!Y36))),"",DB_Colleges!Y36)</f>
        <v>0.615</v>
      </c>
      <c r="G42" s="26" t="str">
        <f aca="false">IF(OR(B42="",NOT(ISNUMBER(DB_Colleges!Z36))),"",DB_Colleges!Z36&amp;"-"&amp;DB_Colleges!AA36)</f>
        <v>940-1160</v>
      </c>
      <c r="H42" s="26" t="n">
        <f aca="false">IF(OR(B42="",NOT(ISNUMBER(DB_Colleges!AD36))),"",DB_Colleges!AD36)</f>
        <v>3.25</v>
      </c>
      <c r="I42" s="29" t="str">
        <f aca="false">IF(B42="","",IF(COUNT(DB_Colleges!I36:O36)=0,IF(DB_Colleges!P36="Yes","Rolling","Check site"),MIN(DB_Colleges!I36:O36)))</f>
        <v>Rolling</v>
      </c>
      <c r="J42" s="26" t="str">
        <f aca="false">IF(OR(B42="",COUNT(DB_Colleges!I36:O36)=0),"",INDEX({"ED","ED II","EA","EA II","REA","RD","Priority"},MATCH(MIN(DB_Colleges!I36:O36),DB_Colleges!I36:O36,0)))</f>
        <v/>
      </c>
      <c r="K42" s="29" t="str">
        <f aca="false">IF(OR(B42="",NOT(ISNUMBER(DB_Colleges!N36))),"",DB_Colleges!N36)</f>
        <v/>
      </c>
      <c r="L42" s="26" t="str">
        <f aca="false">IF(B42="","",DB_Colleges!G36&amp;"")</f>
        <v>Common App; School portal</v>
      </c>
      <c r="M42" s="30" t="n">
        <f aca="false">IF(OR(B42="",NOT(ISNUMBER(DB_Colleges!S36))),"",DB_Colleges!S36)</f>
        <v>0</v>
      </c>
      <c r="N42" s="26" t="str">
        <f aca="false">IF(B42="","",DB_Colleges!U36&amp;"")</f>
        <v>Optional</v>
      </c>
      <c r="O42" s="26" t="str">
        <f aca="false">IF(B42="","",IF(ISNUMBER(DB_Colleges!AH36),DB_Colleges!AH36,"Check"))</f>
        <v>Check</v>
      </c>
      <c r="P42" s="26" t="str">
        <f aca="false">IF(B42="","",DB_Colleges!W36&amp;"")</f>
        <v/>
      </c>
      <c r="Q42" s="30" t="n">
        <f aca="false">IF(OR(B42="",NOT(ISNUMBER(DB_Colleges!AF36))),"",DB_Colleges!AF36)</f>
        <v>21877</v>
      </c>
      <c r="R42" s="28" t="n">
        <f aca="false">IF(OR(B42="",NOT(ISNUMBER(DB_Colleges!AG36))),"",DB_Colleges!AG36)</f>
        <v>0.47</v>
      </c>
      <c r="S42" s="26" t="str">
        <f aca="false">IF(B42="","",DB_Colleges!AK36&amp;"")</f>
        <v>Mixed</v>
      </c>
      <c r="T42" s="26" t="str">
        <f aca="false">IF(B42="","",DB_Colleges!AI36&amp;"")</f>
        <v>https://www.reinhardt.edu/admissions-aid/how-to-apply/</v>
      </c>
      <c r="U42" s="1" t="n">
        <f aca="false">IF(AND(ISNUMBER($X$4),ISNUMBER(DB_Colleges!Z36),ISNUMBER(DB_Colleges!AA36)),IF($X$4&gt;=DB_Colleges!AA36,1,IF($X$4&lt;DB_Colleges!Z36,-1,0)),"")</f>
        <v>-1</v>
      </c>
      <c r="V42" s="1" t="n">
        <f aca="false">IF(AND(ISNUMBER($Y$4),ISNUMBER(DB_Colleges!AD36)),IF($Y$4&gt;=DB_Colleges!AD36+0.15,1,IF($Y$4&lt;DB_Colleges!AD36-0.2,-1,0)),"")</f>
        <v>1</v>
      </c>
      <c r="W42" s="1" t="n">
        <f aca="false">IF(COUNT(U42:V42)=0,0,MIN(U42:V42))</f>
        <v>-1</v>
      </c>
    </row>
    <row r="43" customFormat="false" ht="15" hidden="false" customHeight="true" outlineLevel="0" collapsed="false">
      <c r="A43" s="26" t="str">
        <f aca="false">IF(B43="","",IF(COUNTIF('My Colleges'!$B$8:$B$27,B43)&gt;0,"On list",""))</f>
        <v/>
      </c>
      <c r="B43" s="27" t="str">
        <f aca="false">IF(DB_Colleges!A37="","",DB_Colleges!A37)</f>
        <v>Covenant College</v>
      </c>
      <c r="C43" s="26" t="str">
        <f aca="false">IF(B43="","",DB_Colleges!B37)</f>
        <v>Georgia Private</v>
      </c>
      <c r="D43" s="26" t="str">
        <f aca="false">IF(B43="","",DB_Colleges!C37&amp;", "&amp;DB_Colleges!D37)</f>
        <v>Lookout Mountain, GA</v>
      </c>
      <c r="E43" s="26" t="str">
        <f aca="false">IF(B43="","",IF(AND(NOT(ISNUMBER($X$4)),NOT(ISNUMBER($Y$4))),"Add scores",IF(NOT(ISNUMBER(DB_Colleges!Y37)),IF(OR(C43="Ivy League",C43="Highly Selective"),"Reach",IF(COUNT(U43:V43)=0,"No data",CHOOSE(W43+2,"Reach","Target","Likely"))),IF(DB_Colleges!Y37&lt;0.15,"Reach",IF(DB_Colleges!Y37&gt;=0.75,IF(W43&gt;=0,"Likely","Target"),IF(DB_Colleges!Y37&gt;=0.4,CHOOSE(W43+2,"Reach","Target","Likely"),IF(W43=1,"Target","Reach")))))))</f>
        <v>Target</v>
      </c>
      <c r="F43" s="28" t="n">
        <f aca="false">IF(OR(B43="",NOT(ISNUMBER(DB_Colleges!Y37))),"",DB_Colleges!Y37)</f>
        <v>0.865</v>
      </c>
      <c r="G43" s="26" t="str">
        <f aca="false">IF(OR(B43="",NOT(ISNUMBER(DB_Colleges!Z37))),"",DB_Colleges!Z37&amp;"-"&amp;DB_Colleges!AA37)</f>
        <v>1160-1380</v>
      </c>
      <c r="H43" s="26" t="n">
        <f aca="false">IF(OR(B43="",NOT(ISNUMBER(DB_Colleges!AD37))),"",DB_Colleges!AD37)</f>
        <v>3.7</v>
      </c>
      <c r="I43" s="29" t="n">
        <f aca="false">IF(B43="","",IF(COUNT(DB_Colleges!I37:O37)=0,IF(DB_Colleges!P37="Yes","Rolling","Check site"),MIN(DB_Colleges!I37:O37)))</f>
        <v>46336</v>
      </c>
      <c r="J43" s="26" t="str">
        <f aca="false">IF(OR(B43="",COUNT(DB_Colleges!I37:O37)=0),"",INDEX({"ED","ED II","EA","EA II","REA","RD","Priority"},MATCH(MIN(DB_Colleges!I37:O37),DB_Colleges!I37:O37,0)))</f>
        <v>ED</v>
      </c>
      <c r="K43" s="29" t="n">
        <f aca="false">IF(OR(B43="",NOT(ISNUMBER(DB_Colleges!N37))),"",DB_Colleges!N37)</f>
        <v>46447</v>
      </c>
      <c r="L43" s="26" t="str">
        <f aca="false">IF(B43="","",DB_Colleges!G37&amp;"")</f>
        <v>Common App; School portal</v>
      </c>
      <c r="M43" s="30" t="n">
        <f aca="false">IF(OR(B43="",NOT(ISNUMBER(DB_Colleges!S37))),"",DB_Colleges!S37)</f>
        <v>35</v>
      </c>
      <c r="N43" s="26" t="str">
        <f aca="false">IF(B43="","",DB_Colleges!U37&amp;"")</f>
        <v>Optional</v>
      </c>
      <c r="O43" s="26" t="str">
        <f aca="false">IF(B43="","",IF(ISNUMBER(DB_Colleges!AH37),DB_Colleges!AH37,"Check"))</f>
        <v>Check</v>
      </c>
      <c r="P43" s="26" t="str">
        <f aca="false">IF(B43="","",DB_Colleges!W37&amp;"")</f>
        <v/>
      </c>
      <c r="Q43" s="30" t="n">
        <f aca="false">IF(OR(B43="",NOT(ISNUMBER(DB_Colleges!AF37))),"",DB_Colleges!AF37)</f>
        <v>18310</v>
      </c>
      <c r="R43" s="28" t="n">
        <f aca="false">IF(OR(B43="",NOT(ISNUMBER(DB_Colleges!AG37))),"",DB_Colleges!AG37)</f>
        <v>0.51</v>
      </c>
      <c r="S43" s="26" t="str">
        <f aca="false">IF(B43="","",DB_Colleges!AK37&amp;"")</f>
        <v>Mixed</v>
      </c>
      <c r="T43" s="26" t="str">
        <f aca="false">IF(B43="","",DB_Colleges!AI37&amp;"")</f>
        <v>https://covenant.edu/admissions/</v>
      </c>
      <c r="U43" s="1" t="n">
        <f aca="false">IF(AND(ISNUMBER($X$4),ISNUMBER(DB_Colleges!Z37),ISNUMBER(DB_Colleges!AA37)),IF($X$4&gt;=DB_Colleges!AA37,1,IF($X$4&lt;DB_Colleges!Z37,-1,0)),"")</f>
        <v>-1</v>
      </c>
      <c r="V43" s="1" t="n">
        <f aca="false">IF(AND(ISNUMBER($Y$4),ISNUMBER(DB_Colleges!AD37)),IF($Y$4&gt;=DB_Colleges!AD37+0.15,1,IF($Y$4&lt;DB_Colleges!AD37-0.2,-1,0)),"")</f>
        <v>0</v>
      </c>
      <c r="W43" s="1" t="n">
        <f aca="false">IF(COUNT(U43:V43)=0,0,MIN(U43:V43))</f>
        <v>-1</v>
      </c>
    </row>
    <row r="44" customFormat="false" ht="15" hidden="false" customHeight="true" outlineLevel="0" collapsed="false">
      <c r="A44" s="26" t="str">
        <f aca="false">IF(B44="","",IF(COUNTIF('My Colleges'!$B$8:$B$27,B44)&gt;0,"On list",""))</f>
        <v/>
      </c>
      <c r="B44" s="27" t="str">
        <f aca="false">IF(DB_Colleges!A38="","",DB_Colleges!A38)</f>
        <v>Young Harris College</v>
      </c>
      <c r="C44" s="26" t="str">
        <f aca="false">IF(B44="","",DB_Colleges!B38)</f>
        <v>Georgia Private</v>
      </c>
      <c r="D44" s="26" t="str">
        <f aca="false">IF(B44="","",DB_Colleges!C38&amp;", "&amp;DB_Colleges!D38)</f>
        <v>Young Harris, GA</v>
      </c>
      <c r="E44" s="26" t="str">
        <f aca="false">IF(B44="","",IF(AND(NOT(ISNUMBER($X$4)),NOT(ISNUMBER($Y$4))),"Add scores",IF(NOT(ISNUMBER(DB_Colleges!Y38)),IF(OR(C44="Ivy League",C44="Highly Selective"),"Reach",IF(COUNT(U44:V44)=0,"No data",CHOOSE(W44+2,"Reach","Target","Likely"))),IF(DB_Colleges!Y38&lt;0.15,"Reach",IF(DB_Colleges!Y38&gt;=0.75,IF(W44&gt;=0,"Likely","Target"),IF(DB_Colleges!Y38&gt;=0.4,CHOOSE(W44+2,"Reach","Target","Likely"),IF(W44=1,"Target","Reach")))))))</f>
        <v>Reach</v>
      </c>
      <c r="F44" s="28" t="n">
        <f aca="false">IF(OR(B44="",NOT(ISNUMBER(DB_Colleges!Y38))),"",DB_Colleges!Y38)</f>
        <v>0.626</v>
      </c>
      <c r="G44" s="26" t="str">
        <f aca="false">IF(OR(B44="",NOT(ISNUMBER(DB_Colleges!Z38))),"",DB_Colleges!Z38&amp;"-"&amp;DB_Colleges!AA38)</f>
        <v>930-1160</v>
      </c>
      <c r="H44" s="26" t="n">
        <f aca="false">IF(OR(B44="",NOT(ISNUMBER(DB_Colleges!AD38))),"",DB_Colleges!AD38)</f>
        <v>3.15</v>
      </c>
      <c r="I44" s="29" t="str">
        <f aca="false">IF(B44="","",IF(COUNT(DB_Colleges!I38:O38)=0,IF(DB_Colleges!P38="Yes","Rolling","Check site"),MIN(DB_Colleges!I38:O38)))</f>
        <v>Rolling</v>
      </c>
      <c r="J44" s="26" t="str">
        <f aca="false">IF(OR(B44="",COUNT(DB_Colleges!I38:O38)=0),"",INDEX({"ED","ED II","EA","EA II","REA","RD","Priority"},MATCH(MIN(DB_Colleges!I38:O38),DB_Colleges!I38:O38,0)))</f>
        <v/>
      </c>
      <c r="K44" s="29" t="str">
        <f aca="false">IF(OR(B44="",NOT(ISNUMBER(DB_Colleges!N38))),"",DB_Colleges!N38)</f>
        <v/>
      </c>
      <c r="L44" s="26" t="str">
        <f aca="false">IF(B44="","",DB_Colleges!G38&amp;"")</f>
        <v>School portal</v>
      </c>
      <c r="M44" s="30" t="n">
        <f aca="false">IF(OR(B44="",NOT(ISNUMBER(DB_Colleges!S38))),"",DB_Colleges!S38)</f>
        <v>0</v>
      </c>
      <c r="N44" s="26" t="str">
        <f aca="false">IF(B44="","",DB_Colleges!U38&amp;"")</f>
        <v>Blind</v>
      </c>
      <c r="O44" s="26" t="str">
        <f aca="false">IF(B44="","",IF(ISNUMBER(DB_Colleges!AH38),DB_Colleges!AH38,"Check"))</f>
        <v>Check</v>
      </c>
      <c r="P44" s="26" t="str">
        <f aca="false">IF(B44="","",DB_Colleges!W38&amp;"")</f>
        <v/>
      </c>
      <c r="Q44" s="30" t="n">
        <f aca="false">IF(OR(B44="",NOT(ISNUMBER(DB_Colleges!AF38))),"",DB_Colleges!AF38)</f>
        <v>19721</v>
      </c>
      <c r="R44" s="28" t="str">
        <f aca="false">IF(OR(B44="",NOT(ISNUMBER(DB_Colleges!AG38))),"",DB_Colleges!AG38)</f>
        <v/>
      </c>
      <c r="S44" s="26" t="str">
        <f aca="false">IF(B44="","",DB_Colleges!AK38&amp;"")</f>
        <v>Aggregator only</v>
      </c>
      <c r="T44" s="26" t="str">
        <f aca="false">IF(B44="","",DB_Colleges!AI38&amp;"")</f>
        <v>https://www.yhc.edu/admissions/</v>
      </c>
      <c r="U44" s="1" t="n">
        <f aca="false">IF(AND(ISNUMBER($X$4),ISNUMBER(DB_Colleges!Z38),ISNUMBER(DB_Colleges!AA38)),IF($X$4&gt;=DB_Colleges!AA38,1,IF($X$4&lt;DB_Colleges!Z38,-1,0)),"")</f>
        <v>-1</v>
      </c>
      <c r="V44" s="1" t="n">
        <f aca="false">IF(AND(ISNUMBER($Y$4),ISNUMBER(DB_Colleges!AD38)),IF($Y$4&gt;=DB_Colleges!AD38+0.15,1,IF($Y$4&lt;DB_Colleges!AD38-0.2,-1,0)),"")</f>
        <v>1</v>
      </c>
      <c r="W44" s="1" t="n">
        <f aca="false">IF(COUNT(U44:V44)=0,0,MIN(U44:V44))</f>
        <v>-1</v>
      </c>
    </row>
    <row r="45" customFormat="false" ht="15" hidden="false" customHeight="true" outlineLevel="0" collapsed="false">
      <c r="A45" s="26" t="str">
        <f aca="false">IF(B45="","",IF(COUNTIF('My Colleges'!$B$8:$B$27,B45)&gt;0,"On list",""))</f>
        <v/>
      </c>
      <c r="B45" s="27" t="str">
        <f aca="false">IF(DB_Colleges!A39="","",DB_Colleges!A39)</f>
        <v>Point University</v>
      </c>
      <c r="C45" s="26" t="str">
        <f aca="false">IF(B45="","",DB_Colleges!B39)</f>
        <v>Georgia Private</v>
      </c>
      <c r="D45" s="26" t="str">
        <f aca="false">IF(B45="","",DB_Colleges!C39&amp;", "&amp;DB_Colleges!D39)</f>
        <v>West Point, GA</v>
      </c>
      <c r="E45" s="26" t="str">
        <f aca="false">IF(B45="","",IF(AND(NOT(ISNUMBER($X$4)),NOT(ISNUMBER($Y$4))),"Add scores",IF(NOT(ISNUMBER(DB_Colleges!Y39)),IF(OR(C45="Ivy League",C45="Highly Selective"),"Reach",IF(COUNT(U45:V45)=0,"No data",CHOOSE(W45+2,"Reach","Target","Likely"))),IF(DB_Colleges!Y39&lt;0.15,"Reach",IF(DB_Colleges!Y39&gt;=0.75,IF(W45&gt;=0,"Likely","Target"),IF(DB_Colleges!Y39&gt;=0.4,CHOOSE(W45+2,"Reach","Target","Likely"),IF(W45=1,"Target","Reach")))))))</f>
        <v>Reach</v>
      </c>
      <c r="F45" s="28" t="n">
        <f aca="false">IF(OR(B45="",NOT(ISNUMBER(DB_Colleges!Y39))),"",DB_Colleges!Y39)</f>
        <v>0.443</v>
      </c>
      <c r="G45" s="26" t="str">
        <f aca="false">IF(OR(B45="",NOT(ISNUMBER(DB_Colleges!Z39))),"",DB_Colleges!Z39&amp;"-"&amp;DB_Colleges!AA39)</f>
        <v>972-1237</v>
      </c>
      <c r="H45" s="26" t="n">
        <f aca="false">IF(OR(B45="",NOT(ISNUMBER(DB_Colleges!AD39))),"",DB_Colleges!AD39)</f>
        <v>3.41</v>
      </c>
      <c r="I45" s="29" t="str">
        <f aca="false">IF(B45="","",IF(COUNT(DB_Colleges!I39:O39)=0,IF(DB_Colleges!P39="Yes","Rolling","Check site"),MIN(DB_Colleges!I39:O39)))</f>
        <v>Rolling</v>
      </c>
      <c r="J45" s="26" t="str">
        <f aca="false">IF(OR(B45="",COUNT(DB_Colleges!I39:O39)=0),"",INDEX({"ED","ED II","EA","EA II","REA","RD","Priority"},MATCH(MIN(DB_Colleges!I39:O39),DB_Colleges!I39:O39,0)))</f>
        <v/>
      </c>
      <c r="K45" s="29" t="str">
        <f aca="false">IF(OR(B45="",NOT(ISNUMBER(DB_Colleges!N39))),"",DB_Colleges!N39)</f>
        <v/>
      </c>
      <c r="L45" s="26" t="str">
        <f aca="false">IF(B45="","",DB_Colleges!G39&amp;"")</f>
        <v>School portal</v>
      </c>
      <c r="M45" s="30" t="n">
        <f aca="false">IF(OR(B45="",NOT(ISNUMBER(DB_Colleges!S39))),"",DB_Colleges!S39)</f>
        <v>0</v>
      </c>
      <c r="N45" s="26" t="str">
        <f aca="false">IF(B45="","",DB_Colleges!U39&amp;"")</f>
        <v>Blind</v>
      </c>
      <c r="O45" s="26" t="str">
        <f aca="false">IF(B45="","",IF(ISNUMBER(DB_Colleges!AH39),DB_Colleges!AH39,"Check"))</f>
        <v>Check</v>
      </c>
      <c r="P45" s="26" t="str">
        <f aca="false">IF(B45="","",DB_Colleges!W39&amp;"")</f>
        <v/>
      </c>
      <c r="Q45" s="30" t="n">
        <f aca="false">IF(OR(B45="",NOT(ISNUMBER(DB_Colleges!AF39))),"",DB_Colleges!AF39)</f>
        <v>23992</v>
      </c>
      <c r="R45" s="28" t="n">
        <f aca="false">IF(OR(B45="",NOT(ISNUMBER(DB_Colleges!AG39))),"",DB_Colleges!AG39)</f>
        <v>0.39</v>
      </c>
      <c r="S45" s="26" t="str">
        <f aca="false">IF(B45="","",DB_Colleges!AK39&amp;"")</f>
        <v>Aggregator only</v>
      </c>
      <c r="T45" s="26" t="str">
        <f aca="false">IF(B45="","",DB_Colleges!AI39&amp;"")</f>
        <v>https://www.point.edu/admissions/</v>
      </c>
      <c r="U45" s="1" t="n">
        <f aca="false">IF(AND(ISNUMBER($X$4),ISNUMBER(DB_Colleges!Z39),ISNUMBER(DB_Colleges!AA39)),IF($X$4&gt;=DB_Colleges!AA39,1,IF($X$4&lt;DB_Colleges!Z39,-1,0)),"")</f>
        <v>-1</v>
      </c>
      <c r="V45" s="1" t="n">
        <f aca="false">IF(AND(ISNUMBER($Y$4),ISNUMBER(DB_Colleges!AD39)),IF($Y$4&gt;=DB_Colleges!AD39+0.15,1,IF($Y$4&lt;DB_Colleges!AD39-0.2,-1,0)),"")</f>
        <v>0</v>
      </c>
      <c r="W45" s="1" t="n">
        <f aca="false">IF(COUNT(U45:V45)=0,0,MIN(U45:V45))</f>
        <v>-1</v>
      </c>
    </row>
    <row r="46" customFormat="false" ht="15" hidden="false" customHeight="true" outlineLevel="0" collapsed="false">
      <c r="A46" s="26" t="str">
        <f aca="false">IF(B46="","",IF(COUNTIF('My Colleges'!$B$8:$B$27,B46)&gt;0,"On list",""))</f>
        <v/>
      </c>
      <c r="B46" s="27" t="str">
        <f aca="false">IF(DB_Colleges!A40="","",DB_Colleges!A40)</f>
        <v>Thomas University</v>
      </c>
      <c r="C46" s="26" t="str">
        <f aca="false">IF(B46="","",DB_Colleges!B40)</f>
        <v>Georgia Private</v>
      </c>
      <c r="D46" s="26" t="str">
        <f aca="false">IF(B46="","",DB_Colleges!C40&amp;", "&amp;DB_Colleges!D40)</f>
        <v>Thomasville, GA</v>
      </c>
      <c r="E46" s="26" t="str">
        <f aca="false">IF(B46="","",IF(AND(NOT(ISNUMBER($X$4)),NOT(ISNUMBER($Y$4))),"Add scores",IF(NOT(ISNUMBER(DB_Colleges!Y40)),IF(OR(C46="Ivy League",C46="Highly Selective"),"Reach",IF(COUNT(U46:V46)=0,"No data",CHOOSE(W46+2,"Reach","Target","Likely"))),IF(DB_Colleges!Y40&lt;0.15,"Reach",IF(DB_Colleges!Y40&gt;=0.75,IF(W46&gt;=0,"Likely","Target"),IF(DB_Colleges!Y40&gt;=0.4,CHOOSE(W46+2,"Reach","Target","Likely"),IF(W46=1,"Target","Reach")))))))</f>
        <v>Reach</v>
      </c>
      <c r="F46" s="28" t="n">
        <f aca="false">IF(OR(B46="",NOT(ISNUMBER(DB_Colleges!Y40))),"",DB_Colleges!Y40)</f>
        <v>0.383</v>
      </c>
      <c r="G46" s="26" t="str">
        <f aca="false">IF(OR(B46="",NOT(ISNUMBER(DB_Colleges!Z40))),"",DB_Colleges!Z40&amp;"-"&amp;DB_Colleges!AA40)</f>
        <v/>
      </c>
      <c r="H46" s="26" t="str">
        <f aca="false">IF(OR(B46="",NOT(ISNUMBER(DB_Colleges!AD40))),"",DB_Colleges!AD40)</f>
        <v/>
      </c>
      <c r="I46" s="29" t="str">
        <f aca="false">IF(B46="","",IF(COUNT(DB_Colleges!I40:O40)=0,IF(DB_Colleges!P40="Yes","Rolling","Check site"),MIN(DB_Colleges!I40:O40)))</f>
        <v>Rolling</v>
      </c>
      <c r="J46" s="26" t="str">
        <f aca="false">IF(OR(B46="",COUNT(DB_Colleges!I40:O40)=0),"",INDEX({"ED","ED II","EA","EA II","REA","RD","Priority"},MATCH(MIN(DB_Colleges!I40:O40),DB_Colleges!I40:O40,0)))</f>
        <v/>
      </c>
      <c r="K46" s="29" t="str">
        <f aca="false">IF(OR(B46="",NOT(ISNUMBER(DB_Colleges!N40))),"",DB_Colleges!N40)</f>
        <v/>
      </c>
      <c r="L46" s="26" t="str">
        <f aca="false">IF(B46="","",DB_Colleges!G40&amp;"")</f>
        <v>School portal</v>
      </c>
      <c r="M46" s="30" t="n">
        <f aca="false">IF(OR(B46="",NOT(ISNUMBER(DB_Colleges!S40))),"",DB_Colleges!S40)</f>
        <v>0</v>
      </c>
      <c r="N46" s="26" t="str">
        <f aca="false">IF(B46="","",DB_Colleges!U40&amp;"")</f>
        <v>Optional</v>
      </c>
      <c r="O46" s="26" t="str">
        <f aca="false">IF(B46="","",IF(ISNUMBER(DB_Colleges!AH40),DB_Colleges!AH40,"Check"))</f>
        <v>Check</v>
      </c>
      <c r="P46" s="26" t="str">
        <f aca="false">IF(B46="","",DB_Colleges!W40&amp;"")</f>
        <v/>
      </c>
      <c r="Q46" s="30" t="n">
        <f aca="false">IF(OR(B46="",NOT(ISNUMBER(DB_Colleges!AF40))),"",DB_Colleges!AF40)</f>
        <v>15640</v>
      </c>
      <c r="R46" s="28" t="n">
        <f aca="false">IF(OR(B46="",NOT(ISNUMBER(DB_Colleges!AG40))),"",DB_Colleges!AG40)</f>
        <v>0.08</v>
      </c>
      <c r="S46" s="26" t="str">
        <f aca="false">IF(B46="","",DB_Colleges!AK40&amp;"")</f>
        <v>Aggregator only</v>
      </c>
      <c r="T46" s="26" t="str">
        <f aca="false">IF(B46="","",DB_Colleges!AI40&amp;"")</f>
        <v>https://www.thomasu.edu/admissions/</v>
      </c>
      <c r="U46" s="1" t="str">
        <f aca="false">IF(AND(ISNUMBER($X$4),ISNUMBER(DB_Colleges!Z40),ISNUMBER(DB_Colleges!AA40)),IF($X$4&gt;=DB_Colleges!AA40,1,IF($X$4&lt;DB_Colleges!Z40,-1,0)),"")</f>
        <v/>
      </c>
      <c r="V46" s="1" t="str">
        <f aca="false">IF(AND(ISNUMBER($Y$4),ISNUMBER(DB_Colleges!AD40)),IF($Y$4&gt;=DB_Colleges!AD40+0.15,1,IF($Y$4&lt;DB_Colleges!AD40-0.2,-1,0)),"")</f>
        <v/>
      </c>
      <c r="W46" s="1" t="n">
        <f aca="false">IF(COUNT(U46:V46)=0,0,MIN(U46:V46))</f>
        <v>0</v>
      </c>
    </row>
    <row r="47" customFormat="false" ht="15" hidden="false" customHeight="true" outlineLevel="0" collapsed="false">
      <c r="A47" s="26" t="str">
        <f aca="false">IF(B47="","",IF(COUNTIF('My Colleges'!$B$8:$B$27,B47)&gt;0,"On list",""))</f>
        <v/>
      </c>
      <c r="B47" s="27" t="str">
        <f aca="false">IF(DB_Colleges!A41="","",DB_Colleges!A41)</f>
        <v>Toccoa Falls College</v>
      </c>
      <c r="C47" s="26" t="str">
        <f aca="false">IF(B47="","",DB_Colleges!B41)</f>
        <v>Georgia Private</v>
      </c>
      <c r="D47" s="26" t="str">
        <f aca="false">IF(B47="","",DB_Colleges!C41&amp;", "&amp;DB_Colleges!D41)</f>
        <v>Toccoa Falls, GA</v>
      </c>
      <c r="E47" s="26" t="str">
        <f aca="false">IF(B47="","",IF(AND(NOT(ISNUMBER($X$4)),NOT(ISNUMBER($Y$4))),"Add scores",IF(NOT(ISNUMBER(DB_Colleges!Y41)),IF(OR(C47="Ivy League",C47="Highly Selective"),"Reach",IF(COUNT(U47:V47)=0,"No data",CHOOSE(W47+2,"Reach","Target","Likely"))),IF(DB_Colleges!Y41&lt;0.15,"Reach",IF(DB_Colleges!Y41&gt;=0.75,IF(W47&gt;=0,"Likely","Target"),IF(DB_Colleges!Y41&gt;=0.4,CHOOSE(W47+2,"Reach","Target","Likely"),IF(W47=1,"Target","Reach")))))))</f>
        <v>Reach</v>
      </c>
      <c r="F47" s="28" t="n">
        <f aca="false">IF(OR(B47="",NOT(ISNUMBER(DB_Colleges!Y41))),"",DB_Colleges!Y41)</f>
        <v>0.638</v>
      </c>
      <c r="G47" s="26" t="str">
        <f aca="false">IF(OR(B47="",NOT(ISNUMBER(DB_Colleges!Z41))),"",DB_Colleges!Z41&amp;"-"&amp;DB_Colleges!AA41)</f>
        <v>1060-1250</v>
      </c>
      <c r="H47" s="26" t="n">
        <f aca="false">IF(OR(B47="",NOT(ISNUMBER(DB_Colleges!AD41))),"",DB_Colleges!AD41)</f>
        <v>3.5</v>
      </c>
      <c r="I47" s="29" t="str">
        <f aca="false">IF(B47="","",IF(COUNT(DB_Colleges!I41:O41)=0,IF(DB_Colleges!P41="Yes","Rolling","Check site"),MIN(DB_Colleges!I41:O41)))</f>
        <v>Rolling</v>
      </c>
      <c r="J47" s="26" t="str">
        <f aca="false">IF(OR(B47="",COUNT(DB_Colleges!I41:O41)=0),"",INDEX({"ED","ED II","EA","EA II","REA","RD","Priority"},MATCH(MIN(DB_Colleges!I41:O41),DB_Colleges!I41:O41,0)))</f>
        <v/>
      </c>
      <c r="K47" s="29" t="str">
        <f aca="false">IF(OR(B47="",NOT(ISNUMBER(DB_Colleges!N41))),"",DB_Colleges!N41)</f>
        <v/>
      </c>
      <c r="L47" s="26" t="str">
        <f aca="false">IF(B47="","",DB_Colleges!G41&amp;"")</f>
        <v>School portal</v>
      </c>
      <c r="M47" s="30" t="n">
        <f aca="false">IF(OR(B47="",NOT(ISNUMBER(DB_Colleges!S41))),"",DB_Colleges!S41)</f>
        <v>30</v>
      </c>
      <c r="N47" s="26" t="str">
        <f aca="false">IF(B47="","",DB_Colleges!U41&amp;"")</f>
        <v>Optional</v>
      </c>
      <c r="O47" s="26" t="str">
        <f aca="false">IF(B47="","",IF(ISNUMBER(DB_Colleges!AH41),DB_Colleges!AH41,"Check"))</f>
        <v>Check</v>
      </c>
      <c r="P47" s="26" t="str">
        <f aca="false">IF(B47="","",DB_Colleges!W41&amp;"")</f>
        <v/>
      </c>
      <c r="Q47" s="30" t="n">
        <f aca="false">IF(OR(B47="",NOT(ISNUMBER(DB_Colleges!AF41))),"",DB_Colleges!AF41)</f>
        <v>20825</v>
      </c>
      <c r="R47" s="28" t="n">
        <f aca="false">IF(OR(B47="",NOT(ISNUMBER(DB_Colleges!AG41))),"",DB_Colleges!AG41)</f>
        <v>0.48</v>
      </c>
      <c r="S47" s="26" t="str">
        <f aca="false">IF(B47="","",DB_Colleges!AK41&amp;"")</f>
        <v>Aggregator only</v>
      </c>
      <c r="T47" s="26" t="str">
        <f aca="false">IF(B47="","",DB_Colleges!AI41&amp;"")</f>
        <v>https://tfc.edu/admissions/</v>
      </c>
      <c r="U47" s="1" t="n">
        <f aca="false">IF(AND(ISNUMBER($X$4),ISNUMBER(DB_Colleges!Z41),ISNUMBER(DB_Colleges!AA41)),IF($X$4&gt;=DB_Colleges!AA41,1,IF($X$4&lt;DB_Colleges!Z41,-1,0)),"")</f>
        <v>-1</v>
      </c>
      <c r="V47" s="1" t="n">
        <f aca="false">IF(AND(ISNUMBER($Y$4),ISNUMBER(DB_Colleges!AD41)),IF($Y$4&gt;=DB_Colleges!AD41+0.15,1,IF($Y$4&lt;DB_Colleges!AD41-0.2,-1,0)),"")</f>
        <v>0</v>
      </c>
      <c r="W47" s="1" t="n">
        <f aca="false">IF(COUNT(U47:V47)=0,0,MIN(U47:V47))</f>
        <v>-1</v>
      </c>
    </row>
    <row r="48" customFormat="false" ht="15" hidden="false" customHeight="true" outlineLevel="0" collapsed="false">
      <c r="A48" s="26" t="str">
        <f aca="false">IF(B48="","",IF(COUNTIF('My Colleges'!$B$8:$B$27,B48)&gt;0,"On list",""))</f>
        <v/>
      </c>
      <c r="B48" s="27" t="str">
        <f aca="false">IF(DB_Colleges!A42="","",DB_Colleges!A42)</f>
        <v>Truett McConnell University</v>
      </c>
      <c r="C48" s="26" t="str">
        <f aca="false">IF(B48="","",DB_Colleges!B42)</f>
        <v>Georgia Private</v>
      </c>
      <c r="D48" s="26" t="str">
        <f aca="false">IF(B48="","",DB_Colleges!C42&amp;", "&amp;DB_Colleges!D42)</f>
        <v>Cleveland, GA</v>
      </c>
      <c r="E48" s="26" t="str">
        <f aca="false">IF(B48="","",IF(AND(NOT(ISNUMBER($X$4)),NOT(ISNUMBER($Y$4))),"Add scores",IF(NOT(ISNUMBER(DB_Colleges!Y42)),IF(OR(C48="Ivy League",C48="Highly Selective"),"Reach",IF(COUNT(U48:V48)=0,"No data",CHOOSE(W48+2,"Reach","Target","Likely"))),IF(DB_Colleges!Y42&lt;0.15,"Reach",IF(DB_Colleges!Y42&gt;=0.75,IF(W48&gt;=0,"Likely","Target"),IF(DB_Colleges!Y42&gt;=0.4,CHOOSE(W48+2,"Reach","Target","Likely"),IF(W48=1,"Target","Reach")))))))</f>
        <v>No data</v>
      </c>
      <c r="F48" s="28" t="str">
        <f aca="false">IF(OR(B48="",NOT(ISNUMBER(DB_Colleges!Y42))),"",DB_Colleges!Y42)</f>
        <v/>
      </c>
      <c r="G48" s="26" t="str">
        <f aca="false">IF(OR(B48="",NOT(ISNUMBER(DB_Colleges!Z42))),"",DB_Colleges!Z42&amp;"-"&amp;DB_Colleges!AA42)</f>
        <v/>
      </c>
      <c r="H48" s="26" t="str">
        <f aca="false">IF(OR(B48="",NOT(ISNUMBER(DB_Colleges!AD42))),"",DB_Colleges!AD42)</f>
        <v/>
      </c>
      <c r="I48" s="29" t="str">
        <f aca="false">IF(B48="","",IF(COUNT(DB_Colleges!I42:O42)=0,IF(DB_Colleges!P42="Yes","Rolling","Check site"),MIN(DB_Colleges!I42:O42)))</f>
        <v>Check site</v>
      </c>
      <c r="J48" s="26" t="str">
        <f aca="false">IF(OR(B48="",COUNT(DB_Colleges!I42:O42)=0),"",INDEX({"ED","ED II","EA","EA II","REA","RD","Priority"},MATCH(MIN(DB_Colleges!I42:O42),DB_Colleges!I42:O42,0)))</f>
        <v/>
      </c>
      <c r="K48" s="29" t="str">
        <f aca="false">IF(OR(B48="",NOT(ISNUMBER(DB_Colleges!N42))),"",DB_Colleges!N42)</f>
        <v/>
      </c>
      <c r="L48" s="26" t="str">
        <f aca="false">IF(B48="","",DB_Colleges!G42&amp;"")</f>
        <v>School portal</v>
      </c>
      <c r="M48" s="30" t="str">
        <f aca="false">IF(OR(B48="",NOT(ISNUMBER(DB_Colleges!S42))),"",DB_Colleges!S42)</f>
        <v/>
      </c>
      <c r="N48" s="26" t="str">
        <f aca="false">IF(B48="","",DB_Colleges!U42&amp;"")</f>
        <v/>
      </c>
      <c r="O48" s="26" t="str">
        <f aca="false">IF(B48="","",IF(ISNUMBER(DB_Colleges!AH42),DB_Colleges!AH42,"Check"))</f>
        <v>Check</v>
      </c>
      <c r="P48" s="26" t="str">
        <f aca="false">IF(B48="","",DB_Colleges!W42&amp;"")</f>
        <v/>
      </c>
      <c r="Q48" s="30" t="n">
        <f aca="false">IF(OR(B48="",NOT(ISNUMBER(DB_Colleges!AF42))),"",DB_Colleges!AF42)</f>
        <v>21274</v>
      </c>
      <c r="R48" s="28" t="str">
        <f aca="false">IF(OR(B48="",NOT(ISNUMBER(DB_Colleges!AG42))),"",DB_Colleges!AG42)</f>
        <v/>
      </c>
      <c r="S48" s="26" t="str">
        <f aca="false">IF(B48="","",DB_Colleges!AK42&amp;"")</f>
        <v>Aggregator only</v>
      </c>
      <c r="T48" s="26" t="str">
        <f aca="false">IF(B48="","",DB_Colleges!AI42&amp;"")</f>
        <v>https://truett.edu/admissions/</v>
      </c>
      <c r="U48" s="1" t="str">
        <f aca="false">IF(AND(ISNUMBER($X$4),ISNUMBER(DB_Colleges!Z42),ISNUMBER(DB_Colleges!AA42)),IF($X$4&gt;=DB_Colleges!AA42,1,IF($X$4&lt;DB_Colleges!Z42,-1,0)),"")</f>
        <v/>
      </c>
      <c r="V48" s="1" t="str">
        <f aca="false">IF(AND(ISNUMBER($Y$4),ISNUMBER(DB_Colleges!AD42)),IF($Y$4&gt;=DB_Colleges!AD42+0.15,1,IF($Y$4&lt;DB_Colleges!AD42-0.2,-1,0)),"")</f>
        <v/>
      </c>
      <c r="W48" s="1" t="n">
        <f aca="false">IF(COUNT(U48:V48)=0,0,MIN(U48:V48))</f>
        <v>0</v>
      </c>
    </row>
    <row r="49" customFormat="false" ht="15" hidden="false" customHeight="true" outlineLevel="0" collapsed="false">
      <c r="A49" s="26" t="str">
        <f aca="false">IF(B49="","",IF(COUNTIF('My Colleges'!$B$8:$B$27,B49)&gt;0,"On list",""))</f>
        <v/>
      </c>
      <c r="B49" s="27" t="str">
        <f aca="false">IF(DB_Colleges!A43="","",DB_Colleges!A43)</f>
        <v>Morehouse College</v>
      </c>
      <c r="C49" s="26" t="str">
        <f aca="false">IF(B49="","",DB_Colleges!B43)</f>
        <v>HBCU (Georgia)</v>
      </c>
      <c r="D49" s="26" t="str">
        <f aca="false">IF(B49="","",DB_Colleges!C43&amp;", "&amp;DB_Colleges!D43)</f>
        <v>Atlanta, GA</v>
      </c>
      <c r="E49" s="26" t="str">
        <f aca="false">IF(B49="","",IF(AND(NOT(ISNUMBER($X$4)),NOT(ISNUMBER($Y$4))),"Add scores",IF(NOT(ISNUMBER(DB_Colleges!Y43)),IF(OR(C49="Ivy League",C49="Highly Selective"),"Reach",IF(COUNT(U49:V49)=0,"No data",CHOOSE(W49+2,"Reach","Target","Likely"))),IF(DB_Colleges!Y43&lt;0.15,"Reach",IF(DB_Colleges!Y43&gt;=0.75,IF(W49&gt;=0,"Likely","Target"),IF(DB_Colleges!Y43&gt;=0.4,CHOOSE(W49+2,"Reach","Target","Likely"),IF(W49=1,"Target","Reach")))))))</f>
        <v>Target</v>
      </c>
      <c r="F49" s="28" t="n">
        <f aca="false">IF(OR(B49="",NOT(ISNUMBER(DB_Colleges!Y43))),"",DB_Colleges!Y43)</f>
        <v>0.44</v>
      </c>
      <c r="G49" s="26" t="str">
        <f aca="false">IF(OR(B49="",NOT(ISNUMBER(DB_Colleges!Z43))),"",DB_Colleges!Z43&amp;"-"&amp;DB_Colleges!AA43)</f>
        <v/>
      </c>
      <c r="H49" s="26" t="n">
        <f aca="false">IF(OR(B49="",NOT(ISNUMBER(DB_Colleges!AD43))),"",DB_Colleges!AD43)</f>
        <v>3.48</v>
      </c>
      <c r="I49" s="29" t="n">
        <f aca="false">IF(B49="","",IF(COUNT(DB_Colleges!I43:O43)=0,IF(DB_Colleges!P43="Yes","Rolling","Check site"),MIN(DB_Colleges!I43:O43)))</f>
        <v>46327</v>
      </c>
      <c r="J49" s="26" t="str">
        <f aca="false">IF(OR(B49="",COUNT(DB_Colleges!I43:O43)=0),"",INDEX({"ED","ED II","EA","EA II","REA","RD","Priority"},MATCH(MIN(DB_Colleges!I43:O43),DB_Colleges!I43:O43,0)))</f>
        <v>ED</v>
      </c>
      <c r="K49" s="29" t="n">
        <f aca="false">IF(OR(B49="",NOT(ISNUMBER(DB_Colleges!N43))),"",DB_Colleges!N43)</f>
        <v>46419</v>
      </c>
      <c r="L49" s="26" t="str">
        <f aca="false">IF(B49="","",DB_Colleges!G43&amp;"")</f>
        <v>Common App; School portal</v>
      </c>
      <c r="M49" s="30" t="n">
        <f aca="false">IF(OR(B49="",NOT(ISNUMBER(DB_Colleges!S43))),"",DB_Colleges!S43)</f>
        <v>50</v>
      </c>
      <c r="N49" s="26" t="str">
        <f aca="false">IF(B49="","",DB_Colleges!U43&amp;"")</f>
        <v>Optional</v>
      </c>
      <c r="O49" s="26" t="str">
        <f aca="false">IF(B49="","",IF(ISNUMBER(DB_Colleges!AH43),DB_Colleges!AH43,"Check"))</f>
        <v>Check</v>
      </c>
      <c r="P49" s="26" t="str">
        <f aca="false">IF(B49="","",DB_Colleges!W43&amp;"")</f>
        <v/>
      </c>
      <c r="Q49" s="30" t="n">
        <f aca="false">IF(OR(B49="",NOT(ISNUMBER(DB_Colleges!AF43))),"",DB_Colleges!AF43)</f>
        <v>36359</v>
      </c>
      <c r="R49" s="28" t="n">
        <f aca="false">IF(OR(B49="",NOT(ISNUMBER(DB_Colleges!AG43))),"",DB_Colleges!AG43)</f>
        <v>0.55</v>
      </c>
      <c r="S49" s="26" t="str">
        <f aca="false">IF(B49="","",DB_Colleges!AK43&amp;"")</f>
        <v>Mixed</v>
      </c>
      <c r="T49" s="26" t="str">
        <f aca="false">IF(B49="","",DB_Colleges!AI43&amp;"")</f>
        <v>https://www.morehouse.edu/admissions/</v>
      </c>
      <c r="U49" s="1" t="str">
        <f aca="false">IF(AND(ISNUMBER($X$4),ISNUMBER(DB_Colleges!Z43),ISNUMBER(DB_Colleges!AA43)),IF($X$4&gt;=DB_Colleges!AA43,1,IF($X$4&lt;DB_Colleges!Z43,-1,0)),"")</f>
        <v/>
      </c>
      <c r="V49" s="1" t="n">
        <f aca="false">IF(AND(ISNUMBER($Y$4),ISNUMBER(DB_Colleges!AD43)),IF($Y$4&gt;=DB_Colleges!AD43+0.15,1,IF($Y$4&lt;DB_Colleges!AD43-0.2,-1,0)),"")</f>
        <v>0</v>
      </c>
      <c r="W49" s="1" t="n">
        <f aca="false">IF(COUNT(U49:V49)=0,0,MIN(U49:V49))</f>
        <v>0</v>
      </c>
    </row>
    <row r="50" customFormat="false" ht="15" hidden="false" customHeight="true" outlineLevel="0" collapsed="false">
      <c r="A50" s="26" t="str">
        <f aca="false">IF(B50="","",IF(COUNTIF('My Colleges'!$B$8:$B$27,B50)&gt;0,"On list",""))</f>
        <v/>
      </c>
      <c r="B50" s="27" t="str">
        <f aca="false">IF(DB_Colleges!A44="","",DB_Colleges!A44)</f>
        <v>Spelman College</v>
      </c>
      <c r="C50" s="26" t="str">
        <f aca="false">IF(B50="","",DB_Colleges!B44)</f>
        <v>HBCU (Georgia)</v>
      </c>
      <c r="D50" s="26" t="str">
        <f aca="false">IF(B50="","",DB_Colleges!C44&amp;", "&amp;DB_Colleges!D44)</f>
        <v>Atlanta, GA</v>
      </c>
      <c r="E50" s="26" t="str">
        <f aca="false">IF(B50="","",IF(AND(NOT(ISNUMBER($X$4)),NOT(ISNUMBER($Y$4))),"Add scores",IF(NOT(ISNUMBER(DB_Colleges!Y44)),IF(OR(C50="Ivy League",C50="Highly Selective"),"Reach",IF(COUNT(U50:V50)=0,"No data",CHOOSE(W50+2,"Reach","Target","Likely"))),IF(DB_Colleges!Y44&lt;0.15,"Reach",IF(DB_Colleges!Y44&gt;=0.75,IF(W50&gt;=0,"Likely","Target"),IF(DB_Colleges!Y44&gt;=0.4,CHOOSE(W50+2,"Reach","Target","Likely"),IF(W50=1,"Target","Reach")))))))</f>
        <v>Reach</v>
      </c>
      <c r="F50" s="28" t="n">
        <f aca="false">IF(OR(B50="",NOT(ISNUMBER(DB_Colleges!Y44))),"",DB_Colleges!Y44)</f>
        <v>0.249</v>
      </c>
      <c r="G50" s="26" t="str">
        <f aca="false">IF(OR(B50="",NOT(ISNUMBER(DB_Colleges!Z44))),"",DB_Colleges!Z44&amp;"-"&amp;DB_Colleges!AA44)</f>
        <v>1108-1320</v>
      </c>
      <c r="H50" s="26" t="n">
        <f aca="false">IF(OR(B50="",NOT(ISNUMBER(DB_Colleges!AD44))),"",DB_Colleges!AD44)</f>
        <v>3.75</v>
      </c>
      <c r="I50" s="29" t="n">
        <f aca="false">IF(B50="","",IF(COUNT(DB_Colleges!I44:O44)=0,IF(DB_Colleges!P44="Yes","Rolling","Check site"),MIN(DB_Colleges!I44:O44)))</f>
        <v>46327</v>
      </c>
      <c r="J50" s="26" t="str">
        <f aca="false">IF(OR(B50="",COUNT(DB_Colleges!I44:O44)=0),"",INDEX({"ED","ED II","EA","EA II","REA","RD","Priority"},MATCH(MIN(DB_Colleges!I44:O44),DB_Colleges!I44:O44,0)))</f>
        <v>ED</v>
      </c>
      <c r="K50" s="29" t="n">
        <f aca="false">IF(OR(B50="",NOT(ISNUMBER(DB_Colleges!N44))),"",DB_Colleges!N44)</f>
        <v>46419</v>
      </c>
      <c r="L50" s="26" t="str">
        <f aca="false">IF(B50="","",DB_Colleges!G44&amp;"")</f>
        <v>Common App</v>
      </c>
      <c r="M50" s="30" t="n">
        <f aca="false">IF(OR(B50="",NOT(ISNUMBER(DB_Colleges!S44))),"",DB_Colleges!S44)</f>
        <v>40</v>
      </c>
      <c r="N50" s="26" t="str">
        <f aca="false">IF(B50="","",DB_Colleges!U44&amp;"")</f>
        <v>Optional</v>
      </c>
      <c r="O50" s="26" t="str">
        <f aca="false">IF(B50="","",IF(ISNUMBER(DB_Colleges!AH44),DB_Colleges!AH44,"Check"))</f>
        <v>Check</v>
      </c>
      <c r="P50" s="26" t="str">
        <f aca="false">IF(B50="","",DB_Colleges!W44&amp;"")</f>
        <v/>
      </c>
      <c r="Q50" s="30" t="n">
        <f aca="false">IF(OR(B50="",NOT(ISNUMBER(DB_Colleges!AF44))),"",DB_Colleges!AF44)</f>
        <v>32923</v>
      </c>
      <c r="R50" s="28" t="n">
        <f aca="false">IF(OR(B50="",NOT(ISNUMBER(DB_Colleges!AG44))),"",DB_Colleges!AG44)</f>
        <v>0.77</v>
      </c>
      <c r="S50" s="26" t="str">
        <f aca="false">IF(B50="","",DB_Colleges!AK44&amp;"")</f>
        <v>Typical dates, confirm</v>
      </c>
      <c r="T50" s="26" t="str">
        <f aca="false">IF(B50="","",DB_Colleges!AI44&amp;"")</f>
        <v>https://www.spelman.edu/admissions-aid/</v>
      </c>
      <c r="U50" s="1" t="n">
        <f aca="false">IF(AND(ISNUMBER($X$4),ISNUMBER(DB_Colleges!Z44),ISNUMBER(DB_Colleges!AA44)),IF($X$4&gt;=DB_Colleges!AA44,1,IF($X$4&lt;DB_Colleges!Z44,-1,0)),"")</f>
        <v>-1</v>
      </c>
      <c r="V50" s="1" t="n">
        <f aca="false">IF(AND(ISNUMBER($Y$4),ISNUMBER(DB_Colleges!AD44)),IF($Y$4&gt;=DB_Colleges!AD44+0.15,1,IF($Y$4&lt;DB_Colleges!AD44-0.2,-1,0)),"")</f>
        <v>-1</v>
      </c>
      <c r="W50" s="1" t="n">
        <f aca="false">IF(COUNT(U50:V50)=0,0,MIN(U50:V50))</f>
        <v>-1</v>
      </c>
    </row>
    <row r="51" customFormat="false" ht="15" hidden="false" customHeight="true" outlineLevel="0" collapsed="false">
      <c r="A51" s="26" t="str">
        <f aca="false">IF(B51="","",IF(COUNTIF('My Colleges'!$B$8:$B$27,B51)&gt;0,"On list",""))</f>
        <v/>
      </c>
      <c r="B51" s="27" t="str">
        <f aca="false">IF(DB_Colleges!A45="","",DB_Colleges!A45)</f>
        <v>Clark Atlanta University</v>
      </c>
      <c r="C51" s="26" t="str">
        <f aca="false">IF(B51="","",DB_Colleges!B45)</f>
        <v>HBCU (Georgia)</v>
      </c>
      <c r="D51" s="26" t="str">
        <f aca="false">IF(B51="","",DB_Colleges!C45&amp;", "&amp;DB_Colleges!D45)</f>
        <v>Atlanta, GA</v>
      </c>
      <c r="E51" s="26" t="str">
        <f aca="false">IF(B51="","",IF(AND(NOT(ISNUMBER($X$4)),NOT(ISNUMBER($Y$4))),"Add scores",IF(NOT(ISNUMBER(DB_Colleges!Y45)),IF(OR(C51="Ivy League",C51="Highly Selective"),"Reach",IF(COUNT(U51:V51)=0,"No data",CHOOSE(W51+2,"Reach","Target","Likely"))),IF(DB_Colleges!Y45&lt;0.15,"Reach",IF(DB_Colleges!Y45&gt;=0.75,IF(W51&gt;=0,"Likely","Target"),IF(DB_Colleges!Y45&gt;=0.4,CHOOSE(W51+2,"Reach","Target","Likely"),IF(W51=1,"Target","Reach")))))))</f>
        <v>Reach</v>
      </c>
      <c r="F51" s="28" t="n">
        <f aca="false">IF(OR(B51="",NOT(ISNUMBER(DB_Colleges!Y45))),"",DB_Colleges!Y45)</f>
        <v>0.642</v>
      </c>
      <c r="G51" s="26" t="str">
        <f aca="false">IF(OR(B51="",NOT(ISNUMBER(DB_Colleges!Z45))),"",DB_Colleges!Z45&amp;"-"&amp;DB_Colleges!AA45)</f>
        <v>880-1120</v>
      </c>
      <c r="H51" s="26" t="n">
        <f aca="false">IF(OR(B51="",NOT(ISNUMBER(DB_Colleges!AD45))),"",DB_Colleges!AD45)</f>
        <v>3.28</v>
      </c>
      <c r="I51" s="29" t="n">
        <f aca="false">IF(B51="","",IF(COUNT(DB_Colleges!I45:O45)=0,IF(DB_Colleges!P45="Yes","Rolling","Check site"),MIN(DB_Colleges!I45:O45)))</f>
        <v>46327</v>
      </c>
      <c r="J51" s="26" t="str">
        <f aca="false">IF(OR(B51="",COUNT(DB_Colleges!I45:O45)=0),"",INDEX({"ED","ED II","EA","EA II","REA","RD","Priority"},MATCH(MIN(DB_Colleges!I45:O45),DB_Colleges!I45:O45,0)))</f>
        <v>ED</v>
      </c>
      <c r="K51" s="29" t="n">
        <f aca="false">IF(OR(B51="",NOT(ISNUMBER(DB_Colleges!N45))),"",DB_Colleges!N45)</f>
        <v>46478</v>
      </c>
      <c r="L51" s="26" t="str">
        <f aca="false">IF(B51="","",DB_Colleges!G45&amp;"")</f>
        <v>Common App; School portal</v>
      </c>
      <c r="M51" s="30" t="n">
        <f aca="false">IF(OR(B51="",NOT(ISNUMBER(DB_Colleges!S45))),"",DB_Colleges!S45)</f>
        <v>35</v>
      </c>
      <c r="N51" s="26" t="str">
        <f aca="false">IF(B51="","",DB_Colleges!U45&amp;"")</f>
        <v>Optional</v>
      </c>
      <c r="O51" s="26" t="str">
        <f aca="false">IF(B51="","",IF(ISNUMBER(DB_Colleges!AH45),DB_Colleges!AH45,"Check"))</f>
        <v>Check</v>
      </c>
      <c r="P51" s="26" t="str">
        <f aca="false">IF(B51="","",DB_Colleges!W45&amp;"")</f>
        <v/>
      </c>
      <c r="Q51" s="30" t="n">
        <f aca="false">IF(OR(B51="",NOT(ISNUMBER(DB_Colleges!AF45))),"",DB_Colleges!AF45)</f>
        <v>37356</v>
      </c>
      <c r="R51" s="28" t="n">
        <f aca="false">IF(OR(B51="",NOT(ISNUMBER(DB_Colleges!AG45))),"",DB_Colleges!AG45)</f>
        <v>0.41</v>
      </c>
      <c r="S51" s="26" t="str">
        <f aca="false">IF(B51="","",DB_Colleges!AK45&amp;"")</f>
        <v>Mixed</v>
      </c>
      <c r="T51" s="26" t="str">
        <f aca="false">IF(B51="","",DB_Colleges!AI45&amp;"")</f>
        <v>https://www.cau.edu/admissions/</v>
      </c>
      <c r="U51" s="1" t="n">
        <f aca="false">IF(AND(ISNUMBER($X$4),ISNUMBER(DB_Colleges!Z45),ISNUMBER(DB_Colleges!AA45)),IF($X$4&gt;=DB_Colleges!AA45,1,IF($X$4&lt;DB_Colleges!Z45,-1,0)),"")</f>
        <v>-1</v>
      </c>
      <c r="V51" s="1" t="n">
        <f aca="false">IF(AND(ISNUMBER($Y$4),ISNUMBER(DB_Colleges!AD45)),IF($Y$4&gt;=DB_Colleges!AD45+0.15,1,IF($Y$4&lt;DB_Colleges!AD45-0.2,-1,0)),"")</f>
        <v>1</v>
      </c>
      <c r="W51" s="1" t="n">
        <f aca="false">IF(COUNT(U51:V51)=0,0,MIN(U51:V51))</f>
        <v>-1</v>
      </c>
    </row>
    <row r="52" customFormat="false" ht="15" hidden="false" customHeight="true" outlineLevel="0" collapsed="false">
      <c r="A52" s="26" t="str">
        <f aca="false">IF(B52="","",IF(COUNTIF('My Colleges'!$B$8:$B$27,B52)&gt;0,"On list",""))</f>
        <v/>
      </c>
      <c r="B52" s="27" t="str">
        <f aca="false">IF(DB_Colleges!A46="","",DB_Colleges!A46)</f>
        <v>Morris Brown College</v>
      </c>
      <c r="C52" s="26" t="str">
        <f aca="false">IF(B52="","",DB_Colleges!B46)</f>
        <v>HBCU (Georgia)</v>
      </c>
      <c r="D52" s="26" t="str">
        <f aca="false">IF(B52="","",DB_Colleges!C46&amp;", "&amp;DB_Colleges!D46)</f>
        <v>Atlanta, GA</v>
      </c>
      <c r="E52" s="26" t="str">
        <f aca="false">IF(B52="","",IF(AND(NOT(ISNUMBER($X$4)),NOT(ISNUMBER($Y$4))),"Add scores",IF(NOT(ISNUMBER(DB_Colleges!Y46)),IF(OR(C52="Ivy League",C52="Highly Selective"),"Reach",IF(COUNT(U52:V52)=0,"No data",CHOOSE(W52+2,"Reach","Target","Likely"))),IF(DB_Colleges!Y46&lt;0.15,"Reach",IF(DB_Colleges!Y46&gt;=0.75,IF(W52&gt;=0,"Likely","Target"),IF(DB_Colleges!Y46&gt;=0.4,CHOOSE(W52+2,"Reach","Target","Likely"),IF(W52=1,"Target","Reach")))))))</f>
        <v>No data</v>
      </c>
      <c r="F52" s="28" t="str">
        <f aca="false">IF(OR(B52="",NOT(ISNUMBER(DB_Colleges!Y46))),"",DB_Colleges!Y46)</f>
        <v/>
      </c>
      <c r="G52" s="26" t="str">
        <f aca="false">IF(OR(B52="",NOT(ISNUMBER(DB_Colleges!Z46))),"",DB_Colleges!Z46&amp;"-"&amp;DB_Colleges!AA46)</f>
        <v/>
      </c>
      <c r="H52" s="26" t="str">
        <f aca="false">IF(OR(B52="",NOT(ISNUMBER(DB_Colleges!AD46))),"",DB_Colleges!AD46)</f>
        <v/>
      </c>
      <c r="I52" s="29" t="str">
        <f aca="false">IF(B52="","",IF(COUNT(DB_Colleges!I46:O46)=0,IF(DB_Colleges!P46="Yes","Rolling","Check site"),MIN(DB_Colleges!I46:O46)))</f>
        <v>Check site</v>
      </c>
      <c r="J52" s="26" t="str">
        <f aca="false">IF(OR(B52="",COUNT(DB_Colleges!I46:O46)=0),"",INDEX({"ED","ED II","EA","EA II","REA","RD","Priority"},MATCH(MIN(DB_Colleges!I46:O46),DB_Colleges!I46:O46,0)))</f>
        <v/>
      </c>
      <c r="K52" s="29" t="str">
        <f aca="false">IF(OR(B52="",NOT(ISNUMBER(DB_Colleges!N46))),"",DB_Colleges!N46)</f>
        <v/>
      </c>
      <c r="L52" s="26" t="str">
        <f aca="false">IF(B52="","",DB_Colleges!G46&amp;"")</f>
        <v>Common App</v>
      </c>
      <c r="M52" s="30" t="n">
        <f aca="false">IF(OR(B52="",NOT(ISNUMBER(DB_Colleges!S46))),"",DB_Colleges!S46)</f>
        <v>30</v>
      </c>
      <c r="N52" s="26" t="str">
        <f aca="false">IF(B52="","",DB_Colleges!U46&amp;"")</f>
        <v/>
      </c>
      <c r="O52" s="26" t="str">
        <f aca="false">IF(B52="","",IF(ISNUMBER(DB_Colleges!AH46),DB_Colleges!AH46,"Check"))</f>
        <v>Check</v>
      </c>
      <c r="P52" s="26" t="str">
        <f aca="false">IF(B52="","",DB_Colleges!W46&amp;"")</f>
        <v/>
      </c>
      <c r="Q52" s="30" t="str">
        <f aca="false">IF(OR(B52="",NOT(ISNUMBER(DB_Colleges!AF46))),"",DB_Colleges!AF46)</f>
        <v/>
      </c>
      <c r="R52" s="28" t="str">
        <f aca="false">IF(OR(B52="",NOT(ISNUMBER(DB_Colleges!AG46))),"",DB_Colleges!AG46)</f>
        <v/>
      </c>
      <c r="S52" s="26" t="str">
        <f aca="false">IF(B52="","",DB_Colleges!AK46&amp;"")</f>
        <v>Aggregator only</v>
      </c>
      <c r="T52" s="26" t="str">
        <f aca="false">IF(B52="","",DB_Colleges!AI46&amp;"")</f>
        <v>https://www.morrisbrown.edu/admissions</v>
      </c>
      <c r="U52" s="1" t="str">
        <f aca="false">IF(AND(ISNUMBER($X$4),ISNUMBER(DB_Colleges!Z46),ISNUMBER(DB_Colleges!AA46)),IF($X$4&gt;=DB_Colleges!AA46,1,IF($X$4&lt;DB_Colleges!Z46,-1,0)),"")</f>
        <v/>
      </c>
      <c r="V52" s="1" t="str">
        <f aca="false">IF(AND(ISNUMBER($Y$4),ISNUMBER(DB_Colleges!AD46)),IF($Y$4&gt;=DB_Colleges!AD46+0.15,1,IF($Y$4&lt;DB_Colleges!AD46-0.2,-1,0)),"")</f>
        <v/>
      </c>
      <c r="W52" s="1" t="n">
        <f aca="false">IF(COUNT(U52:V52)=0,0,MIN(U52:V52))</f>
        <v>0</v>
      </c>
    </row>
    <row r="53" customFormat="false" ht="15" hidden="false" customHeight="true" outlineLevel="0" collapsed="false">
      <c r="A53" s="26" t="str">
        <f aca="false">IF(B53="","",IF(COUNTIF('My Colleges'!$B$8:$B$27,B53)&gt;0,"On list",""))</f>
        <v/>
      </c>
      <c r="B53" s="27" t="str">
        <f aca="false">IF(DB_Colleges!A47="","",DB_Colleges!A47)</f>
        <v>Paine College</v>
      </c>
      <c r="C53" s="26" t="str">
        <f aca="false">IF(B53="","",DB_Colleges!B47)</f>
        <v>HBCU (Georgia)</v>
      </c>
      <c r="D53" s="26" t="str">
        <f aca="false">IF(B53="","",DB_Colleges!C47&amp;", "&amp;DB_Colleges!D47)</f>
        <v>Augusta, GA</v>
      </c>
      <c r="E53" s="26" t="str">
        <f aca="false">IF(B53="","",IF(AND(NOT(ISNUMBER($X$4)),NOT(ISNUMBER($Y$4))),"Add scores",IF(NOT(ISNUMBER(DB_Colleges!Y47)),IF(OR(C53="Ivy League",C53="Highly Selective"),"Reach",IF(COUNT(U53:V53)=0,"No data",CHOOSE(W53+2,"Reach","Target","Likely"))),IF(DB_Colleges!Y47&lt;0.15,"Reach",IF(DB_Colleges!Y47&gt;=0.75,IF(W53&gt;=0,"Likely","Target"),IF(DB_Colleges!Y47&gt;=0.4,CHOOSE(W53+2,"Reach","Target","Likely"),IF(W53=1,"Target","Reach")))))))</f>
        <v>Likely</v>
      </c>
      <c r="F53" s="28" t="n">
        <f aca="false">IF(OR(B53="",NOT(ISNUMBER(DB_Colleges!Y47))),"",DB_Colleges!Y47)</f>
        <v>0.954</v>
      </c>
      <c r="G53" s="26" t="str">
        <f aca="false">IF(OR(B53="",NOT(ISNUMBER(DB_Colleges!Z47))),"",DB_Colleges!Z47&amp;"-"&amp;DB_Colleges!AA47)</f>
        <v/>
      </c>
      <c r="H53" s="26" t="str">
        <f aca="false">IF(OR(B53="",NOT(ISNUMBER(DB_Colleges!AD47))),"",DB_Colleges!AD47)</f>
        <v/>
      </c>
      <c r="I53" s="29" t="n">
        <f aca="false">IF(B53="","",IF(COUNT(DB_Colleges!I47:O47)=0,IF(DB_Colleges!P47="Yes","Rolling","Check site"),MIN(DB_Colleges!I47:O47)))</f>
        <v>46569</v>
      </c>
      <c r="J53" s="26" t="str">
        <f aca="false">IF(OR(B53="",COUNT(DB_Colleges!I47:O47)=0),"",INDEX({"ED","ED II","EA","EA II","REA","RD","Priority"},MATCH(MIN(DB_Colleges!I47:O47),DB_Colleges!I47:O47,0)))</f>
        <v>RD</v>
      </c>
      <c r="K53" s="29" t="n">
        <f aca="false">IF(OR(B53="",NOT(ISNUMBER(DB_Colleges!N47))),"",DB_Colleges!N47)</f>
        <v>46569</v>
      </c>
      <c r="L53" s="26" t="str">
        <f aca="false">IF(B53="","",DB_Colleges!G47&amp;"")</f>
        <v>School portal</v>
      </c>
      <c r="M53" s="30" t="n">
        <f aca="false">IF(OR(B53="",NOT(ISNUMBER(DB_Colleges!S47))),"",DB_Colleges!S47)</f>
        <v>25</v>
      </c>
      <c r="N53" s="26" t="str">
        <f aca="false">IF(B53="","",DB_Colleges!U47&amp;"")</f>
        <v>Optional</v>
      </c>
      <c r="O53" s="26" t="str">
        <f aca="false">IF(B53="","",IF(ISNUMBER(DB_Colleges!AH47),DB_Colleges!AH47,"Check"))</f>
        <v>Check</v>
      </c>
      <c r="P53" s="26" t="str">
        <f aca="false">IF(B53="","",DB_Colleges!W47&amp;"")</f>
        <v>Not required</v>
      </c>
      <c r="Q53" s="30" t="str">
        <f aca="false">IF(OR(B53="",NOT(ISNUMBER(DB_Colleges!AF47))),"",DB_Colleges!AF47)</f>
        <v/>
      </c>
      <c r="R53" s="28" t="n">
        <f aca="false">IF(OR(B53="",NOT(ISNUMBER(DB_Colleges!AG47))),"",DB_Colleges!AG47)</f>
        <v>0.27</v>
      </c>
      <c r="S53" s="26" t="str">
        <f aca="false">IF(B53="","",DB_Colleges!AK47&amp;"")</f>
        <v>Mixed</v>
      </c>
      <c r="T53" s="26" t="str">
        <f aca="false">IF(B53="","",DB_Colleges!AI47&amp;"")</f>
        <v>https://www.paine.edu/web/admission/apply</v>
      </c>
      <c r="U53" s="1" t="str">
        <f aca="false">IF(AND(ISNUMBER($X$4),ISNUMBER(DB_Colleges!Z47),ISNUMBER(DB_Colleges!AA47)),IF($X$4&gt;=DB_Colleges!AA47,1,IF($X$4&lt;DB_Colleges!Z47,-1,0)),"")</f>
        <v/>
      </c>
      <c r="V53" s="1" t="str">
        <f aca="false">IF(AND(ISNUMBER($Y$4),ISNUMBER(DB_Colleges!AD47)),IF($Y$4&gt;=DB_Colleges!AD47+0.15,1,IF($Y$4&lt;DB_Colleges!AD47-0.2,-1,0)),"")</f>
        <v/>
      </c>
      <c r="W53" s="1" t="n">
        <f aca="false">IF(COUNT(U53:V53)=0,0,MIN(U53:V53))</f>
        <v>0</v>
      </c>
    </row>
    <row r="54" customFormat="false" ht="15" hidden="false" customHeight="true" outlineLevel="0" collapsed="false">
      <c r="A54" s="26" t="str">
        <f aca="false">IF(B54="","",IF(COUNTIF('My Colleges'!$B$8:$B$27,B54)&gt;0,"On list",""))</f>
        <v/>
      </c>
      <c r="B54" s="27" t="str">
        <f aca="false">IF(DB_Colleges!A48="","",DB_Colleges!A48)</f>
        <v>Fort Valley State University</v>
      </c>
      <c r="C54" s="26" t="str">
        <f aca="false">IF(B54="","",DB_Colleges!B48)</f>
        <v>HBCU (Georgia)</v>
      </c>
      <c r="D54" s="26" t="str">
        <f aca="false">IF(B54="","",DB_Colleges!C48&amp;", "&amp;DB_Colleges!D48)</f>
        <v>Fort Valley, GA</v>
      </c>
      <c r="E54" s="26" t="str">
        <f aca="false">IF(B54="","",IF(AND(NOT(ISNUMBER($X$4)),NOT(ISNUMBER($Y$4))),"Add scores",IF(NOT(ISNUMBER(DB_Colleges!Y48)),IF(OR(C54="Ivy League",C54="Highly Selective"),"Reach",IF(COUNT(U54:V54)=0,"No data",CHOOSE(W54+2,"Reach","Target","Likely"))),IF(DB_Colleges!Y48&lt;0.15,"Reach",IF(DB_Colleges!Y48&gt;=0.75,IF(W54&gt;=0,"Likely","Target"),IF(DB_Colleges!Y48&gt;=0.4,CHOOSE(W54+2,"Reach","Target","Likely"),IF(W54=1,"Target","Reach")))))))</f>
        <v>Target</v>
      </c>
      <c r="F54" s="28" t="n">
        <f aca="false">IF(OR(B54="",NOT(ISNUMBER(DB_Colleges!Y48))),"",DB_Colleges!Y48)</f>
        <v>0.628</v>
      </c>
      <c r="G54" s="26" t="str">
        <f aca="false">IF(OR(B54="",NOT(ISNUMBER(DB_Colleges!Z48))),"",DB_Colleges!Z48&amp;"-"&amp;DB_Colleges!AA48)</f>
        <v>795-920</v>
      </c>
      <c r="H54" s="26" t="str">
        <f aca="false">IF(OR(B54="",NOT(ISNUMBER(DB_Colleges!AD48))),"",DB_Colleges!AD48)</f>
        <v/>
      </c>
      <c r="I54" s="29" t="n">
        <f aca="false">IF(B54="","",IF(COUNT(DB_Colleges!I48:O48)=0,IF(DB_Colleges!P48="Yes","Rolling","Check site"),MIN(DB_Colleges!I48:O48)))</f>
        <v>46371</v>
      </c>
      <c r="J54" s="26" t="str">
        <f aca="false">IF(OR(B54="",COUNT(DB_Colleges!I48:O48)=0),"",INDEX({"ED","ED II","EA","EA II","REA","RD","Priority"},MATCH(MIN(DB_Colleges!I48:O48),DB_Colleges!I48:O48,0)))</f>
        <v>Priority</v>
      </c>
      <c r="K54" s="29" t="n">
        <f aca="false">IF(OR(B54="",NOT(ISNUMBER(DB_Colleges!N48))),"",DB_Colleges!N48)</f>
        <v>46553</v>
      </c>
      <c r="L54" s="26" t="str">
        <f aca="false">IF(B54="","",DB_Colleges!G48&amp;"")</f>
        <v>GAfutures; Common Black College App</v>
      </c>
      <c r="M54" s="30" t="n">
        <f aca="false">IF(OR(B54="",NOT(ISNUMBER(DB_Colleges!S48))),"",DB_Colleges!S48)</f>
        <v>20</v>
      </c>
      <c r="N54" s="26" t="str">
        <f aca="false">IF(B54="","",DB_Colleges!U48&amp;"")</f>
        <v>Optional</v>
      </c>
      <c r="O54" s="26" t="str">
        <f aca="false">IF(B54="","",IF(ISNUMBER(DB_Colleges!AH48),DB_Colleges!AH48,"Check"))</f>
        <v>Check</v>
      </c>
      <c r="P54" s="26" t="str">
        <f aca="false">IF(B54="","",DB_Colleges!W48&amp;"")</f>
        <v>Not required</v>
      </c>
      <c r="Q54" s="30" t="str">
        <f aca="false">IF(OR(B54="",NOT(ISNUMBER(DB_Colleges!AF48))),"",DB_Colleges!AF48)</f>
        <v/>
      </c>
      <c r="R54" s="28" t="n">
        <f aca="false">IF(OR(B54="",NOT(ISNUMBER(DB_Colleges!AG48))),"",DB_Colleges!AG48)</f>
        <v>0.33</v>
      </c>
      <c r="S54" s="26" t="str">
        <f aca="false">IF(B54="","",DB_Colleges!AK48&amp;"")</f>
        <v>Mixed</v>
      </c>
      <c r="T54" s="26" t="str">
        <f aca="false">IF(B54="","",DB_Colleges!AI48&amp;"")</f>
        <v>https://www.fvsu.edu/admissions/high-school-students-future-freshmen</v>
      </c>
      <c r="U54" s="1" t="n">
        <f aca="false">IF(AND(ISNUMBER($X$4),ISNUMBER(DB_Colleges!Z48),ISNUMBER(DB_Colleges!AA48)),IF($X$4&gt;=DB_Colleges!AA48,1,IF($X$4&lt;DB_Colleges!Z48,-1,0)),"")</f>
        <v>0</v>
      </c>
      <c r="V54" s="1" t="str">
        <f aca="false">IF(AND(ISNUMBER($Y$4),ISNUMBER(DB_Colleges!AD48)),IF($Y$4&gt;=DB_Colleges!AD48+0.15,1,IF($Y$4&lt;DB_Colleges!AD48-0.2,-1,0)),"")</f>
        <v/>
      </c>
      <c r="W54" s="1" t="n">
        <f aca="false">IF(COUNT(U54:V54)=0,0,MIN(U54:V54))</f>
        <v>0</v>
      </c>
    </row>
    <row r="55" customFormat="false" ht="15" hidden="false" customHeight="true" outlineLevel="0" collapsed="false">
      <c r="A55" s="26" t="str">
        <f aca="false">IF(B55="","",IF(COUNTIF('My Colleges'!$B$8:$B$27,B55)&gt;0,"On list",""))</f>
        <v/>
      </c>
      <c r="B55" s="27" t="str">
        <f aca="false">IF(DB_Colleges!A49="","",DB_Colleges!A49)</f>
        <v>Albany State University</v>
      </c>
      <c r="C55" s="26" t="str">
        <f aca="false">IF(B55="","",DB_Colleges!B49)</f>
        <v>HBCU (Georgia)</v>
      </c>
      <c r="D55" s="26" t="str">
        <f aca="false">IF(B55="","",DB_Colleges!C49&amp;", "&amp;DB_Colleges!D49)</f>
        <v>Albany, GA</v>
      </c>
      <c r="E55" s="26" t="str">
        <f aca="false">IF(B55="","",IF(AND(NOT(ISNUMBER($X$4)),NOT(ISNUMBER($Y$4))),"Add scores",IF(NOT(ISNUMBER(DB_Colleges!Y49)),IF(OR(C55="Ivy League",C55="Highly Selective"),"Reach",IF(COUNT(U55:V55)=0,"No data",CHOOSE(W55+2,"Reach","Target","Likely"))),IF(DB_Colleges!Y49&lt;0.15,"Reach",IF(DB_Colleges!Y49&gt;=0.75,IF(W55&gt;=0,"Likely","Target"),IF(DB_Colleges!Y49&gt;=0.4,CHOOSE(W55+2,"Reach","Target","Likely"),IF(W55=1,"Target","Reach")))))))</f>
        <v>Target</v>
      </c>
      <c r="F55" s="28" t="str">
        <f aca="false">IF(OR(B55="",NOT(ISNUMBER(DB_Colleges!Y49))),"",DB_Colleges!Y49)</f>
        <v/>
      </c>
      <c r="G55" s="26" t="str">
        <f aca="false">IF(OR(B55="",NOT(ISNUMBER(DB_Colleges!Z49))),"",DB_Colleges!Z49&amp;"-"&amp;DB_Colleges!AA49)</f>
        <v>740-900</v>
      </c>
      <c r="H55" s="26" t="str">
        <f aca="false">IF(OR(B55="",NOT(ISNUMBER(DB_Colleges!AD49))),"",DB_Colleges!AD49)</f>
        <v/>
      </c>
      <c r="I55" s="29" t="n">
        <f aca="false">IF(B55="","",IF(COUNT(DB_Colleges!I49:O49)=0,IF(DB_Colleges!P49="Yes","Rolling","Check site"),MIN(DB_Colleges!I49:O49)))</f>
        <v>46539</v>
      </c>
      <c r="J55" s="26" t="str">
        <f aca="false">IF(OR(B55="",COUNT(DB_Colleges!I49:O49)=0),"",INDEX({"ED","ED II","EA","EA II","REA","RD","Priority"},MATCH(MIN(DB_Colleges!I49:O49),DB_Colleges!I49:O49,0)))</f>
        <v>Priority</v>
      </c>
      <c r="K55" s="29" t="str">
        <f aca="false">IF(OR(B55="",NOT(ISNUMBER(DB_Colleges!N49))),"",DB_Colleges!N49)</f>
        <v/>
      </c>
      <c r="L55" s="26" t="str">
        <f aca="false">IF(B55="","",DB_Colleges!G49&amp;"")</f>
        <v>School portal</v>
      </c>
      <c r="M55" s="30" t="n">
        <f aca="false">IF(OR(B55="",NOT(ISNUMBER(DB_Colleges!S49))),"",DB_Colleges!S49)</f>
        <v>25</v>
      </c>
      <c r="N55" s="26" t="str">
        <f aca="false">IF(B55="","",DB_Colleges!U49&amp;"")</f>
        <v>Optional</v>
      </c>
      <c r="O55" s="26" t="str">
        <f aca="false">IF(B55="","",IF(ISNUMBER(DB_Colleges!AH49),DB_Colleges!AH49,"Check"))</f>
        <v>Check</v>
      </c>
      <c r="P55" s="26" t="str">
        <f aca="false">IF(B55="","",DB_Colleges!W49&amp;"")</f>
        <v>Not required</v>
      </c>
      <c r="Q55" s="30" t="str">
        <f aca="false">IF(OR(B55="",NOT(ISNUMBER(DB_Colleges!AF49))),"",DB_Colleges!AF49)</f>
        <v/>
      </c>
      <c r="R55" s="28" t="n">
        <f aca="false">IF(OR(B55="",NOT(ISNUMBER(DB_Colleges!AG49))),"",DB_Colleges!AG49)</f>
        <v>0.41</v>
      </c>
      <c r="S55" s="26" t="str">
        <f aca="false">IF(B55="","",DB_Colleges!AK49&amp;"")</f>
        <v>Mixed</v>
      </c>
      <c r="T55" s="26" t="str">
        <f aca="false">IF(B55="","",DB_Colleges!AI49&amp;"")</f>
        <v>https://www.asurams.edu/enrollment-management/admissions/how-to-apply.php</v>
      </c>
      <c r="U55" s="1" t="n">
        <f aca="false">IF(AND(ISNUMBER($X$4),ISNUMBER(DB_Colleges!Z49),ISNUMBER(DB_Colleges!AA49)),IF($X$4&gt;=DB_Colleges!AA49,1,IF($X$4&lt;DB_Colleges!Z49,-1,0)),"")</f>
        <v>0</v>
      </c>
      <c r="V55" s="1" t="str">
        <f aca="false">IF(AND(ISNUMBER($Y$4),ISNUMBER(DB_Colleges!AD49)),IF($Y$4&gt;=DB_Colleges!AD49+0.15,1,IF($Y$4&lt;DB_Colleges!AD49-0.2,-1,0)),"")</f>
        <v/>
      </c>
      <c r="W55" s="1" t="n">
        <f aca="false">IF(COUNT(U55:V55)=0,0,MIN(U55:V55))</f>
        <v>0</v>
      </c>
    </row>
    <row r="56" customFormat="false" ht="15" hidden="false" customHeight="true" outlineLevel="0" collapsed="false">
      <c r="A56" s="26" t="str">
        <f aca="false">IF(B56="","",IF(COUNTIF('My Colleges'!$B$8:$B$27,B56)&gt;0,"On list",""))</f>
        <v/>
      </c>
      <c r="B56" s="27" t="str">
        <f aca="false">IF(DB_Colleges!A50="","",DB_Colleges!A50)</f>
        <v>Savannah State University</v>
      </c>
      <c r="C56" s="26" t="str">
        <f aca="false">IF(B56="","",DB_Colleges!B50)</f>
        <v>HBCU (Georgia)</v>
      </c>
      <c r="D56" s="26" t="str">
        <f aca="false">IF(B56="","",DB_Colleges!C50&amp;", "&amp;DB_Colleges!D50)</f>
        <v>Savannah, GA</v>
      </c>
      <c r="E56" s="26" t="str">
        <f aca="false">IF(B56="","",IF(AND(NOT(ISNUMBER($X$4)),NOT(ISNUMBER($Y$4))),"Add scores",IF(NOT(ISNUMBER(DB_Colleges!Y50)),IF(OR(C56="Ivy League",C56="Highly Selective"),"Reach",IF(COUNT(U56:V56)=0,"No data",CHOOSE(W56+2,"Reach","Target","Likely"))),IF(DB_Colleges!Y50&lt;0.15,"Reach",IF(DB_Colleges!Y50&gt;=0.75,IF(W56&gt;=0,"Likely","Target"),IF(DB_Colleges!Y50&gt;=0.4,CHOOSE(W56+2,"Reach","Target","Likely"),IF(W56=1,"Target","Reach")))))))</f>
        <v>Likely</v>
      </c>
      <c r="F56" s="28" t="str">
        <f aca="false">IF(OR(B56="",NOT(ISNUMBER(DB_Colleges!Y50))),"",DB_Colleges!Y50)</f>
        <v/>
      </c>
      <c r="G56" s="26" t="str">
        <f aca="false">IF(OR(B56="",NOT(ISNUMBER(DB_Colleges!Z50))),"",DB_Colleges!Z50&amp;"-"&amp;DB_Colleges!AA50)</f>
        <v/>
      </c>
      <c r="H56" s="26" t="n">
        <f aca="false">IF(OR(B56="",NOT(ISNUMBER(DB_Colleges!AD50))),"",DB_Colleges!AD50)</f>
        <v>3.13</v>
      </c>
      <c r="I56" s="29" t="n">
        <f aca="false">IF(B56="","",IF(COUNT(DB_Colleges!I50:O50)=0,IF(DB_Colleges!P50="Yes","Rolling","Check site"),MIN(DB_Colleges!I50:O50)))</f>
        <v>46327</v>
      </c>
      <c r="J56" s="26" t="str">
        <f aca="false">IF(OR(B56="",COUNT(DB_Colleges!I50:O50)=0),"",INDEX({"ED","ED II","EA","EA II","REA","RD","Priority"},MATCH(MIN(DB_Colleges!I50:O50),DB_Colleges!I50:O50,0)))</f>
        <v>EA</v>
      </c>
      <c r="K56" s="29" t="n">
        <f aca="false">IF(OR(B56="",NOT(ISNUMBER(DB_Colleges!N50))),"",DB_Colleges!N50)</f>
        <v>46419</v>
      </c>
      <c r="L56" s="26" t="str">
        <f aca="false">IF(B56="","",DB_Colleges!G50&amp;"")</f>
        <v>School portal (Future Tiger); GAfutures (home school applicants)</v>
      </c>
      <c r="M56" s="30" t="n">
        <f aca="false">IF(OR(B56="",NOT(ISNUMBER(DB_Colleges!S50))),"",DB_Colleges!S50)</f>
        <v>20</v>
      </c>
      <c r="N56" s="26" t="str">
        <f aca="false">IF(B56="","",DB_Colleges!U50&amp;"")</f>
        <v>Optional</v>
      </c>
      <c r="O56" s="26" t="n">
        <f aca="false">IF(B56="","",IF(ISNUMBER(DB_Colleges!AH50),DB_Colleges!AH50,"Check"))</f>
        <v>0</v>
      </c>
      <c r="P56" s="26" t="str">
        <f aca="false">IF(B56="","",DB_Colleges!W50&amp;"")</f>
        <v>Not required</v>
      </c>
      <c r="Q56" s="30" t="str">
        <f aca="false">IF(OR(B56="",NOT(ISNUMBER(DB_Colleges!AF50))),"",DB_Colleges!AF50)</f>
        <v/>
      </c>
      <c r="R56" s="28" t="n">
        <f aca="false">IF(OR(B56="",NOT(ISNUMBER(DB_Colleges!AG50))),"",DB_Colleges!AG50)</f>
        <v>0.3</v>
      </c>
      <c r="S56" s="26" t="str">
        <f aca="false">IF(B56="","",DB_Colleges!AK50&amp;"")</f>
        <v>Official 2026-27</v>
      </c>
      <c r="T56" s="26" t="str">
        <f aca="false">IF(B56="","",DB_Colleges!AI50&amp;"")</f>
        <v>https://savannahstate.edu/undergraduate/freshman/</v>
      </c>
      <c r="U56" s="1" t="str">
        <f aca="false">IF(AND(ISNUMBER($X$4),ISNUMBER(DB_Colleges!Z50),ISNUMBER(DB_Colleges!AA50)),IF($X$4&gt;=DB_Colleges!AA50,1,IF($X$4&lt;DB_Colleges!Z50,-1,0)),"")</f>
        <v/>
      </c>
      <c r="V56" s="1" t="n">
        <f aca="false">IF(AND(ISNUMBER($Y$4),ISNUMBER(DB_Colleges!AD50)),IF($Y$4&gt;=DB_Colleges!AD50+0.15,1,IF($Y$4&lt;DB_Colleges!AD50-0.2,-1,0)),"")</f>
        <v>1</v>
      </c>
      <c r="W56" s="1" t="n">
        <f aca="false">IF(COUNT(U56:V56)=0,0,MIN(U56:V56))</f>
        <v>1</v>
      </c>
    </row>
    <row r="57" customFormat="false" ht="15" hidden="false" customHeight="true" outlineLevel="0" collapsed="false">
      <c r="A57" s="26" t="str">
        <f aca="false">IF(B57="","",IF(COUNTIF('My Colleges'!$B$8:$B$27,B57)&gt;0,"On list",""))</f>
        <v/>
      </c>
      <c r="B57" s="27" t="str">
        <f aca="false">IF(DB_Colleges!A51="","",DB_Colleges!A51)</f>
        <v>Howard University</v>
      </c>
      <c r="C57" s="26" t="str">
        <f aca="false">IF(B57="","",DB_Colleges!B51)</f>
        <v>HBCU</v>
      </c>
      <c r="D57" s="26" t="str">
        <f aca="false">IF(B57="","",DB_Colleges!C51&amp;", "&amp;DB_Colleges!D51)</f>
        <v>Washington, DC</v>
      </c>
      <c r="E57" s="26" t="str">
        <f aca="false">IF(B57="","",IF(AND(NOT(ISNUMBER($X$4)),NOT(ISNUMBER($Y$4))),"Add scores",IF(NOT(ISNUMBER(DB_Colleges!Y51)),IF(OR(C57="Ivy League",C57="Highly Selective"),"Reach",IF(COUNT(U57:V57)=0,"No data",CHOOSE(W57+2,"Reach","Target","Likely"))),IF(DB_Colleges!Y51&lt;0.15,"Reach",IF(DB_Colleges!Y51&gt;=0.75,IF(W57&gt;=0,"Likely","Target"),IF(DB_Colleges!Y51&gt;=0.4,CHOOSE(W57+2,"Reach","Target","Likely"),IF(W57=1,"Target","Reach")))))))</f>
        <v>Reach</v>
      </c>
      <c r="F57" s="28" t="n">
        <f aca="false">IF(OR(B57="",NOT(ISNUMBER(DB_Colleges!Y51))),"",DB_Colleges!Y51)</f>
        <v>0.413</v>
      </c>
      <c r="G57" s="26" t="str">
        <f aca="false">IF(OR(B57="",NOT(ISNUMBER(DB_Colleges!Z51))),"",DB_Colleges!Z51&amp;"-"&amp;DB_Colleges!AA51)</f>
        <v>1090-1320</v>
      </c>
      <c r="H57" s="26" t="n">
        <f aca="false">IF(OR(B57="",NOT(ISNUMBER(DB_Colleges!AD51))),"",DB_Colleges!AD51)</f>
        <v>3.66</v>
      </c>
      <c r="I57" s="29" t="n">
        <f aca="false">IF(B57="","",IF(COUNT(DB_Colleges!I51:O51)=0,IF(DB_Colleges!P51="Yes","Rolling","Check site"),MIN(DB_Colleges!I51:O51)))</f>
        <v>46327</v>
      </c>
      <c r="J57" s="26" t="str">
        <f aca="false">IF(OR(B57="",COUNT(DB_Colleges!I51:O51)=0),"",INDEX({"ED","ED II","EA","EA II","REA","RD","Priority"},MATCH(MIN(DB_Colleges!I51:O51),DB_Colleges!I51:O51,0)))</f>
        <v>ED</v>
      </c>
      <c r="K57" s="29" t="n">
        <f aca="false">IF(OR(B57="",NOT(ISNUMBER(DB_Colleges!N51))),"",DB_Colleges!N51)</f>
        <v>46419</v>
      </c>
      <c r="L57" s="26" t="str">
        <f aca="false">IF(B57="","",DB_Colleges!G51&amp;"")</f>
        <v>Common App</v>
      </c>
      <c r="M57" s="30" t="n">
        <f aca="false">IF(OR(B57="",NOT(ISNUMBER(DB_Colleges!S51))),"",DB_Colleges!S51)</f>
        <v>45</v>
      </c>
      <c r="N57" s="26" t="str">
        <f aca="false">IF(B57="","",DB_Colleges!U51&amp;"")</f>
        <v>Optional</v>
      </c>
      <c r="O57" s="26" t="n">
        <f aca="false">IF(B57="","",IF(ISNUMBER(DB_Colleges!AH51),DB_Colleges!AH51,"Check"))</f>
        <v>0</v>
      </c>
      <c r="P57" s="26" t="str">
        <f aca="false">IF(B57="","",DB_Colleges!W51&amp;"")</f>
        <v>Not required</v>
      </c>
      <c r="Q57" s="30" t="str">
        <f aca="false">IF(OR(B57="",NOT(ISNUMBER(DB_Colleges!AF51))),"",DB_Colleges!AF51)</f>
        <v/>
      </c>
      <c r="R57" s="28" t="n">
        <f aca="false">IF(OR(B57="",NOT(ISNUMBER(DB_Colleges!AG51))),"",DB_Colleges!AG51)</f>
        <v>0.63</v>
      </c>
      <c r="S57" s="26" t="str">
        <f aca="false">IF(B57="","",DB_Colleges!AK51&amp;"")</f>
        <v>Official 2026-27</v>
      </c>
      <c r="T57" s="26" t="str">
        <f aca="false">IF(B57="","",DB_Colleges!AI51&amp;"")</f>
        <v>https://admission.howard.edu/undergraduate/first-year</v>
      </c>
      <c r="U57" s="1" t="n">
        <f aca="false">IF(AND(ISNUMBER($X$4),ISNUMBER(DB_Colleges!Z51),ISNUMBER(DB_Colleges!AA51)),IF($X$4&gt;=DB_Colleges!AA51,1,IF($X$4&lt;DB_Colleges!Z51,-1,0)),"")</f>
        <v>-1</v>
      </c>
      <c r="V57" s="1" t="n">
        <f aca="false">IF(AND(ISNUMBER($Y$4),ISNUMBER(DB_Colleges!AD51)),IF($Y$4&gt;=DB_Colleges!AD51+0.15,1,IF($Y$4&lt;DB_Colleges!AD51-0.2,-1,0)),"")</f>
        <v>0</v>
      </c>
      <c r="W57" s="1" t="n">
        <f aca="false">IF(COUNT(U57:V57)=0,0,MIN(U57:V57))</f>
        <v>-1</v>
      </c>
    </row>
    <row r="58" customFormat="false" ht="15" hidden="false" customHeight="true" outlineLevel="0" collapsed="false">
      <c r="A58" s="26" t="str">
        <f aca="false">IF(B58="","",IF(COUNTIF('My Colleges'!$B$8:$B$27,B58)&gt;0,"On list",""))</f>
        <v/>
      </c>
      <c r="B58" s="27" t="str">
        <f aca="false">IF(DB_Colleges!A52="","",DB_Colleges!A52)</f>
        <v>Hampton University</v>
      </c>
      <c r="C58" s="26" t="str">
        <f aca="false">IF(B58="","",DB_Colleges!B52)</f>
        <v>HBCU</v>
      </c>
      <c r="D58" s="26" t="str">
        <f aca="false">IF(B58="","",DB_Colleges!C52&amp;", "&amp;DB_Colleges!D52)</f>
        <v>Hampton, VA</v>
      </c>
      <c r="E58" s="26" t="str">
        <f aca="false">IF(B58="","",IF(AND(NOT(ISNUMBER($X$4)),NOT(ISNUMBER($Y$4))),"Add scores",IF(NOT(ISNUMBER(DB_Colleges!Y52)),IF(OR(C58="Ivy League",C58="Highly Selective"),"Reach",IF(COUNT(U58:V58)=0,"No data",CHOOSE(W58+2,"Reach","Target","Likely"))),IF(DB_Colleges!Y52&lt;0.15,"Reach",IF(DB_Colleges!Y52&gt;=0.75,IF(W58&gt;=0,"Likely","Target"),IF(DB_Colleges!Y52&gt;=0.4,CHOOSE(W58+2,"Reach","Target","Likely"),IF(W58=1,"Target","Reach")))))))</f>
        <v>Target</v>
      </c>
      <c r="F58" s="28" t="n">
        <f aca="false">IF(OR(B58="",NOT(ISNUMBER(DB_Colleges!Y52))),"",DB_Colleges!Y52)</f>
        <v>0.64</v>
      </c>
      <c r="G58" s="26" t="str">
        <f aca="false">IF(OR(B58="",NOT(ISNUMBER(DB_Colleges!Z52))),"",DB_Colleges!Z52&amp;"-"&amp;DB_Colleges!AA52)</f>
        <v/>
      </c>
      <c r="H58" s="26" t="str">
        <f aca="false">IF(OR(B58="",NOT(ISNUMBER(DB_Colleges!AD52))),"",DB_Colleges!AD52)</f>
        <v/>
      </c>
      <c r="I58" s="29" t="n">
        <f aca="false">IF(B58="","",IF(COUNT(DB_Colleges!I52:O52)=0,IF(DB_Colleges!P52="Yes","Rolling","Check site"),MIN(DB_Colleges!I52:O52)))</f>
        <v>46341</v>
      </c>
      <c r="J58" s="26" t="str">
        <f aca="false">IF(OR(B58="",COUNT(DB_Colleges!I52:O52)=0),"",INDEX({"ED","ED II","EA","EA II","REA","RD","Priority"},MATCH(MIN(DB_Colleges!I52:O52),DB_Colleges!I52:O52,0)))</f>
        <v>EA</v>
      </c>
      <c r="K58" s="29" t="n">
        <f aca="false">IF(OR(B58="",NOT(ISNUMBER(DB_Colleges!N52))),"",DB_Colleges!N52)</f>
        <v>46447</v>
      </c>
      <c r="L58" s="26" t="str">
        <f aca="false">IF(B58="","",DB_Colleges!G52&amp;"")</f>
        <v>Common App</v>
      </c>
      <c r="M58" s="30" t="n">
        <f aca="false">IF(OR(B58="",NOT(ISNUMBER(DB_Colleges!S52))),"",DB_Colleges!S52)</f>
        <v>60</v>
      </c>
      <c r="N58" s="26" t="str">
        <f aca="false">IF(B58="","",DB_Colleges!U52&amp;"")</f>
        <v>Flexible</v>
      </c>
      <c r="O58" s="26" t="n">
        <f aca="false">IF(B58="","",IF(ISNUMBER(DB_Colleges!AH52),DB_Colleges!AH52,"Check"))</f>
        <v>1</v>
      </c>
      <c r="P58" s="26" t="str">
        <f aca="false">IF(B58="","",DB_Colleges!W52&amp;"")</f>
        <v>Not required</v>
      </c>
      <c r="Q58" s="30" t="str">
        <f aca="false">IF(OR(B58="",NOT(ISNUMBER(DB_Colleges!AF52))),"",DB_Colleges!AF52)</f>
        <v/>
      </c>
      <c r="R58" s="28" t="n">
        <f aca="false">IF(OR(B58="",NOT(ISNUMBER(DB_Colleges!AG52))),"",DB_Colleges!AG52)</f>
        <v>0.55</v>
      </c>
      <c r="S58" s="26" t="str">
        <f aca="false">IF(B58="","",DB_Colleges!AK52&amp;"")</f>
        <v>Official 2026-27</v>
      </c>
      <c r="T58" s="26" t="str">
        <f aca="false">IF(B58="","",DB_Colleges!AI52&amp;"")</f>
        <v>https://home.hamptonu.edu/admissions/freshmen/</v>
      </c>
      <c r="U58" s="1" t="str">
        <f aca="false">IF(AND(ISNUMBER($X$4),ISNUMBER(DB_Colleges!Z52),ISNUMBER(DB_Colleges!AA52)),IF($X$4&gt;=DB_Colleges!AA52,1,IF($X$4&lt;DB_Colleges!Z52,-1,0)),"")</f>
        <v/>
      </c>
      <c r="V58" s="1" t="str">
        <f aca="false">IF(AND(ISNUMBER($Y$4),ISNUMBER(DB_Colleges!AD52)),IF($Y$4&gt;=DB_Colleges!AD52+0.15,1,IF($Y$4&lt;DB_Colleges!AD52-0.2,-1,0)),"")</f>
        <v/>
      </c>
      <c r="W58" s="1" t="n">
        <f aca="false">IF(COUNT(U58:V58)=0,0,MIN(U58:V58))</f>
        <v>0</v>
      </c>
    </row>
    <row r="59" customFormat="false" ht="15" hidden="false" customHeight="true" outlineLevel="0" collapsed="false">
      <c r="A59" s="26" t="str">
        <f aca="false">IF(B59="","",IF(COUNTIF('My Colleges'!$B$8:$B$27,B59)&gt;0,"On list",""))</f>
        <v/>
      </c>
      <c r="B59" s="27" t="str">
        <f aca="false">IF(DB_Colleges!A53="","",DB_Colleges!A53)</f>
        <v>Florida A&amp;M University</v>
      </c>
      <c r="C59" s="26" t="str">
        <f aca="false">IF(B59="","",DB_Colleges!B53)</f>
        <v>HBCU</v>
      </c>
      <c r="D59" s="26" t="str">
        <f aca="false">IF(B59="","",DB_Colleges!C53&amp;", "&amp;DB_Colleges!D53)</f>
        <v>Tallahassee, FL</v>
      </c>
      <c r="E59" s="26" t="str">
        <f aca="false">IF(B59="","",IF(AND(NOT(ISNUMBER($X$4)),NOT(ISNUMBER($Y$4))),"Add scores",IF(NOT(ISNUMBER(DB_Colleges!Y53)),IF(OR(C59="Ivy League",C59="Highly Selective"),"Reach",IF(COUNT(U59:V59)=0,"No data",CHOOSE(W59+2,"Reach","Target","Likely"))),IF(DB_Colleges!Y53&lt;0.15,"Reach",IF(DB_Colleges!Y53&gt;=0.75,IF(W59&gt;=0,"Likely","Target"),IF(DB_Colleges!Y53&gt;=0.4,CHOOSE(W59+2,"Reach","Target","Likely"),IF(W59=1,"Target","Reach")))))))</f>
        <v>Reach</v>
      </c>
      <c r="F59" s="28" t="str">
        <f aca="false">IF(OR(B59="",NOT(ISNUMBER(DB_Colleges!Y53))),"",DB_Colleges!Y53)</f>
        <v/>
      </c>
      <c r="G59" s="26" t="str">
        <f aca="false">IF(OR(B59="",NOT(ISNUMBER(DB_Colleges!Z53))),"",DB_Colleges!Z53&amp;"-"&amp;DB_Colleges!AA53)</f>
        <v>1080-1230</v>
      </c>
      <c r="H59" s="26" t="str">
        <f aca="false">IF(OR(B59="",NOT(ISNUMBER(DB_Colleges!AD53))),"",DB_Colleges!AD53)</f>
        <v/>
      </c>
      <c r="I59" s="29" t="n">
        <f aca="false">IF(B59="","",IF(COUNT(DB_Colleges!I53:O53)=0,IF(DB_Colleges!P53="Yes","Rolling","Check site"),MIN(DB_Colleges!I53:O53)))</f>
        <v>46327</v>
      </c>
      <c r="J59" s="26" t="str">
        <f aca="false">IF(OR(B59="",COUNT(DB_Colleges!I53:O53)=0),"",INDEX({"ED","ED II","EA","EA II","REA","RD","Priority"},MATCH(MIN(DB_Colleges!I53:O53),DB_Colleges!I53:O53,0)))</f>
        <v>EA</v>
      </c>
      <c r="K59" s="29" t="n">
        <f aca="false">IF(OR(B59="",NOT(ISNUMBER(DB_Colleges!N53))),"",DB_Colleges!N53)</f>
        <v>46419</v>
      </c>
      <c r="L59" s="26" t="str">
        <f aca="false">IF(B59="","",DB_Colleges!G53&amp;"")</f>
        <v>School portal</v>
      </c>
      <c r="M59" s="30" t="n">
        <f aca="false">IF(OR(B59="",NOT(ISNUMBER(DB_Colleges!S53))),"",DB_Colleges!S53)</f>
        <v>30</v>
      </c>
      <c r="N59" s="26" t="str">
        <f aca="false">IF(B59="","",DB_Colleges!U53&amp;"")</f>
        <v>Required</v>
      </c>
      <c r="O59" s="26" t="str">
        <f aca="false">IF(B59="","",IF(ISNUMBER(DB_Colleges!AH53),DB_Colleges!AH53,"Check"))</f>
        <v>Check</v>
      </c>
      <c r="P59" s="26" t="str">
        <f aca="false">IF(B59="","",DB_Colleges!W53&amp;"")</f>
        <v>Not required</v>
      </c>
      <c r="Q59" s="30" t="str">
        <f aca="false">IF(OR(B59="",NOT(ISNUMBER(DB_Colleges!AF53))),"",DB_Colleges!AF53)</f>
        <v/>
      </c>
      <c r="R59" s="28" t="n">
        <f aca="false">IF(OR(B59="",NOT(ISNUMBER(DB_Colleges!AG53))),"",DB_Colleges!AG53)</f>
        <v>0.4</v>
      </c>
      <c r="S59" s="26" t="str">
        <f aca="false">IF(B59="","",DB_Colleges!AK53&amp;"")</f>
        <v>Mixed</v>
      </c>
      <c r="T59" s="26" t="str">
        <f aca="false">IF(B59="","",DB_Colleges!AI53&amp;"")</f>
        <v>https://admissions.famu.edu/student-types/freshman.php</v>
      </c>
      <c r="U59" s="1" t="n">
        <f aca="false">IF(AND(ISNUMBER($X$4),ISNUMBER(DB_Colleges!Z53),ISNUMBER(DB_Colleges!AA53)),IF($X$4&gt;=DB_Colleges!AA53,1,IF($X$4&lt;DB_Colleges!Z53,-1,0)),"")</f>
        <v>-1</v>
      </c>
      <c r="V59" s="1" t="str">
        <f aca="false">IF(AND(ISNUMBER($Y$4),ISNUMBER(DB_Colleges!AD53)),IF($Y$4&gt;=DB_Colleges!AD53+0.15,1,IF($Y$4&lt;DB_Colleges!AD53-0.2,-1,0)),"")</f>
        <v/>
      </c>
      <c r="W59" s="1" t="n">
        <f aca="false">IF(COUNT(U59:V59)=0,0,MIN(U59:V59))</f>
        <v>-1</v>
      </c>
    </row>
    <row r="60" customFormat="false" ht="15" hidden="false" customHeight="true" outlineLevel="0" collapsed="false">
      <c r="A60" s="26" t="str">
        <f aca="false">IF(B60="","",IF(COUNTIF('My Colleges'!$B$8:$B$27,B60)&gt;0,"On list",""))</f>
        <v/>
      </c>
      <c r="B60" s="27" t="str">
        <f aca="false">IF(DB_Colleges!A54="","",DB_Colleges!A54)</f>
        <v>North Carolina A&amp;T State University</v>
      </c>
      <c r="C60" s="26" t="str">
        <f aca="false">IF(B60="","",DB_Colleges!B54)</f>
        <v>HBCU</v>
      </c>
      <c r="D60" s="26" t="str">
        <f aca="false">IF(B60="","",DB_Colleges!C54&amp;", "&amp;DB_Colleges!D54)</f>
        <v>Greensboro, NC</v>
      </c>
      <c r="E60" s="26" t="str">
        <f aca="false">IF(B60="","",IF(AND(NOT(ISNUMBER($X$4)),NOT(ISNUMBER($Y$4))),"Add scores",IF(NOT(ISNUMBER(DB_Colleges!Y54)),IF(OR(C60="Ivy League",C60="Highly Selective"),"Reach",IF(COUNT(U60:V60)=0,"No data",CHOOSE(W60+2,"Reach","Target","Likely"))),IF(DB_Colleges!Y54&lt;0.15,"Reach",IF(DB_Colleges!Y54&gt;=0.75,IF(W60&gt;=0,"Likely","Target"),IF(DB_Colleges!Y54&gt;=0.4,CHOOSE(W60+2,"Reach","Target","Likely"),IF(W60=1,"Target","Reach")))))))</f>
        <v>Reach</v>
      </c>
      <c r="F60" s="28" t="n">
        <f aca="false">IF(OR(B60="",NOT(ISNUMBER(DB_Colleges!Y54))),"",DB_Colleges!Y54)</f>
        <v>0.51</v>
      </c>
      <c r="G60" s="26" t="str">
        <f aca="false">IF(OR(B60="",NOT(ISNUMBER(DB_Colleges!Z54))),"",DB_Colleges!Z54&amp;"-"&amp;DB_Colleges!AA54)</f>
        <v>1020-1190</v>
      </c>
      <c r="H60" s="26" t="str">
        <f aca="false">IF(OR(B60="",NOT(ISNUMBER(DB_Colleges!AD54))),"",DB_Colleges!AD54)</f>
        <v/>
      </c>
      <c r="I60" s="29" t="n">
        <f aca="false">IF(B60="","",IF(COUNT(DB_Colleges!I54:O54)=0,IF(DB_Colleges!P54="Yes","Rolling","Check site"),MIN(DB_Colleges!I54:O54)))</f>
        <v>46327</v>
      </c>
      <c r="J60" s="26" t="str">
        <f aca="false">IF(OR(B60="",COUNT(DB_Colleges!I54:O54)=0),"",INDEX({"ED","ED II","EA","EA II","REA","RD","Priority"},MATCH(MIN(DB_Colleges!I54:O54),DB_Colleges!I54:O54,0)))</f>
        <v>EA</v>
      </c>
      <c r="K60" s="29" t="n">
        <f aca="false">IF(OR(B60="",NOT(ISNUMBER(DB_Colleges!N54))),"",DB_Colleges!N54)</f>
        <v>46419</v>
      </c>
      <c r="L60" s="26" t="str">
        <f aca="false">IF(B60="","",DB_Colleges!G54&amp;"")</f>
        <v>School portal</v>
      </c>
      <c r="M60" s="30" t="str">
        <f aca="false">IF(OR(B60="",NOT(ISNUMBER(DB_Colleges!S54))),"",DB_Colleges!S54)</f>
        <v/>
      </c>
      <c r="N60" s="26" t="str">
        <f aca="false">IF(B60="","",DB_Colleges!U54&amp;"")</f>
        <v/>
      </c>
      <c r="O60" s="26" t="str">
        <f aca="false">IF(B60="","",IF(ISNUMBER(DB_Colleges!AH54),DB_Colleges!AH54,"Check"))</f>
        <v>Check</v>
      </c>
      <c r="P60" s="26" t="str">
        <f aca="false">IF(B60="","",DB_Colleges!W54&amp;"")</f>
        <v>Not required</v>
      </c>
      <c r="Q60" s="30" t="str">
        <f aca="false">IF(OR(B60="",NOT(ISNUMBER(DB_Colleges!AF54))),"",DB_Colleges!AF54)</f>
        <v/>
      </c>
      <c r="R60" s="28" t="str">
        <f aca="false">IF(OR(B60="",NOT(ISNUMBER(DB_Colleges!AG54))),"",DB_Colleges!AG54)</f>
        <v/>
      </c>
      <c r="S60" s="26" t="str">
        <f aca="false">IF(B60="","",DB_Colleges!AK54&amp;"")</f>
        <v>Mixed</v>
      </c>
      <c r="T60" s="26" t="str">
        <f aca="false">IF(B60="","",DB_Colleges!AI54&amp;"")</f>
        <v>https://www.ncat.edu/admissions/undergraduate/dates-and-deadlines.php</v>
      </c>
      <c r="U60" s="1" t="n">
        <f aca="false">IF(AND(ISNUMBER($X$4),ISNUMBER(DB_Colleges!Z54),ISNUMBER(DB_Colleges!AA54)),IF($X$4&gt;=DB_Colleges!AA54,1,IF($X$4&lt;DB_Colleges!Z54,-1,0)),"")</f>
        <v>-1</v>
      </c>
      <c r="V60" s="1" t="str">
        <f aca="false">IF(AND(ISNUMBER($Y$4),ISNUMBER(DB_Colleges!AD54)),IF($Y$4&gt;=DB_Colleges!AD54+0.15,1,IF($Y$4&lt;DB_Colleges!AD54-0.2,-1,0)),"")</f>
        <v/>
      </c>
      <c r="W60" s="1" t="n">
        <f aca="false">IF(COUNT(U60:V60)=0,0,MIN(U60:V60))</f>
        <v>-1</v>
      </c>
    </row>
    <row r="61" customFormat="false" ht="15" hidden="false" customHeight="true" outlineLevel="0" collapsed="false">
      <c r="A61" s="26" t="str">
        <f aca="false">IF(B61="","",IF(COUNTIF('My Colleges'!$B$8:$B$27,B61)&gt;0,"On list",""))</f>
        <v/>
      </c>
      <c r="B61" s="27" t="str">
        <f aca="false">IF(DB_Colleges!A55="","",DB_Colleges!A55)</f>
        <v>Tuskegee University</v>
      </c>
      <c r="C61" s="26" t="str">
        <f aca="false">IF(B61="","",DB_Colleges!B55)</f>
        <v>HBCU</v>
      </c>
      <c r="D61" s="26" t="str">
        <f aca="false">IF(B61="","",DB_Colleges!C55&amp;", "&amp;DB_Colleges!D55)</f>
        <v>Tuskegee, AL</v>
      </c>
      <c r="E61" s="26" t="str">
        <f aca="false">IF(B61="","",IF(AND(NOT(ISNUMBER($X$4)),NOT(ISNUMBER($Y$4))),"Add scores",IF(NOT(ISNUMBER(DB_Colleges!Y55)),IF(OR(C61="Ivy League",C61="Highly Selective"),"Reach",IF(COUNT(U61:V61)=0,"No data",CHOOSE(W61+2,"Reach","Target","Likely"))),IF(DB_Colleges!Y55&lt;0.15,"Reach",IF(DB_Colleges!Y55&gt;=0.75,IF(W61&gt;=0,"Likely","Target"),IF(DB_Colleges!Y55&gt;=0.4,CHOOSE(W61+2,"Reach","Target","Likely"),IF(W61=1,"Target","Reach")))))))</f>
        <v>Target</v>
      </c>
      <c r="F61" s="28" t="n">
        <f aca="false">IF(OR(B61="",NOT(ISNUMBER(DB_Colleges!Y55))),"",DB_Colleges!Y55)</f>
        <v>0.49</v>
      </c>
      <c r="G61" s="26" t="str">
        <f aca="false">IF(OR(B61="",NOT(ISNUMBER(DB_Colleges!Z55))),"",DB_Colleges!Z55&amp;"-"&amp;DB_Colleges!AA55)</f>
        <v/>
      </c>
      <c r="H61" s="26" t="str">
        <f aca="false">IF(OR(B61="",NOT(ISNUMBER(DB_Colleges!AD55))),"",DB_Colleges!AD55)</f>
        <v/>
      </c>
      <c r="I61" s="29" t="n">
        <f aca="false">IF(B61="","",IF(COUNT(DB_Colleges!I55:O55)=0,IF(DB_Colleges!P55="Yes","Rolling","Check site"),MIN(DB_Colleges!I55:O55)))</f>
        <v>46357</v>
      </c>
      <c r="J61" s="26" t="str">
        <f aca="false">IF(OR(B61="",COUNT(DB_Colleges!I55:O55)=0),"",INDEX({"ED","ED II","EA","EA II","REA","RD","Priority"},MATCH(MIN(DB_Colleges!I55:O55),DB_Colleges!I55:O55,0)))</f>
        <v>Priority</v>
      </c>
      <c r="K61" s="29" t="n">
        <f aca="false">IF(OR(B61="",NOT(ISNUMBER(DB_Colleges!N55))),"",DB_Colleges!N55)</f>
        <v>46569</v>
      </c>
      <c r="L61" s="26" t="str">
        <f aca="false">IF(B61="","",DB_Colleges!G55&amp;"")</f>
        <v>School portal</v>
      </c>
      <c r="M61" s="30" t="n">
        <f aca="false">IF(OR(B61="",NOT(ISNUMBER(DB_Colleges!S55))),"",DB_Colleges!S55)</f>
        <v>25</v>
      </c>
      <c r="N61" s="26" t="str">
        <f aca="false">IF(B61="","",DB_Colleges!U55&amp;"")</f>
        <v>Required</v>
      </c>
      <c r="O61" s="26" t="str">
        <f aca="false">IF(B61="","",IF(ISNUMBER(DB_Colleges!AH55),DB_Colleges!AH55,"Check"))</f>
        <v>Check</v>
      </c>
      <c r="P61" s="26" t="str">
        <f aca="false">IF(B61="","",DB_Colleges!W55&amp;"")</f>
        <v>Not required</v>
      </c>
      <c r="Q61" s="30" t="str">
        <f aca="false">IF(OR(B61="",NOT(ISNUMBER(DB_Colleges!AF55))),"",DB_Colleges!AF55)</f>
        <v/>
      </c>
      <c r="R61" s="28" t="n">
        <f aca="false">IF(OR(B61="",NOT(ISNUMBER(DB_Colleges!AG55))),"",DB_Colleges!AG55)</f>
        <v>0.43</v>
      </c>
      <c r="S61" s="26" t="str">
        <f aca="false">IF(B61="","",DB_Colleges!AK55&amp;"")</f>
        <v>Mixed</v>
      </c>
      <c r="T61" s="26" t="str">
        <f aca="false">IF(B61="","",DB_Colleges!AI55&amp;"")</f>
        <v>https://www.tuskegee.edu/admissions/Criteria-for-Freshmen.html</v>
      </c>
      <c r="U61" s="1" t="str">
        <f aca="false">IF(AND(ISNUMBER($X$4),ISNUMBER(DB_Colleges!Z55),ISNUMBER(DB_Colleges!AA55)),IF($X$4&gt;=DB_Colleges!AA55,1,IF($X$4&lt;DB_Colleges!Z55,-1,0)),"")</f>
        <v/>
      </c>
      <c r="V61" s="1" t="str">
        <f aca="false">IF(AND(ISNUMBER($Y$4),ISNUMBER(DB_Colleges!AD55)),IF($Y$4&gt;=DB_Colleges!AD55+0.15,1,IF($Y$4&lt;DB_Colleges!AD55-0.2,-1,0)),"")</f>
        <v/>
      </c>
      <c r="W61" s="1" t="n">
        <f aca="false">IF(COUNT(U61:V61)=0,0,MIN(U61:V61))</f>
        <v>0</v>
      </c>
    </row>
    <row r="62" customFormat="false" ht="15" hidden="false" customHeight="true" outlineLevel="0" collapsed="false">
      <c r="A62" s="26" t="str">
        <f aca="false">IF(B62="","",IF(COUNTIF('My Colleges'!$B$8:$B$27,B62)&gt;0,"On list",""))</f>
        <v/>
      </c>
      <c r="B62" s="27" t="str">
        <f aca="false">IF(DB_Colleges!A56="","",DB_Colleges!A56)</f>
        <v>Xavier University of Louisiana</v>
      </c>
      <c r="C62" s="26" t="str">
        <f aca="false">IF(B62="","",DB_Colleges!B56)</f>
        <v>HBCU</v>
      </c>
      <c r="D62" s="26" t="str">
        <f aca="false">IF(B62="","",DB_Colleges!C56&amp;", "&amp;DB_Colleges!D56)</f>
        <v>New Orleans, LA</v>
      </c>
      <c r="E62" s="26" t="str">
        <f aca="false">IF(B62="","",IF(AND(NOT(ISNUMBER($X$4)),NOT(ISNUMBER($Y$4))),"Add scores",IF(NOT(ISNUMBER(DB_Colleges!Y56)),IF(OR(C62="Ivy League",C62="Highly Selective"),"Reach",IF(COUNT(U62:V62)=0,"No data",CHOOSE(W62+2,"Reach","Target","Likely"))),IF(DB_Colleges!Y56&lt;0.15,"Reach",IF(DB_Colleges!Y56&gt;=0.75,IF(W62&gt;=0,"Likely","Target"),IF(DB_Colleges!Y56&gt;=0.4,CHOOSE(W62+2,"Reach","Target","Likely"),IF(W62=1,"Target","Reach")))))))</f>
        <v>Reach</v>
      </c>
      <c r="F62" s="28" t="n">
        <f aca="false">IF(OR(B62="",NOT(ISNUMBER(DB_Colleges!Y56))),"",DB_Colleges!Y56)</f>
        <v>0.67</v>
      </c>
      <c r="G62" s="26" t="str">
        <f aca="false">IF(OR(B62="",NOT(ISNUMBER(DB_Colleges!Z56))),"",DB_Colleges!Z56&amp;"-"&amp;DB_Colleges!AA56)</f>
        <v>1010-1140</v>
      </c>
      <c r="H62" s="26" t="n">
        <f aca="false">IF(OR(B62="",NOT(ISNUMBER(DB_Colleges!AD56))),"",DB_Colleges!AD56)</f>
        <v>3.67</v>
      </c>
      <c r="I62" s="29" t="n">
        <f aca="false">IF(B62="","",IF(COUNT(DB_Colleges!I56:O56)=0,IF(DB_Colleges!P56="Yes","Rolling","Check site"),MIN(DB_Colleges!I56:O56)))</f>
        <v>46447</v>
      </c>
      <c r="J62" s="26" t="str">
        <f aca="false">IF(OR(B62="",COUNT(DB_Colleges!I56:O56)=0),"",INDEX({"ED","ED II","EA","EA II","REA","RD","Priority"},MATCH(MIN(DB_Colleges!I56:O56),DB_Colleges!I56:O56,0)))</f>
        <v>Priority</v>
      </c>
      <c r="K62" s="29" t="str">
        <f aca="false">IF(OR(B62="",NOT(ISNUMBER(DB_Colleges!N56))),"",DB_Colleges!N56)</f>
        <v/>
      </c>
      <c r="L62" s="26" t="str">
        <f aca="false">IF(B62="","",DB_Colleges!G56&amp;"")</f>
        <v>Common App; School portal</v>
      </c>
      <c r="M62" s="30" t="n">
        <f aca="false">IF(OR(B62="",NOT(ISNUMBER(DB_Colleges!S56))),"",DB_Colleges!S56)</f>
        <v>0</v>
      </c>
      <c r="N62" s="26" t="str">
        <f aca="false">IF(B62="","",DB_Colleges!U56&amp;"")</f>
        <v>Optional</v>
      </c>
      <c r="O62" s="26" t="n">
        <f aca="false">IF(B62="","",IF(ISNUMBER(DB_Colleges!AH56),DB_Colleges!AH56,"Check"))</f>
        <v>0</v>
      </c>
      <c r="P62" s="26" t="str">
        <f aca="false">IF(B62="","",DB_Colleges!W56&amp;"")</f>
        <v>Not required</v>
      </c>
      <c r="Q62" s="30" t="str">
        <f aca="false">IF(OR(B62="",NOT(ISNUMBER(DB_Colleges!AF56))),"",DB_Colleges!AF56)</f>
        <v/>
      </c>
      <c r="R62" s="28" t="str">
        <f aca="false">IF(OR(B62="",NOT(ISNUMBER(DB_Colleges!AG56))),"",DB_Colleges!AG56)</f>
        <v/>
      </c>
      <c r="S62" s="26" t="str">
        <f aca="false">IF(B62="","",DB_Colleges!AK56&amp;"")</f>
        <v>Mixed</v>
      </c>
      <c r="T62" s="26" t="str">
        <f aca="false">IF(B62="","",DB_Colleges!AI56&amp;"")</f>
        <v>https://www.xula.edu/admissions/undergraduate-admission/firsttimefreshmen/index.html</v>
      </c>
      <c r="U62" s="1" t="n">
        <f aca="false">IF(AND(ISNUMBER($X$4),ISNUMBER(DB_Colleges!Z56),ISNUMBER(DB_Colleges!AA56)),IF($X$4&gt;=DB_Colleges!AA56,1,IF($X$4&lt;DB_Colleges!Z56,-1,0)),"")</f>
        <v>-1</v>
      </c>
      <c r="V62" s="1" t="n">
        <f aca="false">IF(AND(ISNUMBER($Y$4),ISNUMBER(DB_Colleges!AD56)),IF($Y$4&gt;=DB_Colleges!AD56+0.15,1,IF($Y$4&lt;DB_Colleges!AD56-0.2,-1,0)),"")</f>
        <v>0</v>
      </c>
      <c r="W62" s="1" t="n">
        <f aca="false">IF(COUNT(U62:V62)=0,0,MIN(U62:V62))</f>
        <v>-1</v>
      </c>
    </row>
    <row r="63" customFormat="false" ht="15" hidden="false" customHeight="true" outlineLevel="0" collapsed="false">
      <c r="A63" s="26" t="str">
        <f aca="false">IF(B63="","",IF(COUNTIF('My Colleges'!$B$8:$B$27,B63)&gt;0,"On list",""))</f>
        <v/>
      </c>
      <c r="B63" s="27" t="str">
        <f aca="false">IF(DB_Colleges!A57="","",DB_Colleges!A57)</f>
        <v>Alabama A&amp;M University</v>
      </c>
      <c r="C63" s="26" t="str">
        <f aca="false">IF(B63="","",DB_Colleges!B57)</f>
        <v>HBCU</v>
      </c>
      <c r="D63" s="26" t="str">
        <f aca="false">IF(B63="","",DB_Colleges!C57&amp;", "&amp;DB_Colleges!D57)</f>
        <v>Normal, AL</v>
      </c>
      <c r="E63" s="26" t="str">
        <f aca="false">IF(B63="","",IF(AND(NOT(ISNUMBER($X$4)),NOT(ISNUMBER($Y$4))),"Add scores",IF(NOT(ISNUMBER(DB_Colleges!Y57)),IF(OR(C63="Ivy League",C63="Highly Selective"),"Reach",IF(COUNT(U63:V63)=0,"No data",CHOOSE(W63+2,"Reach","Target","Likely"))),IF(DB_Colleges!Y57&lt;0.15,"Reach",IF(DB_Colleges!Y57&gt;=0.75,IF(W63&gt;=0,"Likely","Target"),IF(DB_Colleges!Y57&gt;=0.4,CHOOSE(W63+2,"Reach","Target","Likely"),IF(W63=1,"Target","Reach")))))))</f>
        <v>Target</v>
      </c>
      <c r="F63" s="28" t="n">
        <f aca="false">IF(OR(B63="",NOT(ISNUMBER(DB_Colleges!Y57))),"",DB_Colleges!Y57)</f>
        <v>0.58</v>
      </c>
      <c r="G63" s="26" t="str">
        <f aca="false">IF(OR(B63="",NOT(ISNUMBER(DB_Colleges!Z57))),"",DB_Colleges!Z57&amp;"-"&amp;DB_Colleges!AA57)</f>
        <v>810-1040</v>
      </c>
      <c r="H63" s="26" t="str">
        <f aca="false">IF(OR(B63="",NOT(ISNUMBER(DB_Colleges!AD57))),"",DB_Colleges!AD57)</f>
        <v/>
      </c>
      <c r="I63" s="29" t="str">
        <f aca="false">IF(B63="","",IF(COUNT(DB_Colleges!I57:O57)=0,IF(DB_Colleges!P57="Yes","Rolling","Check site"),MIN(DB_Colleges!I57:O57)))</f>
        <v>Check site</v>
      </c>
      <c r="J63" s="26" t="str">
        <f aca="false">IF(OR(B63="",COUNT(DB_Colleges!I57:O57)=0),"",INDEX({"ED","ED II","EA","EA II","REA","RD","Priority"},MATCH(MIN(DB_Colleges!I57:O57),DB_Colleges!I57:O57,0)))</f>
        <v/>
      </c>
      <c r="K63" s="29" t="str">
        <f aca="false">IF(OR(B63="",NOT(ISNUMBER(DB_Colleges!N57))),"",DB_Colleges!N57)</f>
        <v/>
      </c>
      <c r="L63" s="26" t="str">
        <f aca="false">IF(B63="","",DB_Colleges!G57&amp;"")</f>
        <v>School portal</v>
      </c>
      <c r="M63" s="30" t="n">
        <f aca="false">IF(OR(B63="",NOT(ISNUMBER(DB_Colleges!S57))),"",DB_Colleges!S57)</f>
        <v>30</v>
      </c>
      <c r="N63" s="26" t="str">
        <f aca="false">IF(B63="","",DB_Colleges!U57&amp;"")</f>
        <v>Required</v>
      </c>
      <c r="O63" s="26" t="str">
        <f aca="false">IF(B63="","",IF(ISNUMBER(DB_Colleges!AH57),DB_Colleges!AH57,"Check"))</f>
        <v>Check</v>
      </c>
      <c r="P63" s="26" t="str">
        <f aca="false">IF(B63="","",DB_Colleges!W57&amp;"")</f>
        <v>Not required</v>
      </c>
      <c r="Q63" s="30" t="str">
        <f aca="false">IF(OR(B63="",NOT(ISNUMBER(DB_Colleges!AF57))),"",DB_Colleges!AF57)</f>
        <v/>
      </c>
      <c r="R63" s="28" t="str">
        <f aca="false">IF(OR(B63="",NOT(ISNUMBER(DB_Colleges!AG57))),"",DB_Colleges!AG57)</f>
        <v/>
      </c>
      <c r="S63" s="26" t="str">
        <f aca="false">IF(B63="","",DB_Colleges!AK57&amp;"")</f>
        <v>Mixed</v>
      </c>
      <c r="T63" s="26" t="str">
        <f aca="false">IF(B63="","",DB_Colleges!AI57&amp;"")</f>
        <v>https://www.aamu.edu/admissions-aid/undergraduate-admissions/incoming-freshman-students.html</v>
      </c>
      <c r="U63" s="1" t="n">
        <f aca="false">IF(AND(ISNUMBER($X$4),ISNUMBER(DB_Colleges!Z57),ISNUMBER(DB_Colleges!AA57)),IF($X$4&gt;=DB_Colleges!AA57,1,IF($X$4&lt;DB_Colleges!Z57,-1,0)),"")</f>
        <v>0</v>
      </c>
      <c r="V63" s="1" t="str">
        <f aca="false">IF(AND(ISNUMBER($Y$4),ISNUMBER(DB_Colleges!AD57)),IF($Y$4&gt;=DB_Colleges!AD57+0.15,1,IF($Y$4&lt;DB_Colleges!AD57-0.2,-1,0)),"")</f>
        <v/>
      </c>
      <c r="W63" s="1" t="n">
        <f aca="false">IF(COUNT(U63:V63)=0,0,MIN(U63:V63))</f>
        <v>0</v>
      </c>
    </row>
    <row r="64" customFormat="false" ht="15" hidden="false" customHeight="true" outlineLevel="0" collapsed="false">
      <c r="A64" s="26" t="str">
        <f aca="false">IF(B64="","",IF(COUNTIF('My Colleges'!$B$8:$B$27,B64)&gt;0,"On list",""))</f>
        <v/>
      </c>
      <c r="B64" s="27" t="str">
        <f aca="false">IF(DB_Colleges!A58="","",DB_Colleges!A58)</f>
        <v>Alabama State University</v>
      </c>
      <c r="C64" s="26" t="str">
        <f aca="false">IF(B64="","",DB_Colleges!B58)</f>
        <v>HBCU</v>
      </c>
      <c r="D64" s="26" t="str">
        <f aca="false">IF(B64="","",DB_Colleges!C58&amp;", "&amp;DB_Colleges!D58)</f>
        <v>Montgomery, AL</v>
      </c>
      <c r="E64" s="26" t="str">
        <f aca="false">IF(B64="","",IF(AND(NOT(ISNUMBER($X$4)),NOT(ISNUMBER($Y$4))),"Add scores",IF(NOT(ISNUMBER(DB_Colleges!Y58)),IF(OR(C64="Ivy League",C64="Highly Selective"),"Reach",IF(COUNT(U64:V64)=0,"No data",CHOOSE(W64+2,"Reach","Target","Likely"))),IF(DB_Colleges!Y58&lt;0.15,"Reach",IF(DB_Colleges!Y58&gt;=0.75,IF(W64&gt;=0,"Likely","Target"),IF(DB_Colleges!Y58&gt;=0.4,CHOOSE(W64+2,"Reach","Target","Likely"),IF(W64=1,"Target","Reach")))))))</f>
        <v>Likely</v>
      </c>
      <c r="F64" s="28" t="n">
        <f aca="false">IF(OR(B64="",NOT(ISNUMBER(DB_Colleges!Y58))),"",DB_Colleges!Y58)</f>
        <v>0.98</v>
      </c>
      <c r="G64" s="26" t="str">
        <f aca="false">IF(OR(B64="",NOT(ISNUMBER(DB_Colleges!Z58))),"",DB_Colleges!Z58&amp;"-"&amp;DB_Colleges!AA58)</f>
        <v>749-967</v>
      </c>
      <c r="H64" s="26" t="str">
        <f aca="false">IF(OR(B64="",NOT(ISNUMBER(DB_Colleges!AD58))),"",DB_Colleges!AD58)</f>
        <v/>
      </c>
      <c r="I64" s="29" t="n">
        <f aca="false">IF(B64="","",IF(COUNT(DB_Colleges!I58:O58)=0,IF(DB_Colleges!P58="Yes","Rolling","Check site"),MIN(DB_Colleges!I58:O58)))</f>
        <v>46598</v>
      </c>
      <c r="J64" s="26" t="str">
        <f aca="false">IF(OR(B64="",COUNT(DB_Colleges!I58:O58)=0),"",INDEX({"ED","ED II","EA","EA II","REA","RD","Priority"},MATCH(MIN(DB_Colleges!I58:O58),DB_Colleges!I58:O58,0)))</f>
        <v>RD</v>
      </c>
      <c r="K64" s="29" t="n">
        <f aca="false">IF(OR(B64="",NOT(ISNUMBER(DB_Colleges!N58))),"",DB_Colleges!N58)</f>
        <v>46598</v>
      </c>
      <c r="L64" s="26" t="str">
        <f aca="false">IF(B64="","",DB_Colleges!G58&amp;"")</f>
        <v>Common App; School portal</v>
      </c>
      <c r="M64" s="30" t="n">
        <f aca="false">IF(OR(B64="",NOT(ISNUMBER(DB_Colleges!S58))),"",DB_Colleges!S58)</f>
        <v>30</v>
      </c>
      <c r="N64" s="26" t="str">
        <f aca="false">IF(B64="","",DB_Colleges!U58&amp;"")</f>
        <v>Optional</v>
      </c>
      <c r="O64" s="26" t="str">
        <f aca="false">IF(B64="","",IF(ISNUMBER(DB_Colleges!AH58),DB_Colleges!AH58,"Check"))</f>
        <v>Check</v>
      </c>
      <c r="P64" s="26" t="str">
        <f aca="false">IF(B64="","",DB_Colleges!W58&amp;"")</f>
        <v>Not required</v>
      </c>
      <c r="Q64" s="30" t="str">
        <f aca="false">IF(OR(B64="",NOT(ISNUMBER(DB_Colleges!AF58))),"",DB_Colleges!AF58)</f>
        <v/>
      </c>
      <c r="R64" s="28" t="str">
        <f aca="false">IF(OR(B64="",NOT(ISNUMBER(DB_Colleges!AG58))),"",DB_Colleges!AG58)</f>
        <v/>
      </c>
      <c r="S64" s="26" t="str">
        <f aca="false">IF(B64="","",DB_Colleges!AK58&amp;"")</f>
        <v>Mixed</v>
      </c>
      <c r="T64" s="26" t="str">
        <f aca="false">IF(B64="","",DB_Colleges!AI58&amp;"")</f>
        <v>https://www.commonapp.org/explore/alabama-state-university/</v>
      </c>
      <c r="U64" s="1" t="n">
        <f aca="false">IF(AND(ISNUMBER($X$4),ISNUMBER(DB_Colleges!Z58),ISNUMBER(DB_Colleges!AA58)),IF($X$4&gt;=DB_Colleges!AA58,1,IF($X$4&lt;DB_Colleges!Z58,-1,0)),"")</f>
        <v>0</v>
      </c>
      <c r="V64" s="1" t="str">
        <f aca="false">IF(AND(ISNUMBER($Y$4),ISNUMBER(DB_Colleges!AD58)),IF($Y$4&gt;=DB_Colleges!AD58+0.15,1,IF($Y$4&lt;DB_Colleges!AD58-0.2,-1,0)),"")</f>
        <v/>
      </c>
      <c r="W64" s="1" t="n">
        <f aca="false">IF(COUNT(U64:V64)=0,0,MIN(U64:V64))</f>
        <v>0</v>
      </c>
    </row>
    <row r="65" customFormat="false" ht="15" hidden="false" customHeight="true" outlineLevel="0" collapsed="false">
      <c r="A65" s="26" t="str">
        <f aca="false">IF(B65="","",IF(COUNTIF('My Colleges'!$B$8:$B$27,B65)&gt;0,"On list",""))</f>
        <v/>
      </c>
      <c r="B65" s="27" t="str">
        <f aca="false">IF(DB_Colleges!A59="","",DB_Colleges!A59)</f>
        <v>Jackson State University</v>
      </c>
      <c r="C65" s="26" t="str">
        <f aca="false">IF(B65="","",DB_Colleges!B59)</f>
        <v>HBCU</v>
      </c>
      <c r="D65" s="26" t="str">
        <f aca="false">IF(B65="","",DB_Colleges!C59&amp;", "&amp;DB_Colleges!D59)</f>
        <v>Jackson, MS</v>
      </c>
      <c r="E65" s="26" t="str">
        <f aca="false">IF(B65="","",IF(AND(NOT(ISNUMBER($X$4)),NOT(ISNUMBER($Y$4))),"Add scores",IF(NOT(ISNUMBER(DB_Colleges!Y59)),IF(OR(C65="Ivy League",C65="Highly Selective"),"Reach",IF(COUNT(U65:V65)=0,"No data",CHOOSE(W65+2,"Reach","Target","Likely"))),IF(DB_Colleges!Y59&lt;0.15,"Reach",IF(DB_Colleges!Y59&gt;=0.75,IF(W65&gt;=0,"Likely","Target"),IF(DB_Colleges!Y59&gt;=0.4,CHOOSE(W65+2,"Reach","Target","Likely"),IF(W65=1,"Target","Reach")))))))</f>
        <v>Likely</v>
      </c>
      <c r="F65" s="28" t="n">
        <f aca="false">IF(OR(B65="",NOT(ISNUMBER(DB_Colleges!Y59))),"",DB_Colleges!Y59)</f>
        <v>0.96</v>
      </c>
      <c r="G65" s="26" t="str">
        <f aca="false">IF(OR(B65="",NOT(ISNUMBER(DB_Colleges!Z59))),"",DB_Colleges!Z59&amp;"-"&amp;DB_Colleges!AA59)</f>
        <v>800-1030</v>
      </c>
      <c r="H65" s="26" t="str">
        <f aca="false">IF(OR(B65="",NOT(ISNUMBER(DB_Colleges!AD59))),"",DB_Colleges!AD59)</f>
        <v/>
      </c>
      <c r="I65" s="29" t="n">
        <f aca="false">IF(B65="","",IF(COUNT(DB_Colleges!I59:O59)=0,IF(DB_Colleges!P59="Yes","Rolling","Check site"),MIN(DB_Colleges!I59:O59)))</f>
        <v>46611</v>
      </c>
      <c r="J65" s="26" t="str">
        <f aca="false">IF(OR(B65="",COUNT(DB_Colleges!I59:O59)=0),"",INDEX({"ED","ED II","EA","EA II","REA","RD","Priority"},MATCH(MIN(DB_Colleges!I59:O59),DB_Colleges!I59:O59,0)))</f>
        <v>Priority</v>
      </c>
      <c r="K65" s="29" t="str">
        <f aca="false">IF(OR(B65="",NOT(ISNUMBER(DB_Colleges!N59))),"",DB_Colleges!N59)</f>
        <v/>
      </c>
      <c r="L65" s="26" t="str">
        <f aca="false">IF(B65="","",DB_Colleges!G59&amp;"")</f>
        <v>School portal</v>
      </c>
      <c r="M65" s="30" t="str">
        <f aca="false">IF(OR(B65="",NOT(ISNUMBER(DB_Colleges!S59))),"",DB_Colleges!S59)</f>
        <v/>
      </c>
      <c r="N65" s="26" t="str">
        <f aca="false">IF(B65="","",DB_Colleges!U59&amp;"")</f>
        <v>Optional</v>
      </c>
      <c r="O65" s="26" t="str">
        <f aca="false">IF(B65="","",IF(ISNUMBER(DB_Colleges!AH59),DB_Colleges!AH59,"Check"))</f>
        <v>Check</v>
      </c>
      <c r="P65" s="26" t="str">
        <f aca="false">IF(B65="","",DB_Colleges!W59&amp;"")</f>
        <v>Not required</v>
      </c>
      <c r="Q65" s="30" t="str">
        <f aca="false">IF(OR(B65="",NOT(ISNUMBER(DB_Colleges!AF59))),"",DB_Colleges!AF59)</f>
        <v/>
      </c>
      <c r="R65" s="28" t="str">
        <f aca="false">IF(OR(B65="",NOT(ISNUMBER(DB_Colleges!AG59))),"",DB_Colleges!AG59)</f>
        <v/>
      </c>
      <c r="S65" s="26" t="str">
        <f aca="false">IF(B65="","",DB_Colleges!AK59&amp;"")</f>
        <v>Mixed</v>
      </c>
      <c r="T65" s="26" t="str">
        <f aca="false">IF(B65="","",DB_Colleges!AI59&amp;"")</f>
        <v>https://www.jsums.edu/admissions/requirements/freshman/</v>
      </c>
      <c r="U65" s="1" t="n">
        <f aca="false">IF(AND(ISNUMBER($X$4),ISNUMBER(DB_Colleges!Z59),ISNUMBER(DB_Colleges!AA59)),IF($X$4&gt;=DB_Colleges!AA59,1,IF($X$4&lt;DB_Colleges!Z59,-1,0)),"")</f>
        <v>0</v>
      </c>
      <c r="V65" s="1" t="str">
        <f aca="false">IF(AND(ISNUMBER($Y$4),ISNUMBER(DB_Colleges!AD59)),IF($Y$4&gt;=DB_Colleges!AD59+0.15,1,IF($Y$4&lt;DB_Colleges!AD59-0.2,-1,0)),"")</f>
        <v/>
      </c>
      <c r="W65" s="1" t="n">
        <f aca="false">IF(COUNT(U65:V65)=0,0,MIN(U65:V65))</f>
        <v>0</v>
      </c>
    </row>
    <row r="66" customFormat="false" ht="15" hidden="false" customHeight="true" outlineLevel="0" collapsed="false">
      <c r="A66" s="26" t="str">
        <f aca="false">IF(B66="","",IF(COUNTIF('My Colleges'!$B$8:$B$27,B66)&gt;0,"On list",""))</f>
        <v/>
      </c>
      <c r="B66" s="27" t="str">
        <f aca="false">IF(DB_Colleges!A60="","",DB_Colleges!A60)</f>
        <v>Southern University and A&amp;M College</v>
      </c>
      <c r="C66" s="26" t="str">
        <f aca="false">IF(B66="","",DB_Colleges!B60)</f>
        <v>HBCU</v>
      </c>
      <c r="D66" s="26" t="str">
        <f aca="false">IF(B66="","",DB_Colleges!C60&amp;", "&amp;DB_Colleges!D60)</f>
        <v>Baton Rouge, LA</v>
      </c>
      <c r="E66" s="26" t="str">
        <f aca="false">IF(B66="","",IF(AND(NOT(ISNUMBER($X$4)),NOT(ISNUMBER($Y$4))),"Add scores",IF(NOT(ISNUMBER(DB_Colleges!Y60)),IF(OR(C66="Ivy League",C66="Highly Selective"),"Reach",IF(COUNT(U66:V66)=0,"No data",CHOOSE(W66+2,"Reach","Target","Likely"))),IF(DB_Colleges!Y60&lt;0.15,"Reach",IF(DB_Colleges!Y60&gt;=0.75,IF(W66&gt;=0,"Likely","Target"),IF(DB_Colleges!Y60&gt;=0.4,CHOOSE(W66+2,"Reach","Target","Likely"),IF(W66=1,"Target","Reach")))))))</f>
        <v>No data</v>
      </c>
      <c r="F66" s="28" t="str">
        <f aca="false">IF(OR(B66="",NOT(ISNUMBER(DB_Colleges!Y60))),"",DB_Colleges!Y60)</f>
        <v/>
      </c>
      <c r="G66" s="26" t="str">
        <f aca="false">IF(OR(B66="",NOT(ISNUMBER(DB_Colleges!Z60))),"",DB_Colleges!Z60&amp;"-"&amp;DB_Colleges!AA60)</f>
        <v/>
      </c>
      <c r="H66" s="26" t="str">
        <f aca="false">IF(OR(B66="",NOT(ISNUMBER(DB_Colleges!AD60))),"",DB_Colleges!AD60)</f>
        <v/>
      </c>
      <c r="I66" s="29" t="str">
        <f aca="false">IF(B66="","",IF(COUNT(DB_Colleges!I60:O60)=0,IF(DB_Colleges!P60="Yes","Rolling","Check site"),MIN(DB_Colleges!I60:O60)))</f>
        <v>Rolling</v>
      </c>
      <c r="J66" s="26" t="str">
        <f aca="false">IF(OR(B66="",COUNT(DB_Colleges!I60:O60)=0),"",INDEX({"ED","ED II","EA","EA II","REA","RD","Priority"},MATCH(MIN(DB_Colleges!I60:O60),DB_Colleges!I60:O60,0)))</f>
        <v/>
      </c>
      <c r="K66" s="29" t="str">
        <f aca="false">IF(OR(B66="",NOT(ISNUMBER(DB_Colleges!N60))),"",DB_Colleges!N60)</f>
        <v/>
      </c>
      <c r="L66" s="26" t="str">
        <f aca="false">IF(B66="","",DB_Colleges!G60&amp;"")</f>
        <v>School portal</v>
      </c>
      <c r="M66" s="30" t="n">
        <f aca="false">IF(OR(B66="",NOT(ISNUMBER(DB_Colleges!S60))),"",DB_Colleges!S60)</f>
        <v>25</v>
      </c>
      <c r="N66" s="26" t="str">
        <f aca="false">IF(B66="","",DB_Colleges!U60&amp;"")</f>
        <v>Required</v>
      </c>
      <c r="O66" s="26" t="str">
        <f aca="false">IF(B66="","",IF(ISNUMBER(DB_Colleges!AH60),DB_Colleges!AH60,"Check"))</f>
        <v>Check</v>
      </c>
      <c r="P66" s="26" t="str">
        <f aca="false">IF(B66="","",DB_Colleges!W60&amp;"")</f>
        <v>Not required</v>
      </c>
      <c r="Q66" s="30" t="str">
        <f aca="false">IF(OR(B66="",NOT(ISNUMBER(DB_Colleges!AF60))),"",DB_Colleges!AF60)</f>
        <v/>
      </c>
      <c r="R66" s="28" t="str">
        <f aca="false">IF(OR(B66="",NOT(ISNUMBER(DB_Colleges!AG60))),"",DB_Colleges!AG60)</f>
        <v/>
      </c>
      <c r="S66" s="26" t="str">
        <f aca="false">IF(B66="","",DB_Colleges!AK60&amp;"")</f>
        <v>Mixed</v>
      </c>
      <c r="T66" s="26" t="str">
        <f aca="false">IF(B66="","",DB_Colleges!AI60&amp;"")</f>
        <v>https://www.subr.edu/page/admission-requirements-online</v>
      </c>
      <c r="U66" s="1" t="str">
        <f aca="false">IF(AND(ISNUMBER($X$4),ISNUMBER(DB_Colleges!Z60),ISNUMBER(DB_Colleges!AA60)),IF($X$4&gt;=DB_Colleges!AA60,1,IF($X$4&lt;DB_Colleges!Z60,-1,0)),"")</f>
        <v/>
      </c>
      <c r="V66" s="1" t="str">
        <f aca="false">IF(AND(ISNUMBER($Y$4),ISNUMBER(DB_Colleges!AD60)),IF($Y$4&gt;=DB_Colleges!AD60+0.15,1,IF($Y$4&lt;DB_Colleges!AD60-0.2,-1,0)),"")</f>
        <v/>
      </c>
      <c r="W66" s="1" t="n">
        <f aca="false">IF(COUNT(U66:V66)=0,0,MIN(U66:V66))</f>
        <v>0</v>
      </c>
    </row>
    <row r="67" customFormat="false" ht="15" hidden="false" customHeight="true" outlineLevel="0" collapsed="false">
      <c r="A67" s="26" t="str">
        <f aca="false">IF(B67="","",IF(COUNTIF('My Colleges'!$B$8:$B$27,B67)&gt;0,"On list",""))</f>
        <v/>
      </c>
      <c r="B67" s="27" t="str">
        <f aca="false">IF(DB_Colleges!A61="","",DB_Colleges!A61)</f>
        <v>Grambling State University</v>
      </c>
      <c r="C67" s="26" t="str">
        <f aca="false">IF(B67="","",DB_Colleges!B61)</f>
        <v>HBCU</v>
      </c>
      <c r="D67" s="26" t="str">
        <f aca="false">IF(B67="","",DB_Colleges!C61&amp;", "&amp;DB_Colleges!D61)</f>
        <v>Grambling, LA</v>
      </c>
      <c r="E67" s="26" t="str">
        <f aca="false">IF(B67="","",IF(AND(NOT(ISNUMBER($X$4)),NOT(ISNUMBER($Y$4))),"Add scores",IF(NOT(ISNUMBER(DB_Colleges!Y61)),IF(OR(C67="Ivy League",C67="Highly Selective"),"Reach",IF(COUNT(U67:V67)=0,"No data",CHOOSE(W67+2,"Reach","Target","Likely"))),IF(DB_Colleges!Y61&lt;0.15,"Reach",IF(DB_Colleges!Y61&gt;=0.75,IF(W67&gt;=0,"Likely","Target"),IF(DB_Colleges!Y61&gt;=0.4,CHOOSE(W67+2,"Reach","Target","Likely"),IF(W67=1,"Target","Reach")))))))</f>
        <v>Reach</v>
      </c>
      <c r="F67" s="28" t="n">
        <f aca="false">IF(OR(B67="",NOT(ISNUMBER(DB_Colleges!Y61))),"",DB_Colleges!Y61)</f>
        <v>0.45</v>
      </c>
      <c r="G67" s="26" t="str">
        <f aca="false">IF(OR(B67="",NOT(ISNUMBER(DB_Colleges!Z61))),"",DB_Colleges!Z61&amp;"-"&amp;DB_Colleges!AA61)</f>
        <v>920-1140</v>
      </c>
      <c r="H67" s="26" t="str">
        <f aca="false">IF(OR(B67="",NOT(ISNUMBER(DB_Colleges!AD61))),"",DB_Colleges!AD61)</f>
        <v/>
      </c>
      <c r="I67" s="29" t="str">
        <f aca="false">IF(B67="","",IF(COUNT(DB_Colleges!I61:O61)=0,IF(DB_Colleges!P61="Yes","Rolling","Check site"),MIN(DB_Colleges!I61:O61)))</f>
        <v>Check site</v>
      </c>
      <c r="J67" s="26" t="str">
        <f aca="false">IF(OR(B67="",COUNT(DB_Colleges!I61:O61)=0),"",INDEX({"ED","ED II","EA","EA II","REA","RD","Priority"},MATCH(MIN(DB_Colleges!I61:O61),DB_Colleges!I61:O61,0)))</f>
        <v/>
      </c>
      <c r="K67" s="29" t="str">
        <f aca="false">IF(OR(B67="",NOT(ISNUMBER(DB_Colleges!N61))),"",DB_Colleges!N61)</f>
        <v/>
      </c>
      <c r="L67" s="26" t="str">
        <f aca="false">IF(B67="","",DB_Colleges!G61&amp;"")</f>
        <v>School portal</v>
      </c>
      <c r="M67" s="30" t="n">
        <f aca="false">IF(OR(B67="",NOT(ISNUMBER(DB_Colleges!S61))),"",DB_Colleges!S61)</f>
        <v>20</v>
      </c>
      <c r="N67" s="26" t="str">
        <f aca="false">IF(B67="","",DB_Colleges!U61&amp;"")</f>
        <v>Required</v>
      </c>
      <c r="O67" s="26" t="str">
        <f aca="false">IF(B67="","",IF(ISNUMBER(DB_Colleges!AH61),DB_Colleges!AH61,"Check"))</f>
        <v>Check</v>
      </c>
      <c r="P67" s="26" t="str">
        <f aca="false">IF(B67="","",DB_Colleges!W61&amp;"")</f>
        <v>Not required</v>
      </c>
      <c r="Q67" s="30" t="str">
        <f aca="false">IF(OR(B67="",NOT(ISNUMBER(DB_Colleges!AF61))),"",DB_Colleges!AF61)</f>
        <v/>
      </c>
      <c r="R67" s="28" t="str">
        <f aca="false">IF(OR(B67="",NOT(ISNUMBER(DB_Colleges!AG61))),"",DB_Colleges!AG61)</f>
        <v/>
      </c>
      <c r="S67" s="26" t="str">
        <f aca="false">IF(B67="","",DB_Colleges!AK61&amp;"")</f>
        <v>Mixed</v>
      </c>
      <c r="T67" s="26" t="str">
        <f aca="false">IF(B67="","",DB_Colleges!AI61&amp;"")</f>
        <v>https://www.gram.edu/admissions/freshman.php</v>
      </c>
      <c r="U67" s="1" t="n">
        <f aca="false">IF(AND(ISNUMBER($X$4),ISNUMBER(DB_Colleges!Z61),ISNUMBER(DB_Colleges!AA61)),IF($X$4&gt;=DB_Colleges!AA61,1,IF($X$4&lt;DB_Colleges!Z61,-1,0)),"")</f>
        <v>-1</v>
      </c>
      <c r="V67" s="1" t="str">
        <f aca="false">IF(AND(ISNUMBER($Y$4),ISNUMBER(DB_Colleges!AD61)),IF($Y$4&gt;=DB_Colleges!AD61+0.15,1,IF($Y$4&lt;DB_Colleges!AD61-0.2,-1,0)),"")</f>
        <v/>
      </c>
      <c r="W67" s="1" t="n">
        <f aca="false">IF(COUNT(U67:V67)=0,0,MIN(U67:V67))</f>
        <v>-1</v>
      </c>
    </row>
    <row r="68" customFormat="false" ht="15" hidden="false" customHeight="true" outlineLevel="0" collapsed="false">
      <c r="A68" s="26" t="str">
        <f aca="false">IF(B68="","",IF(COUNTIF('My Colleges'!$B$8:$B$27,B68)&gt;0,"On list",""))</f>
        <v/>
      </c>
      <c r="B68" s="27" t="str">
        <f aca="false">IF(DB_Colleges!A62="","",DB_Colleges!A62)</f>
        <v>Tennessee State University</v>
      </c>
      <c r="C68" s="26" t="str">
        <f aca="false">IF(B68="","",DB_Colleges!B62)</f>
        <v>HBCU</v>
      </c>
      <c r="D68" s="26" t="str">
        <f aca="false">IF(B68="","",DB_Colleges!C62&amp;", "&amp;DB_Colleges!D62)</f>
        <v>Nashville, TN</v>
      </c>
      <c r="E68" s="26" t="str">
        <f aca="false">IF(B68="","",IF(AND(NOT(ISNUMBER($X$4)),NOT(ISNUMBER($Y$4))),"Add scores",IF(NOT(ISNUMBER(DB_Colleges!Y62)),IF(OR(C68="Ivy League",C68="Highly Selective"),"Reach",IF(COUNT(U68:V68)=0,"No data",CHOOSE(W68+2,"Reach","Target","Likely"))),IF(DB_Colleges!Y62&lt;0.15,"Reach",IF(DB_Colleges!Y62&gt;=0.75,IF(W68&gt;=0,"Likely","Target"),IF(DB_Colleges!Y62&gt;=0.4,CHOOSE(W68+2,"Reach","Target","Likely"),IF(W68=1,"Target","Reach")))))))</f>
        <v>Likely</v>
      </c>
      <c r="F68" s="28" t="n">
        <f aca="false">IF(OR(B68="",NOT(ISNUMBER(DB_Colleges!Y62))),"",DB_Colleges!Y62)</f>
        <v>0.701</v>
      </c>
      <c r="G68" s="26" t="str">
        <f aca="false">IF(OR(B68="",NOT(ISNUMBER(DB_Colleges!Z62))),"",DB_Colleges!Z62&amp;"-"&amp;DB_Colleges!AA62)</f>
        <v/>
      </c>
      <c r="H68" s="26" t="n">
        <f aca="false">IF(OR(B68="",NOT(ISNUMBER(DB_Colleges!AD62))),"",DB_Colleges!AD62)</f>
        <v>3.22</v>
      </c>
      <c r="I68" s="29" t="str">
        <f aca="false">IF(B68="","",IF(COUNT(DB_Colleges!I62:O62)=0,IF(DB_Colleges!P62="Yes","Rolling","Check site"),MIN(DB_Colleges!I62:O62)))</f>
        <v>Rolling</v>
      </c>
      <c r="J68" s="26" t="str">
        <f aca="false">IF(OR(B68="",COUNT(DB_Colleges!I62:O62)=0),"",INDEX({"ED","ED II","EA","EA II","REA","RD","Priority"},MATCH(MIN(DB_Colleges!I62:O62),DB_Colleges!I62:O62,0)))</f>
        <v/>
      </c>
      <c r="K68" s="29" t="str">
        <f aca="false">IF(OR(B68="",NOT(ISNUMBER(DB_Colleges!N62))),"",DB_Colleges!N62)</f>
        <v/>
      </c>
      <c r="L68" s="26" t="str">
        <f aca="false">IF(B68="","",DB_Colleges!G62&amp;"")</f>
        <v>School portal; Common Black College App</v>
      </c>
      <c r="M68" s="30" t="n">
        <f aca="false">IF(OR(B68="",NOT(ISNUMBER(DB_Colleges!S62))),"",DB_Colleges!S62)</f>
        <v>25</v>
      </c>
      <c r="N68" s="26" t="str">
        <f aca="false">IF(B68="","",DB_Colleges!U62&amp;"")</f>
        <v>Required</v>
      </c>
      <c r="O68" s="26" t="str">
        <f aca="false">IF(B68="","",IF(ISNUMBER(DB_Colleges!AH62),DB_Colleges!AH62,"Check"))</f>
        <v>Check</v>
      </c>
      <c r="P68" s="26" t="str">
        <f aca="false">IF(B68="","",DB_Colleges!W62&amp;"")</f>
        <v>Not required</v>
      </c>
      <c r="Q68" s="30" t="n">
        <f aca="false">IF(OR(B68="",NOT(ISNUMBER(DB_Colleges!AF62))),"",DB_Colleges!AF62)</f>
        <v>15005</v>
      </c>
      <c r="R68" s="28" t="n">
        <f aca="false">IF(OR(B68="",NOT(ISNUMBER(DB_Colleges!AG62))),"",DB_Colleges!AG62)</f>
        <v>0.36</v>
      </c>
      <c r="S68" s="26" t="str">
        <f aca="false">IF(B68="","",DB_Colleges!AK62&amp;"")</f>
        <v>Mixed</v>
      </c>
      <c r="T68" s="26" t="str">
        <f aca="false">IF(B68="","",DB_Colleges!AI62&amp;"")</f>
        <v>https://www.tnstate.edu/admissions/</v>
      </c>
      <c r="U68" s="1" t="str">
        <f aca="false">IF(AND(ISNUMBER($X$4),ISNUMBER(DB_Colleges!Z62),ISNUMBER(DB_Colleges!AA62)),IF($X$4&gt;=DB_Colleges!AA62,1,IF($X$4&lt;DB_Colleges!Z62,-1,0)),"")</f>
        <v/>
      </c>
      <c r="V68" s="1" t="n">
        <f aca="false">IF(AND(ISNUMBER($Y$4),ISNUMBER(DB_Colleges!AD62)),IF($Y$4&gt;=DB_Colleges!AD62+0.15,1,IF($Y$4&lt;DB_Colleges!AD62-0.2,-1,0)),"")</f>
        <v>1</v>
      </c>
      <c r="W68" s="1" t="n">
        <f aca="false">IF(COUNT(U68:V68)=0,0,MIN(U68:V68))</f>
        <v>1</v>
      </c>
    </row>
    <row r="69" customFormat="false" ht="15" hidden="false" customHeight="true" outlineLevel="0" collapsed="false">
      <c r="A69" s="26" t="str">
        <f aca="false">IF(B69="","",IF(COUNTIF('My Colleges'!$B$8:$B$27,B69)&gt;0,"On list",""))</f>
        <v/>
      </c>
      <c r="B69" s="27" t="str">
        <f aca="false">IF(DB_Colleges!A63="","",DB_Colleges!A63)</f>
        <v>Fisk University</v>
      </c>
      <c r="C69" s="26" t="str">
        <f aca="false">IF(B69="","",DB_Colleges!B63)</f>
        <v>HBCU</v>
      </c>
      <c r="D69" s="26" t="str">
        <f aca="false">IF(B69="","",DB_Colleges!C63&amp;", "&amp;DB_Colleges!D63)</f>
        <v>Nashville, TN</v>
      </c>
      <c r="E69" s="26" t="str">
        <f aca="false">IF(B69="","",IF(AND(NOT(ISNUMBER($X$4)),NOT(ISNUMBER($Y$4))),"Add scores",IF(NOT(ISNUMBER(DB_Colleges!Y63)),IF(OR(C69="Ivy League",C69="Highly Selective"),"Reach",IF(COUNT(U69:V69)=0,"No data",CHOOSE(W69+2,"Reach","Target","Likely"))),IF(DB_Colleges!Y63&lt;0.15,"Reach",IF(DB_Colleges!Y63&gt;=0.75,IF(W69&gt;=0,"Likely","Target"),IF(DB_Colleges!Y63&gt;=0.4,CHOOSE(W69+2,"Reach","Target","Likely"),IF(W69=1,"Target","Reach")))))))</f>
        <v>Reach</v>
      </c>
      <c r="F69" s="28" t="n">
        <f aca="false">IF(OR(B69="",NOT(ISNUMBER(DB_Colleges!Y63))),"",DB_Colleges!Y63)</f>
        <v>0.374</v>
      </c>
      <c r="G69" s="26" t="str">
        <f aca="false">IF(OR(B69="",NOT(ISNUMBER(DB_Colleges!Z63))),"",DB_Colleges!Z63&amp;"-"&amp;DB_Colleges!AA63)</f>
        <v>1140-1510</v>
      </c>
      <c r="H69" s="26" t="n">
        <f aca="false">IF(OR(B69="",NOT(ISNUMBER(DB_Colleges!AD63))),"",DB_Colleges!AD63)</f>
        <v>3.1</v>
      </c>
      <c r="I69" s="29" t="n">
        <f aca="false">IF(B69="","",IF(COUNT(DB_Colleges!I63:O63)=0,IF(DB_Colleges!P63="Yes","Rolling","Check site"),MIN(DB_Colleges!I63:O63)))</f>
        <v>46327</v>
      </c>
      <c r="J69" s="26" t="str">
        <f aca="false">IF(OR(B69="",COUNT(DB_Colleges!I63:O63)=0),"",INDEX({"ED","ED II","EA","EA II","REA","RD","Priority"},MATCH(MIN(DB_Colleges!I63:O63),DB_Colleges!I63:O63,0)))</f>
        <v>EA</v>
      </c>
      <c r="K69" s="29" t="n">
        <f aca="false">IF(OR(B69="",NOT(ISNUMBER(DB_Colleges!N63))),"",DB_Colleges!N63)</f>
        <v>46583</v>
      </c>
      <c r="L69" s="26" t="str">
        <f aca="false">IF(B69="","",DB_Colleges!G63&amp;"")</f>
        <v>Common App; School portal</v>
      </c>
      <c r="M69" s="30" t="str">
        <f aca="false">IF(OR(B69="",NOT(ISNUMBER(DB_Colleges!S63))),"",DB_Colleges!S63)</f>
        <v/>
      </c>
      <c r="N69" s="26" t="str">
        <f aca="false">IF(B69="","",DB_Colleges!U63&amp;"")</f>
        <v>Optional</v>
      </c>
      <c r="O69" s="26" t="str">
        <f aca="false">IF(B69="","",IF(ISNUMBER(DB_Colleges!AH63),DB_Colleges!AH63,"Check"))</f>
        <v>Check</v>
      </c>
      <c r="P69" s="26" t="str">
        <f aca="false">IF(B69="","",DB_Colleges!W63&amp;"")</f>
        <v>Not required</v>
      </c>
      <c r="Q69" s="30" t="n">
        <f aca="false">IF(OR(B69="",NOT(ISNUMBER(DB_Colleges!AF63))),"",DB_Colleges!AF63)</f>
        <v>27647</v>
      </c>
      <c r="R69" s="28" t="n">
        <f aca="false">IF(OR(B69="",NOT(ISNUMBER(DB_Colleges!AG63))),"",DB_Colleges!AG63)</f>
        <v>0.45</v>
      </c>
      <c r="S69" s="26" t="str">
        <f aca="false">IF(B69="","",DB_Colleges!AK63&amp;"")</f>
        <v>Mixed</v>
      </c>
      <c r="T69" s="26" t="str">
        <f aca="false">IF(B69="","",DB_Colleges!AI63&amp;"")</f>
        <v>https://www.fisk.edu/admissions/apply/</v>
      </c>
      <c r="U69" s="1" t="n">
        <f aca="false">IF(AND(ISNUMBER($X$4),ISNUMBER(DB_Colleges!Z63),ISNUMBER(DB_Colleges!AA63)),IF($X$4&gt;=DB_Colleges!AA63,1,IF($X$4&lt;DB_Colleges!Z63,-1,0)),"")</f>
        <v>-1</v>
      </c>
      <c r="V69" s="1" t="n">
        <f aca="false">IF(AND(ISNUMBER($Y$4),ISNUMBER(DB_Colleges!AD63)),IF($Y$4&gt;=DB_Colleges!AD63+0.15,1,IF($Y$4&lt;DB_Colleges!AD63-0.2,-1,0)),"")</f>
        <v>1</v>
      </c>
      <c r="W69" s="1" t="n">
        <f aca="false">IF(COUNT(U69:V69)=0,0,MIN(U69:V69))</f>
        <v>-1</v>
      </c>
    </row>
    <row r="70" customFormat="false" ht="15" hidden="false" customHeight="true" outlineLevel="0" collapsed="false">
      <c r="A70" s="26" t="str">
        <f aca="false">IF(B70="","",IF(COUNTIF('My Colleges'!$B$8:$B$27,B70)&gt;0,"On list",""))</f>
        <v/>
      </c>
      <c r="B70" s="27" t="str">
        <f aca="false">IF(DB_Colleges!A64="","",DB_Colleges!A64)</f>
        <v>Prairie View A&amp;M University</v>
      </c>
      <c r="C70" s="26" t="str">
        <f aca="false">IF(B70="","",DB_Colleges!B64)</f>
        <v>HBCU</v>
      </c>
      <c r="D70" s="26" t="str">
        <f aca="false">IF(B70="","",DB_Colleges!C64&amp;", "&amp;DB_Colleges!D64)</f>
        <v>Prairie View, TX</v>
      </c>
      <c r="E70" s="26" t="str">
        <f aca="false">IF(B70="","",IF(AND(NOT(ISNUMBER($X$4)),NOT(ISNUMBER($Y$4))),"Add scores",IF(NOT(ISNUMBER(DB_Colleges!Y64)),IF(OR(C70="Ivy League",C70="Highly Selective"),"Reach",IF(COUNT(U70:V70)=0,"No data",CHOOSE(W70+2,"Reach","Target","Likely"))),IF(DB_Colleges!Y64&lt;0.15,"Reach",IF(DB_Colleges!Y64&gt;=0.75,IF(W70&gt;=0,"Likely","Target"),IF(DB_Colleges!Y64&gt;=0.4,CHOOSE(W70+2,"Reach","Target","Likely"),IF(W70=1,"Target","Reach")))))))</f>
        <v>Target</v>
      </c>
      <c r="F70" s="28" t="n">
        <f aca="false">IF(OR(B70="",NOT(ISNUMBER(DB_Colleges!Y64))),"",DB_Colleges!Y64)</f>
        <v>0.793</v>
      </c>
      <c r="G70" s="26" t="str">
        <f aca="false">IF(OR(B70="",NOT(ISNUMBER(DB_Colleges!Z64))),"",DB_Colleges!Z64&amp;"-"&amp;DB_Colleges!AA64)</f>
        <v>860-1080</v>
      </c>
      <c r="H70" s="26" t="n">
        <f aca="false">IF(OR(B70="",NOT(ISNUMBER(DB_Colleges!AD64))),"",DB_Colleges!AD64)</f>
        <v>3.3</v>
      </c>
      <c r="I70" s="29" t="str">
        <f aca="false">IF(B70="","",IF(COUNT(DB_Colleges!I64:O64)=0,IF(DB_Colleges!P64="Yes","Rolling","Check site"),MIN(DB_Colleges!I64:O64)))</f>
        <v>Rolling</v>
      </c>
      <c r="J70" s="26" t="str">
        <f aca="false">IF(OR(B70="",COUNT(DB_Colleges!I64:O64)=0),"",INDEX({"ED","ED II","EA","EA II","REA","RD","Priority"},MATCH(MIN(DB_Colleges!I64:O64),DB_Colleges!I64:O64,0)))</f>
        <v/>
      </c>
      <c r="K70" s="29" t="str">
        <f aca="false">IF(OR(B70="",NOT(ISNUMBER(DB_Colleges!N64))),"",DB_Colleges!N64)</f>
        <v/>
      </c>
      <c r="L70" s="26" t="str">
        <f aca="false">IF(B70="","",DB_Colleges!G64&amp;"")</f>
        <v>ApplyTexas; PANTHER Apply (school portal)</v>
      </c>
      <c r="M70" s="30" t="n">
        <f aca="false">IF(OR(B70="",NOT(ISNUMBER(DB_Colleges!S64))),"",DB_Colleges!S64)</f>
        <v>40</v>
      </c>
      <c r="N70" s="26" t="str">
        <f aca="false">IF(B70="","",DB_Colleges!U64&amp;"")</f>
        <v>Optional</v>
      </c>
      <c r="O70" s="26" t="str">
        <f aca="false">IF(B70="","",IF(ISNUMBER(DB_Colleges!AH64),DB_Colleges!AH64,"Check"))</f>
        <v>Check</v>
      </c>
      <c r="P70" s="26" t="str">
        <f aca="false">IF(B70="","",DB_Colleges!W64&amp;"")</f>
        <v>Not required</v>
      </c>
      <c r="Q70" s="30" t="n">
        <f aca="false">IF(OR(B70="",NOT(ISNUMBER(DB_Colleges!AF64))),"",DB_Colleges!AF64)</f>
        <v>12120</v>
      </c>
      <c r="R70" s="28" t="n">
        <f aca="false">IF(OR(B70="",NOT(ISNUMBER(DB_Colleges!AG64))),"",DB_Colleges!AG64)</f>
        <v>0.34</v>
      </c>
      <c r="S70" s="26" t="str">
        <f aca="false">IF(B70="","",DB_Colleges!AK64&amp;"")</f>
        <v>Mixed</v>
      </c>
      <c r="T70" s="26" t="str">
        <f aca="false">IF(B70="","",DB_Colleges!AI64&amp;"")</f>
        <v>https://www.pvamu.edu/admissions/undergraduate/freshman/</v>
      </c>
      <c r="U70" s="1" t="n">
        <f aca="false">IF(AND(ISNUMBER($X$4),ISNUMBER(DB_Colleges!Z64),ISNUMBER(DB_Colleges!AA64)),IF($X$4&gt;=DB_Colleges!AA64,1,IF($X$4&lt;DB_Colleges!Z64,-1,0)),"")</f>
        <v>-1</v>
      </c>
      <c r="V70" s="1" t="n">
        <f aca="false">IF(AND(ISNUMBER($Y$4),ISNUMBER(DB_Colleges!AD64)),IF($Y$4&gt;=DB_Colleges!AD64+0.15,1,IF($Y$4&lt;DB_Colleges!AD64-0.2,-1,0)),"")</f>
        <v>1</v>
      </c>
      <c r="W70" s="1" t="n">
        <f aca="false">IF(COUNT(U70:V70)=0,0,MIN(U70:V70))</f>
        <v>-1</v>
      </c>
    </row>
    <row r="71" customFormat="false" ht="15" hidden="false" customHeight="true" outlineLevel="0" collapsed="false">
      <c r="A71" s="26" t="str">
        <f aca="false">IF(B71="","",IF(COUNTIF('My Colleges'!$B$8:$B$27,B71)&gt;0,"On list",""))</f>
        <v/>
      </c>
      <c r="B71" s="27" t="str">
        <f aca="false">IF(DB_Colleges!A65="","",DB_Colleges!A65)</f>
        <v>Texas Southern University</v>
      </c>
      <c r="C71" s="26" t="str">
        <f aca="false">IF(B71="","",DB_Colleges!B65)</f>
        <v>HBCU</v>
      </c>
      <c r="D71" s="26" t="str">
        <f aca="false">IF(B71="","",DB_Colleges!C65&amp;", "&amp;DB_Colleges!D65)</f>
        <v>Houston, TX</v>
      </c>
      <c r="E71" s="26" t="str">
        <f aca="false">IF(B71="","",IF(AND(NOT(ISNUMBER($X$4)),NOT(ISNUMBER($Y$4))),"Add scores",IF(NOT(ISNUMBER(DB_Colleges!Y65)),IF(OR(C71="Ivy League",C71="Highly Selective"),"Reach",IF(COUNT(U71:V71)=0,"No data",CHOOSE(W71+2,"Reach","Target","Likely"))),IF(DB_Colleges!Y65&lt;0.15,"Reach",IF(DB_Colleges!Y65&gt;=0.75,IF(W71&gt;=0,"Likely","Target"),IF(DB_Colleges!Y65&gt;=0.4,CHOOSE(W71+2,"Reach","Target","Likely"),IF(W71=1,"Target","Reach")))))))</f>
        <v>Likely</v>
      </c>
      <c r="F71" s="28" t="n">
        <f aca="false">IF(OR(B71="",NOT(ISNUMBER(DB_Colleges!Y65))),"",DB_Colleges!Y65)</f>
        <v>0.969</v>
      </c>
      <c r="G71" s="26" t="str">
        <f aca="false">IF(OR(B71="",NOT(ISNUMBER(DB_Colleges!Z65))),"",DB_Colleges!Z65&amp;"-"&amp;DB_Colleges!AA65)</f>
        <v>800-1000</v>
      </c>
      <c r="H71" s="26" t="n">
        <f aca="false">IF(OR(B71="",NOT(ISNUMBER(DB_Colleges!AD65))),"",DB_Colleges!AD65)</f>
        <v>3</v>
      </c>
      <c r="I71" s="29" t="n">
        <f aca="false">IF(B71="","",IF(COUNT(DB_Colleges!I65:O65)=0,IF(DB_Colleges!P65="Yes","Rolling","Check site"),MIN(DB_Colleges!I65:O65)))</f>
        <v>46583</v>
      </c>
      <c r="J71" s="26" t="str">
        <f aca="false">IF(OR(B71="",COUNT(DB_Colleges!I65:O65)=0),"",INDEX({"ED","ED II","EA","EA II","REA","RD","Priority"},MATCH(MIN(DB_Colleges!I65:O65),DB_Colleges!I65:O65,0)))</f>
        <v>RD</v>
      </c>
      <c r="K71" s="29" t="n">
        <f aca="false">IF(OR(B71="",NOT(ISNUMBER(DB_Colleges!N65))),"",DB_Colleges!N65)</f>
        <v>46583</v>
      </c>
      <c r="L71" s="26" t="str">
        <f aca="false">IF(B71="","",DB_Colleges!G65&amp;"")</f>
        <v>ApplyTexas</v>
      </c>
      <c r="M71" s="30" t="n">
        <f aca="false">IF(OR(B71="",NOT(ISNUMBER(DB_Colleges!S65))),"",DB_Colleges!S65)</f>
        <v>42</v>
      </c>
      <c r="N71" s="26" t="str">
        <f aca="false">IF(B71="","",DB_Colleges!U65&amp;"")</f>
        <v>Required</v>
      </c>
      <c r="O71" s="26" t="str">
        <f aca="false">IF(B71="","",IF(ISNUMBER(DB_Colleges!AH65),DB_Colleges!AH65,"Check"))</f>
        <v>Check</v>
      </c>
      <c r="P71" s="26" t="str">
        <f aca="false">IF(B71="","",DB_Colleges!W65&amp;"")</f>
        <v>Not required</v>
      </c>
      <c r="Q71" s="30" t="n">
        <f aca="false">IF(OR(B71="",NOT(ISNUMBER(DB_Colleges!AF65))),"",DB_Colleges!AF65)</f>
        <v>16437</v>
      </c>
      <c r="R71" s="28" t="n">
        <f aca="false">IF(OR(B71="",NOT(ISNUMBER(DB_Colleges!AG65))),"",DB_Colleges!AG65)</f>
        <v>0.12</v>
      </c>
      <c r="S71" s="26" t="str">
        <f aca="false">IF(B71="","",DB_Colleges!AK65&amp;"")</f>
        <v>Mixed</v>
      </c>
      <c r="T71" s="26" t="str">
        <f aca="false">IF(B71="","",DB_Colleges!AI65&amp;"")</f>
        <v>https://tsu.edu/admissions/freshman.php</v>
      </c>
      <c r="U71" s="1" t="n">
        <f aca="false">IF(AND(ISNUMBER($X$4),ISNUMBER(DB_Colleges!Z65),ISNUMBER(DB_Colleges!AA65)),IF($X$4&gt;=DB_Colleges!AA65,1,IF($X$4&lt;DB_Colleges!Z65,-1,0)),"")</f>
        <v>0</v>
      </c>
      <c r="V71" s="1" t="n">
        <f aca="false">IF(AND(ISNUMBER($Y$4),ISNUMBER(DB_Colleges!AD65)),IF($Y$4&gt;=DB_Colleges!AD65+0.15,1,IF($Y$4&lt;DB_Colleges!AD65-0.2,-1,0)),"")</f>
        <v>1</v>
      </c>
      <c r="W71" s="1" t="n">
        <f aca="false">IF(COUNT(U71:V71)=0,0,MIN(U71:V71))</f>
        <v>0</v>
      </c>
    </row>
    <row r="72" customFormat="false" ht="15" hidden="false" customHeight="true" outlineLevel="0" collapsed="false">
      <c r="A72" s="26" t="str">
        <f aca="false">IF(B72="","",IF(COUNTIF('My Colleges'!$B$8:$B$27,B72)&gt;0,"On list",""))</f>
        <v/>
      </c>
      <c r="B72" s="27" t="str">
        <f aca="false">IF(DB_Colleges!A66="","",DB_Colleges!A66)</f>
        <v>Norfolk State University</v>
      </c>
      <c r="C72" s="26" t="str">
        <f aca="false">IF(B72="","",DB_Colleges!B66)</f>
        <v>HBCU</v>
      </c>
      <c r="D72" s="26" t="str">
        <f aca="false">IF(B72="","",DB_Colleges!C66&amp;", "&amp;DB_Colleges!D66)</f>
        <v>Norfolk, VA</v>
      </c>
      <c r="E72" s="26" t="str">
        <f aca="false">IF(B72="","",IF(AND(NOT(ISNUMBER($X$4)),NOT(ISNUMBER($Y$4))),"Add scores",IF(NOT(ISNUMBER(DB_Colleges!Y66)),IF(OR(C72="Ivy League",C72="Highly Selective"),"Reach",IF(COUNT(U72:V72)=0,"No data",CHOOSE(W72+2,"Reach","Target","Likely"))),IF(DB_Colleges!Y66&lt;0.15,"Reach",IF(DB_Colleges!Y66&gt;=0.75,IF(W72&gt;=0,"Likely","Target"),IF(DB_Colleges!Y66&gt;=0.4,CHOOSE(W72+2,"Reach","Target","Likely"),IF(W72=1,"Target","Reach")))))))</f>
        <v>Likely</v>
      </c>
      <c r="F72" s="28" t="n">
        <f aca="false">IF(OR(B72="",NOT(ISNUMBER(DB_Colleges!Y66))),"",DB_Colleges!Y66)</f>
        <v>0.878</v>
      </c>
      <c r="G72" s="26" t="str">
        <f aca="false">IF(OR(B72="",NOT(ISNUMBER(DB_Colleges!Z66))),"",DB_Colleges!Z66&amp;"-"&amp;DB_Colleges!AA66)</f>
        <v>823-1030</v>
      </c>
      <c r="H72" s="26" t="n">
        <f aca="false">IF(OR(B72="",NOT(ISNUMBER(DB_Colleges!AD66))),"",DB_Colleges!AD66)</f>
        <v>2.9</v>
      </c>
      <c r="I72" s="29" t="str">
        <f aca="false">IF(B72="","",IF(COUNT(DB_Colleges!I66:O66)=0,IF(DB_Colleges!P66="Yes","Rolling","Check site"),MIN(DB_Colleges!I66:O66)))</f>
        <v>Check site</v>
      </c>
      <c r="J72" s="26" t="str">
        <f aca="false">IF(OR(B72="",COUNT(DB_Colleges!I66:O66)=0),"",INDEX({"ED","ED II","EA","EA II","REA","RD","Priority"},MATCH(MIN(DB_Colleges!I66:O66),DB_Colleges!I66:O66,0)))</f>
        <v/>
      </c>
      <c r="K72" s="29" t="str">
        <f aca="false">IF(OR(B72="",NOT(ISNUMBER(DB_Colleges!N66))),"",DB_Colleges!N66)</f>
        <v/>
      </c>
      <c r="L72" s="26" t="str">
        <f aca="false">IF(B72="","",DB_Colleges!G66&amp;"")</f>
        <v>School portal</v>
      </c>
      <c r="M72" s="30" t="n">
        <f aca="false">IF(OR(B72="",NOT(ISNUMBER(DB_Colleges!S66))),"",DB_Colleges!S66)</f>
        <v>25</v>
      </c>
      <c r="N72" s="26" t="str">
        <f aca="false">IF(B72="","",DB_Colleges!U66&amp;"")</f>
        <v>Optional</v>
      </c>
      <c r="O72" s="26" t="str">
        <f aca="false">IF(B72="","",IF(ISNUMBER(DB_Colleges!AH66),DB_Colleges!AH66,"Check"))</f>
        <v>Check</v>
      </c>
      <c r="P72" s="26" t="str">
        <f aca="false">IF(B72="","",DB_Colleges!W66&amp;"")</f>
        <v>Not required</v>
      </c>
      <c r="Q72" s="30" t="n">
        <f aca="false">IF(OR(B72="",NOT(ISNUMBER(DB_Colleges!AF66))),"",DB_Colleges!AF66)</f>
        <v>12804</v>
      </c>
      <c r="R72" s="28" t="n">
        <f aca="false">IF(OR(B72="",NOT(ISNUMBER(DB_Colleges!AG66))),"",DB_Colleges!AG66)</f>
        <v>0.33</v>
      </c>
      <c r="S72" s="26" t="str">
        <f aca="false">IF(B72="","",DB_Colleges!AK66&amp;"")</f>
        <v>Aggregator only</v>
      </c>
      <c r="T72" s="26" t="str">
        <f aca="false">IF(B72="","",DB_Colleges!AI66&amp;"")</f>
        <v>https://www.nsu.edu/admissions</v>
      </c>
      <c r="U72" s="1" t="n">
        <f aca="false">IF(AND(ISNUMBER($X$4),ISNUMBER(DB_Colleges!Z66),ISNUMBER(DB_Colleges!AA66)),IF($X$4&gt;=DB_Colleges!AA66,1,IF($X$4&lt;DB_Colleges!Z66,-1,0)),"")</f>
        <v>0</v>
      </c>
      <c r="V72" s="1" t="n">
        <f aca="false">IF(AND(ISNUMBER($Y$4),ISNUMBER(DB_Colleges!AD66)),IF($Y$4&gt;=DB_Colleges!AD66+0.15,1,IF($Y$4&lt;DB_Colleges!AD66-0.2,-1,0)),"")</f>
        <v>1</v>
      </c>
      <c r="W72" s="1" t="n">
        <f aca="false">IF(COUNT(U72:V72)=0,0,MIN(U72:V72))</f>
        <v>0</v>
      </c>
    </row>
    <row r="73" customFormat="false" ht="15" hidden="false" customHeight="true" outlineLevel="0" collapsed="false">
      <c r="A73" s="26" t="str">
        <f aca="false">IF(B73="","",IF(COUNTIF('My Colleges'!$B$8:$B$27,B73)&gt;0,"On list",""))</f>
        <v/>
      </c>
      <c r="B73" s="27" t="str">
        <f aca="false">IF(DB_Colleges!A67="","",DB_Colleges!A67)</f>
        <v>Virginia State University</v>
      </c>
      <c r="C73" s="26" t="str">
        <f aca="false">IF(B73="","",DB_Colleges!B67)</f>
        <v>HBCU</v>
      </c>
      <c r="D73" s="26" t="str">
        <f aca="false">IF(B73="","",DB_Colleges!C67&amp;", "&amp;DB_Colleges!D67)</f>
        <v>Petersburg, VA</v>
      </c>
      <c r="E73" s="26" t="str">
        <f aca="false">IF(B73="","",IF(AND(NOT(ISNUMBER($X$4)),NOT(ISNUMBER($Y$4))),"Add scores",IF(NOT(ISNUMBER(DB_Colleges!Y67)),IF(OR(C73="Ivy League",C73="Highly Selective"),"Reach",IF(COUNT(U73:V73)=0,"No data",CHOOSE(W73+2,"Reach","Target","Likely"))),IF(DB_Colleges!Y67&lt;0.15,"Reach",IF(DB_Colleges!Y67&gt;=0.75,IF(W73&gt;=0,"Likely","Target"),IF(DB_Colleges!Y67&gt;=0.4,CHOOSE(W73+2,"Reach","Target","Likely"),IF(W73=1,"Target","Reach")))))))</f>
        <v>Likely</v>
      </c>
      <c r="F73" s="28" t="n">
        <f aca="false">IF(OR(B73="",NOT(ISNUMBER(DB_Colleges!Y67))),"",DB_Colleges!Y67)</f>
        <v>0.886</v>
      </c>
      <c r="G73" s="26" t="str">
        <f aca="false">IF(OR(B73="",NOT(ISNUMBER(DB_Colleges!Z67))),"",DB_Colleges!Z67&amp;"-"&amp;DB_Colleges!AA67)</f>
        <v>840-1070</v>
      </c>
      <c r="H73" s="26" t="n">
        <f aca="false">IF(OR(B73="",NOT(ISNUMBER(DB_Colleges!AD67))),"",DB_Colleges!AD67)</f>
        <v>2.85</v>
      </c>
      <c r="I73" s="29" t="str">
        <f aca="false">IF(B73="","",IF(COUNT(DB_Colleges!I67:O67)=0,IF(DB_Colleges!P67="Yes","Rolling","Check site"),MIN(DB_Colleges!I67:O67)))</f>
        <v>Check site</v>
      </c>
      <c r="J73" s="26" t="str">
        <f aca="false">IF(OR(B73="",COUNT(DB_Colleges!I67:O67)=0),"",INDEX({"ED","ED II","EA","EA II","REA","RD","Priority"},MATCH(MIN(DB_Colleges!I67:O67),DB_Colleges!I67:O67,0)))</f>
        <v/>
      </c>
      <c r="K73" s="29" t="str">
        <f aca="false">IF(OR(B73="",NOT(ISNUMBER(DB_Colleges!N67))),"",DB_Colleges!N67)</f>
        <v/>
      </c>
      <c r="L73" s="26" t="str">
        <f aca="false">IF(B73="","",DB_Colleges!G67&amp;"")</f>
        <v>School portal</v>
      </c>
      <c r="M73" s="30" t="str">
        <f aca="false">IF(OR(B73="",NOT(ISNUMBER(DB_Colleges!S67))),"",DB_Colleges!S67)</f>
        <v/>
      </c>
      <c r="N73" s="26" t="str">
        <f aca="false">IF(B73="","",DB_Colleges!U67&amp;"")</f>
        <v>Optional</v>
      </c>
      <c r="O73" s="26" t="str">
        <f aca="false">IF(B73="","",IF(ISNUMBER(DB_Colleges!AH67),DB_Colleges!AH67,"Check"))</f>
        <v>Check</v>
      </c>
      <c r="P73" s="26" t="str">
        <f aca="false">IF(B73="","",DB_Colleges!W67&amp;"")</f>
        <v>Not required</v>
      </c>
      <c r="Q73" s="30" t="n">
        <f aca="false">IF(OR(B73="",NOT(ISNUMBER(DB_Colleges!AF67))),"",DB_Colleges!AF67)</f>
        <v>13220</v>
      </c>
      <c r="R73" s="28" t="n">
        <f aca="false">IF(OR(B73="",NOT(ISNUMBER(DB_Colleges!AG67))),"",DB_Colleges!AG67)</f>
        <v>0.4</v>
      </c>
      <c r="S73" s="26" t="str">
        <f aca="false">IF(B73="","",DB_Colleges!AK67&amp;"")</f>
        <v>Aggregator only</v>
      </c>
      <c r="T73" s="26" t="str">
        <f aca="false">IF(B73="","",DB_Colleges!AI67&amp;"")</f>
        <v>https://www.vsu.edu/admissions</v>
      </c>
      <c r="U73" s="1" t="n">
        <f aca="false">IF(AND(ISNUMBER($X$4),ISNUMBER(DB_Colleges!Z67),ISNUMBER(DB_Colleges!AA67)),IF($X$4&gt;=DB_Colleges!AA67,1,IF($X$4&lt;DB_Colleges!Z67,-1,0)),"")</f>
        <v>0</v>
      </c>
      <c r="V73" s="1" t="n">
        <f aca="false">IF(AND(ISNUMBER($Y$4),ISNUMBER(DB_Colleges!AD67)),IF($Y$4&gt;=DB_Colleges!AD67+0.15,1,IF($Y$4&lt;DB_Colleges!AD67-0.2,-1,0)),"")</f>
        <v>1</v>
      </c>
      <c r="W73" s="1" t="n">
        <f aca="false">IF(COUNT(U73:V73)=0,0,MIN(U73:V73))</f>
        <v>0</v>
      </c>
    </row>
    <row r="74" customFormat="false" ht="15" hidden="false" customHeight="true" outlineLevel="0" collapsed="false">
      <c r="A74" s="26" t="str">
        <f aca="false">IF(B74="","",IF(COUNTIF('My Colleges'!$B$8:$B$27,B74)&gt;0,"On list",""))</f>
        <v/>
      </c>
      <c r="B74" s="27" t="str">
        <f aca="false">IF(DB_Colleges!A68="","",DB_Colleges!A68)</f>
        <v>Virginia Union University</v>
      </c>
      <c r="C74" s="26" t="str">
        <f aca="false">IF(B74="","",DB_Colleges!B68)</f>
        <v>HBCU</v>
      </c>
      <c r="D74" s="26" t="str">
        <f aca="false">IF(B74="","",DB_Colleges!C68&amp;", "&amp;DB_Colleges!D68)</f>
        <v>Richmond, VA</v>
      </c>
      <c r="E74" s="26" t="str">
        <f aca="false">IF(B74="","",IF(AND(NOT(ISNUMBER($X$4)),NOT(ISNUMBER($Y$4))),"Add scores",IF(NOT(ISNUMBER(DB_Colleges!Y68)),IF(OR(C74="Ivy League",C74="Highly Selective"),"Reach",IF(COUNT(U74:V74)=0,"No data",CHOOSE(W74+2,"Reach","Target","Likely"))),IF(DB_Colleges!Y68&lt;0.15,"Reach",IF(DB_Colleges!Y68&gt;=0.75,IF(W74&gt;=0,"Likely","Target"),IF(DB_Colleges!Y68&gt;=0.4,CHOOSE(W74+2,"Reach","Target","Likely"),IF(W74=1,"Target","Reach")))))))</f>
        <v>Likely</v>
      </c>
      <c r="F74" s="28" t="n">
        <f aca="false">IF(OR(B74="",NOT(ISNUMBER(DB_Colleges!Y68))),"",DB_Colleges!Y68)</f>
        <v>0.98</v>
      </c>
      <c r="G74" s="26" t="str">
        <f aca="false">IF(OR(B74="",NOT(ISNUMBER(DB_Colleges!Z68))),"",DB_Colleges!Z68&amp;"-"&amp;DB_Colleges!AA68)</f>
        <v>850-885</v>
      </c>
      <c r="H74" s="26" t="n">
        <f aca="false">IF(OR(B74="",NOT(ISNUMBER(DB_Colleges!AD68))),"",DB_Colleges!AD68)</f>
        <v>2.71</v>
      </c>
      <c r="I74" s="29" t="str">
        <f aca="false">IF(B74="","",IF(COUNT(DB_Colleges!I68:O68)=0,IF(DB_Colleges!P68="Yes","Rolling","Check site"),MIN(DB_Colleges!I68:O68)))</f>
        <v>Check site</v>
      </c>
      <c r="J74" s="26" t="str">
        <f aca="false">IF(OR(B74="",COUNT(DB_Colleges!I68:O68)=0),"",INDEX({"ED","ED II","EA","EA II","REA","RD","Priority"},MATCH(MIN(DB_Colleges!I68:O68),DB_Colleges!I68:O68,0)))</f>
        <v/>
      </c>
      <c r="K74" s="29" t="str">
        <f aca="false">IF(OR(B74="",NOT(ISNUMBER(DB_Colleges!N68))),"",DB_Colleges!N68)</f>
        <v/>
      </c>
      <c r="L74" s="26" t="str">
        <f aca="false">IF(B74="","",DB_Colleges!G68&amp;"")</f>
        <v>School portal</v>
      </c>
      <c r="M74" s="30" t="n">
        <f aca="false">IF(OR(B74="",NOT(ISNUMBER(DB_Colleges!S68))),"",DB_Colleges!S68)</f>
        <v>25</v>
      </c>
      <c r="N74" s="26" t="str">
        <f aca="false">IF(B74="","",DB_Colleges!U68&amp;"")</f>
        <v>Optional</v>
      </c>
      <c r="O74" s="26" t="str">
        <f aca="false">IF(B74="","",IF(ISNUMBER(DB_Colleges!AH68),DB_Colleges!AH68,"Check"))</f>
        <v>Check</v>
      </c>
      <c r="P74" s="26" t="str">
        <f aca="false">IF(B74="","",DB_Colleges!W68&amp;"")</f>
        <v>Not required</v>
      </c>
      <c r="Q74" s="30" t="n">
        <f aca="false">IF(OR(B74="",NOT(ISNUMBER(DB_Colleges!AF68))),"",DB_Colleges!AF68)</f>
        <v>17272</v>
      </c>
      <c r="R74" s="28" t="n">
        <f aca="false">IF(OR(B74="",NOT(ISNUMBER(DB_Colleges!AG68))),"",DB_Colleges!AG68)</f>
        <v>0.29</v>
      </c>
      <c r="S74" s="26" t="str">
        <f aca="false">IF(B74="","",DB_Colleges!AK68&amp;"")</f>
        <v>Aggregator only</v>
      </c>
      <c r="T74" s="26" t="str">
        <f aca="false">IF(B74="","",DB_Colleges!AI68&amp;"")</f>
        <v>https://www.vuu.edu/admissions</v>
      </c>
      <c r="U74" s="1" t="n">
        <f aca="false">IF(AND(ISNUMBER($X$4),ISNUMBER(DB_Colleges!Z68),ISNUMBER(DB_Colleges!AA68)),IF($X$4&gt;=DB_Colleges!AA68,1,IF($X$4&lt;DB_Colleges!Z68,-1,0)),"")</f>
        <v>0</v>
      </c>
      <c r="V74" s="1" t="n">
        <f aca="false">IF(AND(ISNUMBER($Y$4),ISNUMBER(DB_Colleges!AD68)),IF($Y$4&gt;=DB_Colleges!AD68+0.15,1,IF($Y$4&lt;DB_Colleges!AD68-0.2,-1,0)),"")</f>
        <v>1</v>
      </c>
      <c r="W74" s="1" t="n">
        <f aca="false">IF(COUNT(U74:V74)=0,0,MIN(U74:V74))</f>
        <v>0</v>
      </c>
    </row>
    <row r="75" customFormat="false" ht="15" hidden="false" customHeight="true" outlineLevel="0" collapsed="false">
      <c r="A75" s="26" t="str">
        <f aca="false">IF(B75="","",IF(COUNTIF('My Colleges'!$B$8:$B$27,B75)&gt;0,"On list",""))</f>
        <v/>
      </c>
      <c r="B75" s="27" t="str">
        <f aca="false">IF(DB_Colleges!A69="","",DB_Colleges!A69)</f>
        <v>Morgan State University</v>
      </c>
      <c r="C75" s="26" t="str">
        <f aca="false">IF(B75="","",DB_Colleges!B69)</f>
        <v>HBCU</v>
      </c>
      <c r="D75" s="26" t="str">
        <f aca="false">IF(B75="","",DB_Colleges!C69&amp;", "&amp;DB_Colleges!D69)</f>
        <v>Baltimore, MD</v>
      </c>
      <c r="E75" s="26" t="str">
        <f aca="false">IF(B75="","",IF(AND(NOT(ISNUMBER($X$4)),NOT(ISNUMBER($Y$4))),"Add scores",IF(NOT(ISNUMBER(DB_Colleges!Y69)),IF(OR(C75="Ivy League",C75="Highly Selective"),"Reach",IF(COUNT(U75:V75)=0,"No data",CHOOSE(W75+2,"Reach","Target","Likely"))),IF(DB_Colleges!Y69&lt;0.15,"Reach",IF(DB_Colleges!Y69&gt;=0.75,IF(W75&gt;=0,"Likely","Target"),IF(DB_Colleges!Y69&gt;=0.4,CHOOSE(W75+2,"Reach","Target","Likely"),IF(W75=1,"Target","Reach")))))))</f>
        <v>Likely</v>
      </c>
      <c r="F75" s="28" t="n">
        <f aca="false">IF(OR(B75="",NOT(ISNUMBER(DB_Colleges!Y69))),"",DB_Colleges!Y69)</f>
        <v>0.822</v>
      </c>
      <c r="G75" s="26" t="str">
        <f aca="false">IF(OR(B75="",NOT(ISNUMBER(DB_Colleges!Z69))),"",DB_Colleges!Z69&amp;"-"&amp;DB_Colleges!AA69)</f>
        <v>840-1070</v>
      </c>
      <c r="H75" s="26" t="n">
        <f aca="false">IF(OR(B75="",NOT(ISNUMBER(DB_Colleges!AD69))),"",DB_Colleges!AD69)</f>
        <v>3.1</v>
      </c>
      <c r="I75" s="29" t="str">
        <f aca="false">IF(B75="","",IF(COUNT(DB_Colleges!I69:O69)=0,IF(DB_Colleges!P69="Yes","Rolling","Check site"),MIN(DB_Colleges!I69:O69)))</f>
        <v>Check site</v>
      </c>
      <c r="J75" s="26" t="str">
        <f aca="false">IF(OR(B75="",COUNT(DB_Colleges!I69:O69)=0),"",INDEX({"ED","ED II","EA","EA II","REA","RD","Priority"},MATCH(MIN(DB_Colleges!I69:O69),DB_Colleges!I69:O69,0)))</f>
        <v/>
      </c>
      <c r="K75" s="29" t="str">
        <f aca="false">IF(OR(B75="",NOT(ISNUMBER(DB_Colleges!N69))),"",DB_Colleges!N69)</f>
        <v/>
      </c>
      <c r="L75" s="26" t="str">
        <f aca="false">IF(B75="","",DB_Colleges!G69&amp;"")</f>
        <v>School portal</v>
      </c>
      <c r="M75" s="30" t="n">
        <f aca="false">IF(OR(B75="",NOT(ISNUMBER(DB_Colleges!S69))),"",DB_Colleges!S69)</f>
        <v>35</v>
      </c>
      <c r="N75" s="26" t="str">
        <f aca="false">IF(B75="","",DB_Colleges!U69&amp;"")</f>
        <v>Optional</v>
      </c>
      <c r="O75" s="26" t="str">
        <f aca="false">IF(B75="","",IF(ISNUMBER(DB_Colleges!AH69),DB_Colleges!AH69,"Check"))</f>
        <v>Check</v>
      </c>
      <c r="P75" s="26" t="str">
        <f aca="false">IF(B75="","",DB_Colleges!W69&amp;"")</f>
        <v>Not required</v>
      </c>
      <c r="Q75" s="30" t="n">
        <f aca="false">IF(OR(B75="",NOT(ISNUMBER(DB_Colleges!AF69))),"",DB_Colleges!AF69)</f>
        <v>9585</v>
      </c>
      <c r="R75" s="28" t="n">
        <f aca="false">IF(OR(B75="",NOT(ISNUMBER(DB_Colleges!AG69))),"",DB_Colleges!AG69)</f>
        <v>0.28</v>
      </c>
      <c r="S75" s="26" t="str">
        <f aca="false">IF(B75="","",DB_Colleges!AK69&amp;"")</f>
        <v>Aggregator only</v>
      </c>
      <c r="T75" s="26" t="str">
        <f aca="false">IF(B75="","",DB_Colleges!AI69&amp;"")</f>
        <v>https://www.morgan.edu/admissions</v>
      </c>
      <c r="U75" s="1" t="n">
        <f aca="false">IF(AND(ISNUMBER($X$4),ISNUMBER(DB_Colleges!Z69),ISNUMBER(DB_Colleges!AA69)),IF($X$4&gt;=DB_Colleges!AA69,1,IF($X$4&lt;DB_Colleges!Z69,-1,0)),"")</f>
        <v>0</v>
      </c>
      <c r="V75" s="1" t="n">
        <f aca="false">IF(AND(ISNUMBER($Y$4),ISNUMBER(DB_Colleges!AD69)),IF($Y$4&gt;=DB_Colleges!AD69+0.15,1,IF($Y$4&lt;DB_Colleges!AD69-0.2,-1,0)),"")</f>
        <v>1</v>
      </c>
      <c r="W75" s="1" t="n">
        <f aca="false">IF(COUNT(U75:V75)=0,0,MIN(U75:V75))</f>
        <v>0</v>
      </c>
    </row>
    <row r="76" customFormat="false" ht="15" hidden="false" customHeight="true" outlineLevel="0" collapsed="false">
      <c r="A76" s="26" t="str">
        <f aca="false">IF(B76="","",IF(COUNTIF('My Colleges'!$B$8:$B$27,B76)&gt;0,"On list",""))</f>
        <v/>
      </c>
      <c r="B76" s="27" t="str">
        <f aca="false">IF(DB_Colleges!A70="","",DB_Colleges!A70)</f>
        <v>Bowie State University</v>
      </c>
      <c r="C76" s="26" t="str">
        <f aca="false">IF(B76="","",DB_Colleges!B70)</f>
        <v>HBCU</v>
      </c>
      <c r="D76" s="26" t="str">
        <f aca="false">IF(B76="","",DB_Colleges!C70&amp;", "&amp;DB_Colleges!D70)</f>
        <v>Bowie, MD</v>
      </c>
      <c r="E76" s="26" t="str">
        <f aca="false">IF(B76="","",IF(AND(NOT(ISNUMBER($X$4)),NOT(ISNUMBER($Y$4))),"Add scores",IF(NOT(ISNUMBER(DB_Colleges!Y70)),IF(OR(C76="Ivy League",C76="Highly Selective"),"Reach",IF(COUNT(U76:V76)=0,"No data",CHOOSE(W76+2,"Reach","Target","Likely"))),IF(DB_Colleges!Y70&lt;0.15,"Reach",IF(DB_Colleges!Y70&gt;=0.75,IF(W76&gt;=0,"Likely","Target"),IF(DB_Colleges!Y70&gt;=0.4,CHOOSE(W76+2,"Reach","Target","Likely"),IF(W76=1,"Target","Reach")))))))</f>
        <v>Target</v>
      </c>
      <c r="F76" s="28" t="n">
        <f aca="false">IF(OR(B76="",NOT(ISNUMBER(DB_Colleges!Y70))),"",DB_Colleges!Y70)</f>
        <v>0.724</v>
      </c>
      <c r="G76" s="26" t="str">
        <f aca="false">IF(OR(B76="",NOT(ISNUMBER(DB_Colleges!Z70))),"",DB_Colleges!Z70&amp;"-"&amp;DB_Colleges!AA70)</f>
        <v>796-1083</v>
      </c>
      <c r="H76" s="26" t="n">
        <f aca="false">IF(OR(B76="",NOT(ISNUMBER(DB_Colleges!AD70))),"",DB_Colleges!AD70)</f>
        <v>3.12</v>
      </c>
      <c r="I76" s="29" t="str">
        <f aca="false">IF(B76="","",IF(COUNT(DB_Colleges!I70:O70)=0,IF(DB_Colleges!P70="Yes","Rolling","Check site"),MIN(DB_Colleges!I70:O70)))</f>
        <v>Check site</v>
      </c>
      <c r="J76" s="26" t="str">
        <f aca="false">IF(OR(B76="",COUNT(DB_Colleges!I70:O70)=0),"",INDEX({"ED","ED II","EA","EA II","REA","RD","Priority"},MATCH(MIN(DB_Colleges!I70:O70),DB_Colleges!I70:O70,0)))</f>
        <v/>
      </c>
      <c r="K76" s="29" t="str">
        <f aca="false">IF(OR(B76="",NOT(ISNUMBER(DB_Colleges!N70))),"",DB_Colleges!N70)</f>
        <v/>
      </c>
      <c r="L76" s="26" t="str">
        <f aca="false">IF(B76="","",DB_Colleges!G70&amp;"")</f>
        <v>School portal</v>
      </c>
      <c r="M76" s="30" t="n">
        <f aca="false">IF(OR(B76="",NOT(ISNUMBER(DB_Colleges!S70))),"",DB_Colleges!S70)</f>
        <v>40</v>
      </c>
      <c r="N76" s="26" t="str">
        <f aca="false">IF(B76="","",DB_Colleges!U70&amp;"")</f>
        <v>Optional</v>
      </c>
      <c r="O76" s="26" t="str">
        <f aca="false">IF(B76="","",IF(ISNUMBER(DB_Colleges!AH70),DB_Colleges!AH70,"Check"))</f>
        <v>Check</v>
      </c>
      <c r="P76" s="26" t="str">
        <f aca="false">IF(B76="","",DB_Colleges!W70&amp;"")</f>
        <v>Not required</v>
      </c>
      <c r="Q76" s="30" t="n">
        <f aca="false">IF(OR(B76="",NOT(ISNUMBER(DB_Colleges!AF70))),"",DB_Colleges!AF70)</f>
        <v>17071</v>
      </c>
      <c r="R76" s="28" t="n">
        <f aca="false">IF(OR(B76="",NOT(ISNUMBER(DB_Colleges!AG70))),"",DB_Colleges!AG70)</f>
        <v>0.41</v>
      </c>
      <c r="S76" s="26" t="str">
        <f aca="false">IF(B76="","",DB_Colleges!AK70&amp;"")</f>
        <v>Aggregator only</v>
      </c>
      <c r="T76" s="26" t="str">
        <f aca="false">IF(B76="","",DB_Colleges!AI70&amp;"")</f>
        <v>https://www.bowiestate.edu/admissions/</v>
      </c>
      <c r="U76" s="1" t="n">
        <f aca="false">IF(AND(ISNUMBER($X$4),ISNUMBER(DB_Colleges!Z70),ISNUMBER(DB_Colleges!AA70)),IF($X$4&gt;=DB_Colleges!AA70,1,IF($X$4&lt;DB_Colleges!Z70,-1,0)),"")</f>
        <v>0</v>
      </c>
      <c r="V76" s="1" t="n">
        <f aca="false">IF(AND(ISNUMBER($Y$4),ISNUMBER(DB_Colleges!AD70)),IF($Y$4&gt;=DB_Colleges!AD70+0.15,1,IF($Y$4&lt;DB_Colleges!AD70-0.2,-1,0)),"")</f>
        <v>1</v>
      </c>
      <c r="W76" s="1" t="n">
        <f aca="false">IF(COUNT(U76:V76)=0,0,MIN(U76:V76))</f>
        <v>0</v>
      </c>
    </row>
    <row r="77" customFormat="false" ht="15" hidden="false" customHeight="true" outlineLevel="0" collapsed="false">
      <c r="A77" s="26" t="str">
        <f aca="false">IF(B77="","",IF(COUNTIF('My Colleges'!$B$8:$B$27,B77)&gt;0,"On list",""))</f>
        <v/>
      </c>
      <c r="B77" s="27" t="str">
        <f aca="false">IF(DB_Colleges!A71="","",DB_Colleges!A71)</f>
        <v>Coppin State University</v>
      </c>
      <c r="C77" s="26" t="str">
        <f aca="false">IF(B77="","",DB_Colleges!B71)</f>
        <v>HBCU</v>
      </c>
      <c r="D77" s="26" t="str">
        <f aca="false">IF(B77="","",DB_Colleges!C71&amp;", "&amp;DB_Colleges!D71)</f>
        <v>Baltimore, MD</v>
      </c>
      <c r="E77" s="26" t="str">
        <f aca="false">IF(B77="","",IF(AND(NOT(ISNUMBER($X$4)),NOT(ISNUMBER($Y$4))),"Add scores",IF(NOT(ISNUMBER(DB_Colleges!Y71)),IF(OR(C77="Ivy League",C77="Highly Selective"),"Reach",IF(COUNT(U77:V77)=0,"No data",CHOOSE(W77+2,"Reach","Target","Likely"))),IF(DB_Colleges!Y71&lt;0.15,"Reach",IF(DB_Colleges!Y71&gt;=0.75,IF(W77&gt;=0,"Likely","Target"),IF(DB_Colleges!Y71&gt;=0.4,CHOOSE(W77+2,"Reach","Target","Likely"),IF(W77=1,"Target","Reach")))))))</f>
        <v>Reach</v>
      </c>
      <c r="F77" s="28" t="n">
        <f aca="false">IF(OR(B77="",NOT(ISNUMBER(DB_Colleges!Y71))),"",DB_Colleges!Y71)</f>
        <v>0.458</v>
      </c>
      <c r="G77" s="26" t="str">
        <f aca="false">IF(OR(B77="",NOT(ISNUMBER(DB_Colleges!Z71))),"",DB_Colleges!Z71&amp;"-"&amp;DB_Colleges!AA71)</f>
        <v>880-1020</v>
      </c>
      <c r="H77" s="26" t="n">
        <f aca="false">IF(OR(B77="",NOT(ISNUMBER(DB_Colleges!AD71))),"",DB_Colleges!AD71)</f>
        <v>2.62</v>
      </c>
      <c r="I77" s="29" t="str">
        <f aca="false">IF(B77="","",IF(COUNT(DB_Colleges!I71:O71)=0,IF(DB_Colleges!P71="Yes","Rolling","Check site"),MIN(DB_Colleges!I71:O71)))</f>
        <v>Check site</v>
      </c>
      <c r="J77" s="26" t="str">
        <f aca="false">IF(OR(B77="",COUNT(DB_Colleges!I71:O71)=0),"",INDEX({"ED","ED II","EA","EA II","REA","RD","Priority"},MATCH(MIN(DB_Colleges!I71:O71),DB_Colleges!I71:O71,0)))</f>
        <v/>
      </c>
      <c r="K77" s="29" t="str">
        <f aca="false">IF(OR(B77="",NOT(ISNUMBER(DB_Colleges!N71))),"",DB_Colleges!N71)</f>
        <v/>
      </c>
      <c r="L77" s="26" t="str">
        <f aca="false">IF(B77="","",DB_Colleges!G71&amp;"")</f>
        <v>School portal</v>
      </c>
      <c r="M77" s="30" t="n">
        <f aca="false">IF(OR(B77="",NOT(ISNUMBER(DB_Colleges!S71))),"",DB_Colleges!S71)</f>
        <v>50</v>
      </c>
      <c r="N77" s="26" t="str">
        <f aca="false">IF(B77="","",DB_Colleges!U71&amp;"")</f>
        <v>Optional</v>
      </c>
      <c r="O77" s="26" t="str">
        <f aca="false">IF(B77="","",IF(ISNUMBER(DB_Colleges!AH71),DB_Colleges!AH71,"Check"))</f>
        <v>Check</v>
      </c>
      <c r="P77" s="26" t="str">
        <f aca="false">IF(B77="","",DB_Colleges!W71&amp;"")</f>
        <v>Not required</v>
      </c>
      <c r="Q77" s="30" t="n">
        <f aca="false">IF(OR(B77="",NOT(ISNUMBER(DB_Colleges!AF71))),"",DB_Colleges!AF71)</f>
        <v>7714</v>
      </c>
      <c r="R77" s="28" t="n">
        <f aca="false">IF(OR(B77="",NOT(ISNUMBER(DB_Colleges!AG71))),"",DB_Colleges!AG71)</f>
        <v>0.15</v>
      </c>
      <c r="S77" s="26" t="str">
        <f aca="false">IF(B77="","",DB_Colleges!AK71&amp;"")</f>
        <v>Aggregator only</v>
      </c>
      <c r="T77" s="26" t="str">
        <f aca="false">IF(B77="","",DB_Colleges!AI71&amp;"")</f>
        <v>https://www.coppin.edu/admissions</v>
      </c>
      <c r="U77" s="1" t="n">
        <f aca="false">IF(AND(ISNUMBER($X$4),ISNUMBER(DB_Colleges!Z71),ISNUMBER(DB_Colleges!AA71)),IF($X$4&gt;=DB_Colleges!AA71,1,IF($X$4&lt;DB_Colleges!Z71,-1,0)),"")</f>
        <v>-1</v>
      </c>
      <c r="V77" s="1" t="n">
        <f aca="false">IF(AND(ISNUMBER($Y$4),ISNUMBER(DB_Colleges!AD71)),IF($Y$4&gt;=DB_Colleges!AD71+0.15,1,IF($Y$4&lt;DB_Colleges!AD71-0.2,-1,0)),"")</f>
        <v>1</v>
      </c>
      <c r="W77" s="1" t="n">
        <f aca="false">IF(COUNT(U77:V77)=0,0,MIN(U77:V77))</f>
        <v>-1</v>
      </c>
    </row>
    <row r="78" customFormat="false" ht="15" hidden="false" customHeight="true" outlineLevel="0" collapsed="false">
      <c r="A78" s="26" t="str">
        <f aca="false">IF(B78="","",IF(COUNTIF('My Colleges'!$B$8:$B$27,B78)&gt;0,"On list",""))</f>
        <v/>
      </c>
      <c r="B78" s="27" t="str">
        <f aca="false">IF(DB_Colleges!A72="","",DB_Colleges!A72)</f>
        <v>University of Maryland Eastern Shore</v>
      </c>
      <c r="C78" s="26" t="str">
        <f aca="false">IF(B78="","",DB_Colleges!B72)</f>
        <v>HBCU</v>
      </c>
      <c r="D78" s="26" t="str">
        <f aca="false">IF(B78="","",DB_Colleges!C72&amp;", "&amp;DB_Colleges!D72)</f>
        <v>Princess Anne, MD</v>
      </c>
      <c r="E78" s="26" t="str">
        <f aca="false">IF(B78="","",IF(AND(NOT(ISNUMBER($X$4)),NOT(ISNUMBER($Y$4))),"Add scores",IF(NOT(ISNUMBER(DB_Colleges!Y72)),IF(OR(C78="Ivy League",C78="Highly Selective"),"Reach",IF(COUNT(U78:V78)=0,"No data",CHOOSE(W78+2,"Reach","Target","Likely"))),IF(DB_Colleges!Y72&lt;0.15,"Reach",IF(DB_Colleges!Y72&gt;=0.75,IF(W78&gt;=0,"Likely","Target"),IF(DB_Colleges!Y72&gt;=0.4,CHOOSE(W78+2,"Reach","Target","Likely"),IF(W78=1,"Target","Reach")))))))</f>
        <v>Likely</v>
      </c>
      <c r="F78" s="28" t="n">
        <f aca="false">IF(OR(B78="",NOT(ISNUMBER(DB_Colleges!Y72))),"",DB_Colleges!Y72)</f>
        <v>0.964</v>
      </c>
      <c r="G78" s="26" t="str">
        <f aca="false">IF(OR(B78="",NOT(ISNUMBER(DB_Colleges!Z72))),"",DB_Colleges!Z72&amp;"-"&amp;DB_Colleges!AA72)</f>
        <v>840-1010</v>
      </c>
      <c r="H78" s="26" t="n">
        <f aca="false">IF(OR(B78="",NOT(ISNUMBER(DB_Colleges!AD72))),"",DB_Colleges!AD72)</f>
        <v>3.07</v>
      </c>
      <c r="I78" s="29" t="str">
        <f aca="false">IF(B78="","",IF(COUNT(DB_Colleges!I72:O72)=0,IF(DB_Colleges!P72="Yes","Rolling","Check site"),MIN(DB_Colleges!I72:O72)))</f>
        <v>Check site</v>
      </c>
      <c r="J78" s="26" t="str">
        <f aca="false">IF(OR(B78="",COUNT(DB_Colleges!I72:O72)=0),"",INDEX({"ED","ED II","EA","EA II","REA","RD","Priority"},MATCH(MIN(DB_Colleges!I72:O72),DB_Colleges!I72:O72,0)))</f>
        <v/>
      </c>
      <c r="K78" s="29" t="str">
        <f aca="false">IF(OR(B78="",NOT(ISNUMBER(DB_Colleges!N72))),"",DB_Colleges!N72)</f>
        <v/>
      </c>
      <c r="L78" s="26" t="str">
        <f aca="false">IF(B78="","",DB_Colleges!G72&amp;"")</f>
        <v>School portal</v>
      </c>
      <c r="M78" s="30" t="n">
        <f aca="false">IF(OR(B78="",NOT(ISNUMBER(DB_Colleges!S72))),"",DB_Colleges!S72)</f>
        <v>35</v>
      </c>
      <c r="N78" s="26" t="str">
        <f aca="false">IF(B78="","",DB_Colleges!U72&amp;"")</f>
        <v>Blind</v>
      </c>
      <c r="O78" s="26" t="str">
        <f aca="false">IF(B78="","",IF(ISNUMBER(DB_Colleges!AH72),DB_Colleges!AH72,"Check"))</f>
        <v>Check</v>
      </c>
      <c r="P78" s="26" t="str">
        <f aca="false">IF(B78="","",DB_Colleges!W72&amp;"")</f>
        <v>Not required</v>
      </c>
      <c r="Q78" s="30" t="n">
        <f aca="false">IF(OR(B78="",NOT(ISNUMBER(DB_Colleges!AF72))),"",DB_Colleges!AF72)</f>
        <v>9914</v>
      </c>
      <c r="R78" s="28" t="n">
        <f aca="false">IF(OR(B78="",NOT(ISNUMBER(DB_Colleges!AG72))),"",DB_Colleges!AG72)</f>
        <v>0.31</v>
      </c>
      <c r="S78" s="26" t="str">
        <f aca="false">IF(B78="","",DB_Colleges!AK72&amp;"")</f>
        <v>Aggregator only</v>
      </c>
      <c r="T78" s="26" t="str">
        <f aca="false">IF(B78="","",DB_Colleges!AI72&amp;"")</f>
        <v>https://www.umes.edu/admissions</v>
      </c>
      <c r="U78" s="1" t="n">
        <f aca="false">IF(AND(ISNUMBER($X$4),ISNUMBER(DB_Colleges!Z72),ISNUMBER(DB_Colleges!AA72)),IF($X$4&gt;=DB_Colleges!AA72,1,IF($X$4&lt;DB_Colleges!Z72,-1,0)),"")</f>
        <v>0</v>
      </c>
      <c r="V78" s="1" t="n">
        <f aca="false">IF(AND(ISNUMBER($Y$4),ISNUMBER(DB_Colleges!AD72)),IF($Y$4&gt;=DB_Colleges!AD72+0.15,1,IF($Y$4&lt;DB_Colleges!AD72-0.2,-1,0)),"")</f>
        <v>1</v>
      </c>
      <c r="W78" s="1" t="n">
        <f aca="false">IF(COUNT(U78:V78)=0,0,MIN(U78:V78))</f>
        <v>0</v>
      </c>
    </row>
    <row r="79" customFormat="false" ht="15" hidden="false" customHeight="true" outlineLevel="0" collapsed="false">
      <c r="A79" s="26" t="str">
        <f aca="false">IF(B79="","",IF(COUNTIF('My Colleges'!$B$8:$B$27,B79)&gt;0,"On list",""))</f>
        <v/>
      </c>
      <c r="B79" s="27" t="str">
        <f aca="false">IF(DB_Colleges!A73="","",DB_Colleges!A73)</f>
        <v>Delaware State University</v>
      </c>
      <c r="C79" s="26" t="str">
        <f aca="false">IF(B79="","",DB_Colleges!B73)</f>
        <v>HBCU</v>
      </c>
      <c r="D79" s="26" t="str">
        <f aca="false">IF(B79="","",DB_Colleges!C73&amp;", "&amp;DB_Colleges!D73)</f>
        <v>Dover, DE</v>
      </c>
      <c r="E79" s="26" t="str">
        <f aca="false">IF(B79="","",IF(AND(NOT(ISNUMBER($X$4)),NOT(ISNUMBER($Y$4))),"Add scores",IF(NOT(ISNUMBER(DB_Colleges!Y73)),IF(OR(C79="Ivy League",C79="Highly Selective"),"Reach",IF(COUNT(U79:V79)=0,"No data",CHOOSE(W79+2,"Reach","Target","Likely"))),IF(DB_Colleges!Y73&lt;0.15,"Reach",IF(DB_Colleges!Y73&gt;=0.75,IF(W79&gt;=0,"Likely","Target"),IF(DB_Colleges!Y73&gt;=0.4,CHOOSE(W79+2,"Reach","Target","Likely"),IF(W79=1,"Target","Reach")))))))</f>
        <v>Target</v>
      </c>
      <c r="F79" s="28" t="n">
        <f aca="false">IF(OR(B79="",NOT(ISNUMBER(DB_Colleges!Y73))),"",DB_Colleges!Y73)</f>
        <v>0.466</v>
      </c>
      <c r="G79" s="26" t="str">
        <f aca="false">IF(OR(B79="",NOT(ISNUMBER(DB_Colleges!Z73))),"",DB_Colleges!Z73&amp;"-"&amp;DB_Colleges!AA73)</f>
        <v>800-1020</v>
      </c>
      <c r="H79" s="26" t="n">
        <f aca="false">IF(OR(B79="",NOT(ISNUMBER(DB_Colleges!AD73))),"",DB_Colleges!AD73)</f>
        <v>3.09</v>
      </c>
      <c r="I79" s="29" t="str">
        <f aca="false">IF(B79="","",IF(COUNT(DB_Colleges!I73:O73)=0,IF(DB_Colleges!P73="Yes","Rolling","Check site"),MIN(DB_Colleges!I73:O73)))</f>
        <v>Check site</v>
      </c>
      <c r="J79" s="26" t="str">
        <f aca="false">IF(OR(B79="",COUNT(DB_Colleges!I73:O73)=0),"",INDEX({"ED","ED II","EA","EA II","REA","RD","Priority"},MATCH(MIN(DB_Colleges!I73:O73),DB_Colleges!I73:O73,0)))</f>
        <v/>
      </c>
      <c r="K79" s="29" t="str">
        <f aca="false">IF(OR(B79="",NOT(ISNUMBER(DB_Colleges!N73))),"",DB_Colleges!N73)</f>
        <v/>
      </c>
      <c r="L79" s="26" t="str">
        <f aca="false">IF(B79="","",DB_Colleges!G73&amp;"")</f>
        <v>School portal</v>
      </c>
      <c r="M79" s="30" t="n">
        <f aca="false">IF(OR(B79="",NOT(ISNUMBER(DB_Colleges!S73))),"",DB_Colleges!S73)</f>
        <v>35</v>
      </c>
      <c r="N79" s="26" t="str">
        <f aca="false">IF(B79="","",DB_Colleges!U73&amp;"")</f>
        <v>Optional</v>
      </c>
      <c r="O79" s="26" t="str">
        <f aca="false">IF(B79="","",IF(ISNUMBER(DB_Colleges!AH73),DB_Colleges!AH73,"Check"))</f>
        <v>Check</v>
      </c>
      <c r="P79" s="26" t="str">
        <f aca="false">IF(B79="","",DB_Colleges!W73&amp;"")</f>
        <v>Not required</v>
      </c>
      <c r="Q79" s="30" t="n">
        <f aca="false">IF(OR(B79="",NOT(ISNUMBER(DB_Colleges!AF73))),"",DB_Colleges!AF73)</f>
        <v>11135</v>
      </c>
      <c r="R79" s="28" t="n">
        <f aca="false">IF(OR(B79="",NOT(ISNUMBER(DB_Colleges!AG73))),"",DB_Colleges!AG73)</f>
        <v>0.35</v>
      </c>
      <c r="S79" s="26" t="str">
        <f aca="false">IF(B79="","",DB_Colleges!AK73&amp;"")</f>
        <v>Aggregator only</v>
      </c>
      <c r="T79" s="26" t="str">
        <f aca="false">IF(B79="","",DB_Colleges!AI73&amp;"")</f>
        <v>https://www.desu.edu/admissions</v>
      </c>
      <c r="U79" s="1" t="n">
        <f aca="false">IF(AND(ISNUMBER($X$4),ISNUMBER(DB_Colleges!Z73),ISNUMBER(DB_Colleges!AA73)),IF($X$4&gt;=DB_Colleges!AA73,1,IF($X$4&lt;DB_Colleges!Z73,-1,0)),"")</f>
        <v>0</v>
      </c>
      <c r="V79" s="1" t="n">
        <f aca="false">IF(AND(ISNUMBER($Y$4),ISNUMBER(DB_Colleges!AD73)),IF($Y$4&gt;=DB_Colleges!AD73+0.15,1,IF($Y$4&lt;DB_Colleges!AD73-0.2,-1,0)),"")</f>
        <v>1</v>
      </c>
      <c r="W79" s="1" t="n">
        <f aca="false">IF(COUNT(U79:V79)=0,0,MIN(U79:V79))</f>
        <v>0</v>
      </c>
    </row>
    <row r="80" customFormat="false" ht="15" hidden="false" customHeight="true" outlineLevel="0" collapsed="false">
      <c r="A80" s="26" t="str">
        <f aca="false">IF(B80="","",IF(COUNTIF('My Colleges'!$B$8:$B$27,B80)&gt;0,"On list",""))</f>
        <v/>
      </c>
      <c r="B80" s="27" t="str">
        <f aca="false">IF(DB_Colleges!A74="","",DB_Colleges!A74)</f>
        <v>Winston-Salem State University</v>
      </c>
      <c r="C80" s="26" t="str">
        <f aca="false">IF(B80="","",DB_Colleges!B74)</f>
        <v>HBCU</v>
      </c>
      <c r="D80" s="26" t="str">
        <f aca="false">IF(B80="","",DB_Colleges!C74&amp;", "&amp;DB_Colleges!D74)</f>
        <v>Winston-Salem, NC</v>
      </c>
      <c r="E80" s="26" t="str">
        <f aca="false">IF(B80="","",IF(AND(NOT(ISNUMBER($X$4)),NOT(ISNUMBER($Y$4))),"Add scores",IF(NOT(ISNUMBER(DB_Colleges!Y74)),IF(OR(C80="Ivy League",C80="Highly Selective"),"Reach",IF(COUNT(U80:V80)=0,"No data",CHOOSE(W80+2,"Reach","Target","Likely"))),IF(DB_Colleges!Y74&lt;0.15,"Reach",IF(DB_Colleges!Y74&gt;=0.75,IF(W80&gt;=0,"Likely","Target"),IF(DB_Colleges!Y74&gt;=0.4,CHOOSE(W80+2,"Reach","Target","Likely"),IF(W80=1,"Target","Reach")))))))</f>
        <v>Likely</v>
      </c>
      <c r="F80" s="28" t="n">
        <f aca="false">IF(OR(B80="",NOT(ISNUMBER(DB_Colleges!Y74))),"",DB_Colleges!Y74)</f>
        <v>0.783</v>
      </c>
      <c r="G80" s="26" t="str">
        <f aca="false">IF(OR(B80="",NOT(ISNUMBER(DB_Colleges!Z74))),"",DB_Colleges!Z74&amp;"-"&amp;DB_Colleges!AA74)</f>
        <v>830-1020</v>
      </c>
      <c r="H80" s="26" t="n">
        <f aca="false">IF(OR(B80="",NOT(ISNUMBER(DB_Colleges!AD74))),"",DB_Colleges!AD74)</f>
        <v>3.01</v>
      </c>
      <c r="I80" s="29" t="str">
        <f aca="false">IF(B80="","",IF(COUNT(DB_Colleges!I74:O74)=0,IF(DB_Colleges!P74="Yes","Rolling","Check site"),MIN(DB_Colleges!I74:O74)))</f>
        <v>Check site</v>
      </c>
      <c r="J80" s="26" t="str">
        <f aca="false">IF(OR(B80="",COUNT(DB_Colleges!I74:O74)=0),"",INDEX({"ED","ED II","EA","EA II","REA","RD","Priority"},MATCH(MIN(DB_Colleges!I74:O74),DB_Colleges!I74:O74,0)))</f>
        <v/>
      </c>
      <c r="K80" s="29" t="str">
        <f aca="false">IF(OR(B80="",NOT(ISNUMBER(DB_Colleges!N74))),"",DB_Colleges!N74)</f>
        <v/>
      </c>
      <c r="L80" s="26" t="str">
        <f aca="false">IF(B80="","",DB_Colleges!G74&amp;"")</f>
        <v>School portal</v>
      </c>
      <c r="M80" s="30" t="n">
        <f aca="false">IF(OR(B80="",NOT(ISNUMBER(DB_Colleges!S74))),"",DB_Colleges!S74)</f>
        <v>50</v>
      </c>
      <c r="N80" s="26" t="str">
        <f aca="false">IF(B80="","",DB_Colleges!U74&amp;"")</f>
        <v>Optional</v>
      </c>
      <c r="O80" s="26" t="str">
        <f aca="false">IF(B80="","",IF(ISNUMBER(DB_Colleges!AH74),DB_Colleges!AH74,"Check"))</f>
        <v>Check</v>
      </c>
      <c r="P80" s="26" t="str">
        <f aca="false">IF(B80="","",DB_Colleges!W74&amp;"")</f>
        <v>Not required</v>
      </c>
      <c r="Q80" s="30" t="n">
        <f aca="false">IF(OR(B80="",NOT(ISNUMBER(DB_Colleges!AF74))),"",DB_Colleges!AF74)</f>
        <v>11463</v>
      </c>
      <c r="R80" s="28" t="n">
        <f aca="false">IF(OR(B80="",NOT(ISNUMBER(DB_Colleges!AG74))),"",DB_Colleges!AG74)</f>
        <v>0.41</v>
      </c>
      <c r="S80" s="26" t="str">
        <f aca="false">IF(B80="","",DB_Colleges!AK74&amp;"")</f>
        <v>Aggregator only</v>
      </c>
      <c r="T80" s="26" t="str">
        <f aca="false">IF(B80="","",DB_Colleges!AI74&amp;"")</f>
        <v>https://www.wssu.edu/admissions/</v>
      </c>
      <c r="U80" s="1" t="n">
        <f aca="false">IF(AND(ISNUMBER($X$4),ISNUMBER(DB_Colleges!Z74),ISNUMBER(DB_Colleges!AA74)),IF($X$4&gt;=DB_Colleges!AA74,1,IF($X$4&lt;DB_Colleges!Z74,-1,0)),"")</f>
        <v>0</v>
      </c>
      <c r="V80" s="1" t="n">
        <f aca="false">IF(AND(ISNUMBER($Y$4),ISNUMBER(DB_Colleges!AD74)),IF($Y$4&gt;=DB_Colleges!AD74+0.15,1,IF($Y$4&lt;DB_Colleges!AD74-0.2,-1,0)),"")</f>
        <v>1</v>
      </c>
      <c r="W80" s="1" t="n">
        <f aca="false">IF(COUNT(U80:V80)=0,0,MIN(U80:V80))</f>
        <v>0</v>
      </c>
    </row>
    <row r="81" customFormat="false" ht="15" hidden="false" customHeight="true" outlineLevel="0" collapsed="false">
      <c r="A81" s="26" t="str">
        <f aca="false">IF(B81="","",IF(COUNTIF('My Colleges'!$B$8:$B$27,B81)&gt;0,"On list",""))</f>
        <v/>
      </c>
      <c r="B81" s="27" t="str">
        <f aca="false">IF(DB_Colleges!A75="","",DB_Colleges!A75)</f>
        <v>North Carolina Central University</v>
      </c>
      <c r="C81" s="26" t="str">
        <f aca="false">IF(B81="","",DB_Colleges!B75)</f>
        <v>HBCU</v>
      </c>
      <c r="D81" s="26" t="str">
        <f aca="false">IF(B81="","",DB_Colleges!C75&amp;", "&amp;DB_Colleges!D75)</f>
        <v>Durham, NC</v>
      </c>
      <c r="E81" s="26" t="str">
        <f aca="false">IF(B81="","",IF(AND(NOT(ISNUMBER($X$4)),NOT(ISNUMBER($Y$4))),"Add scores",IF(NOT(ISNUMBER(DB_Colleges!Y75)),IF(OR(C81="Ivy League",C81="Highly Selective"),"Reach",IF(COUNT(U81:V81)=0,"No data",CHOOSE(W81+2,"Reach","Target","Likely"))),IF(DB_Colleges!Y75&lt;0.15,"Reach",IF(DB_Colleges!Y75&gt;=0.75,IF(W81&gt;=0,"Likely","Target"),IF(DB_Colleges!Y75&gt;=0.4,CHOOSE(W81+2,"Reach","Target","Likely"),IF(W81=1,"Target","Reach")))))))</f>
        <v>Target</v>
      </c>
      <c r="F81" s="28" t="n">
        <f aca="false">IF(OR(B81="",NOT(ISNUMBER(DB_Colleges!Y75))),"",DB_Colleges!Y75)</f>
        <v>0.87</v>
      </c>
      <c r="G81" s="26" t="str">
        <f aca="false">IF(OR(B81="",NOT(ISNUMBER(DB_Colleges!Z75))),"",DB_Colleges!Z75&amp;"-"&amp;DB_Colleges!AA75)</f>
        <v>980-1100</v>
      </c>
      <c r="H81" s="26" t="n">
        <f aca="false">IF(OR(B81="",NOT(ISNUMBER(DB_Colleges!AD75))),"",DB_Colleges!AD75)</f>
        <v>3.27</v>
      </c>
      <c r="I81" s="29" t="str">
        <f aca="false">IF(B81="","",IF(COUNT(DB_Colleges!I75:O75)=0,IF(DB_Colleges!P75="Yes","Rolling","Check site"),MIN(DB_Colleges!I75:O75)))</f>
        <v>Check site</v>
      </c>
      <c r="J81" s="26" t="str">
        <f aca="false">IF(OR(B81="",COUNT(DB_Colleges!I75:O75)=0),"",INDEX({"ED","ED II","EA","EA II","REA","RD","Priority"},MATCH(MIN(DB_Colleges!I75:O75),DB_Colleges!I75:O75,0)))</f>
        <v/>
      </c>
      <c r="K81" s="29" t="str">
        <f aca="false">IF(OR(B81="",NOT(ISNUMBER(DB_Colleges!N75))),"",DB_Colleges!N75)</f>
        <v/>
      </c>
      <c r="L81" s="26" t="str">
        <f aca="false">IF(B81="","",DB_Colleges!G75&amp;"")</f>
        <v>School portal</v>
      </c>
      <c r="M81" s="30" t="n">
        <f aca="false">IF(OR(B81="",NOT(ISNUMBER(DB_Colleges!S75))),"",DB_Colleges!S75)</f>
        <v>50</v>
      </c>
      <c r="N81" s="26" t="str">
        <f aca="false">IF(B81="","",DB_Colleges!U75&amp;"")</f>
        <v>Optional</v>
      </c>
      <c r="O81" s="26" t="str">
        <f aca="false">IF(B81="","",IF(ISNUMBER(DB_Colleges!AH75),DB_Colleges!AH75,"Check"))</f>
        <v>Check</v>
      </c>
      <c r="P81" s="26" t="str">
        <f aca="false">IF(B81="","",DB_Colleges!W75&amp;"")</f>
        <v>Not required</v>
      </c>
      <c r="Q81" s="30" t="n">
        <f aca="false">IF(OR(B81="",NOT(ISNUMBER(DB_Colleges!AF75))),"",DB_Colleges!AF75)</f>
        <v>13032</v>
      </c>
      <c r="R81" s="28" t="n">
        <f aca="false">IF(OR(B81="",NOT(ISNUMBER(DB_Colleges!AG75))),"",DB_Colleges!AG75)</f>
        <v>0.38</v>
      </c>
      <c r="S81" s="26" t="str">
        <f aca="false">IF(B81="","",DB_Colleges!AK75&amp;"")</f>
        <v>Aggregator only</v>
      </c>
      <c r="T81" s="26" t="str">
        <f aca="false">IF(B81="","",DB_Colleges!AI75&amp;"")</f>
        <v>https://www.nccu.edu/admissions</v>
      </c>
      <c r="U81" s="1" t="n">
        <f aca="false">IF(AND(ISNUMBER($X$4),ISNUMBER(DB_Colleges!Z75),ISNUMBER(DB_Colleges!AA75)),IF($X$4&gt;=DB_Colleges!AA75,1,IF($X$4&lt;DB_Colleges!Z75,-1,0)),"")</f>
        <v>-1</v>
      </c>
      <c r="V81" s="1" t="n">
        <f aca="false">IF(AND(ISNUMBER($Y$4),ISNUMBER(DB_Colleges!AD75)),IF($Y$4&gt;=DB_Colleges!AD75+0.15,1,IF($Y$4&lt;DB_Colleges!AD75-0.2,-1,0)),"")</f>
        <v>1</v>
      </c>
      <c r="W81" s="1" t="n">
        <f aca="false">IF(COUNT(U81:V81)=0,0,MIN(U81:V81))</f>
        <v>-1</v>
      </c>
    </row>
    <row r="82" customFormat="false" ht="15" hidden="false" customHeight="true" outlineLevel="0" collapsed="false">
      <c r="A82" s="26" t="str">
        <f aca="false">IF(B82="","",IF(COUNTIF('My Colleges'!$B$8:$B$27,B82)&gt;0,"On list",""))</f>
        <v/>
      </c>
      <c r="B82" s="27" t="str">
        <f aca="false">IF(DB_Colleges!A76="","",DB_Colleges!A76)</f>
        <v>Fayetteville State University</v>
      </c>
      <c r="C82" s="26" t="str">
        <f aca="false">IF(B82="","",DB_Colleges!B76)</f>
        <v>HBCU</v>
      </c>
      <c r="D82" s="26" t="str">
        <f aca="false">IF(B82="","",DB_Colleges!C76&amp;", "&amp;DB_Colleges!D76)</f>
        <v>Fayetteville, NC</v>
      </c>
      <c r="E82" s="26" t="str">
        <f aca="false">IF(B82="","",IF(AND(NOT(ISNUMBER($X$4)),NOT(ISNUMBER($Y$4))),"Add scores",IF(NOT(ISNUMBER(DB_Colleges!Y76)),IF(OR(C82="Ivy League",C82="Highly Selective"),"Reach",IF(COUNT(U82:V82)=0,"No data",CHOOSE(W82+2,"Reach","Target","Likely"))),IF(DB_Colleges!Y76&lt;0.15,"Reach",IF(DB_Colleges!Y76&gt;=0.75,IF(W82&gt;=0,"Likely","Target"),IF(DB_Colleges!Y76&gt;=0.4,CHOOSE(W82+2,"Reach","Target","Likely"),IF(W82=1,"Target","Reach")))))))</f>
        <v>Target</v>
      </c>
      <c r="F82" s="28" t="n">
        <f aca="false">IF(OR(B82="",NOT(ISNUMBER(DB_Colleges!Y76))),"",DB_Colleges!Y76)</f>
        <v>0.821</v>
      </c>
      <c r="G82" s="26" t="str">
        <f aca="false">IF(OR(B82="",NOT(ISNUMBER(DB_Colleges!Z76))),"",DB_Colleges!Z76&amp;"-"&amp;DB_Colleges!AA76)</f>
        <v>890-1090</v>
      </c>
      <c r="H82" s="26" t="n">
        <f aca="false">IF(OR(B82="",NOT(ISNUMBER(DB_Colleges!AD76))),"",DB_Colleges!AD76)</f>
        <v>3.11</v>
      </c>
      <c r="I82" s="29" t="str">
        <f aca="false">IF(B82="","",IF(COUNT(DB_Colleges!I76:O76)=0,IF(DB_Colleges!P76="Yes","Rolling","Check site"),MIN(DB_Colleges!I76:O76)))</f>
        <v>Check site</v>
      </c>
      <c r="J82" s="26" t="str">
        <f aca="false">IF(OR(B82="",COUNT(DB_Colleges!I76:O76)=0),"",INDEX({"ED","ED II","EA","EA II","REA","RD","Priority"},MATCH(MIN(DB_Colleges!I76:O76),DB_Colleges!I76:O76,0)))</f>
        <v/>
      </c>
      <c r="K82" s="29" t="str">
        <f aca="false">IF(OR(B82="",NOT(ISNUMBER(DB_Colleges!N76))),"",DB_Colleges!N76)</f>
        <v/>
      </c>
      <c r="L82" s="26" t="str">
        <f aca="false">IF(B82="","",DB_Colleges!G76&amp;"")</f>
        <v>School portal</v>
      </c>
      <c r="M82" s="30" t="n">
        <f aca="false">IF(OR(B82="",NOT(ISNUMBER(DB_Colleges!S76))),"",DB_Colleges!S76)</f>
        <v>50</v>
      </c>
      <c r="N82" s="26" t="str">
        <f aca="false">IF(B82="","",DB_Colleges!U76&amp;"")</f>
        <v>Optional</v>
      </c>
      <c r="O82" s="26" t="str">
        <f aca="false">IF(B82="","",IF(ISNUMBER(DB_Colleges!AH76),DB_Colleges!AH76,"Check"))</f>
        <v>Check</v>
      </c>
      <c r="P82" s="26" t="str">
        <f aca="false">IF(B82="","",DB_Colleges!W76&amp;"")</f>
        <v>Not required</v>
      </c>
      <c r="Q82" s="30" t="n">
        <f aca="false">IF(OR(B82="",NOT(ISNUMBER(DB_Colleges!AF76))),"",DB_Colleges!AF76)</f>
        <v>6233</v>
      </c>
      <c r="R82" s="28" t="n">
        <f aca="false">IF(OR(B82="",NOT(ISNUMBER(DB_Colleges!AG76))),"",DB_Colleges!AG76)</f>
        <v>0.31</v>
      </c>
      <c r="S82" s="26" t="str">
        <f aca="false">IF(B82="","",DB_Colleges!AK76&amp;"")</f>
        <v>Aggregator only</v>
      </c>
      <c r="T82" s="26" t="str">
        <f aca="false">IF(B82="","",DB_Colleges!AI76&amp;"")</f>
        <v>https://www.uncfsu.edu/admissions</v>
      </c>
      <c r="U82" s="1" t="n">
        <f aca="false">IF(AND(ISNUMBER($X$4),ISNUMBER(DB_Colleges!Z76),ISNUMBER(DB_Colleges!AA76)),IF($X$4&gt;=DB_Colleges!AA76,1,IF($X$4&lt;DB_Colleges!Z76,-1,0)),"")</f>
        <v>-1</v>
      </c>
      <c r="V82" s="1" t="n">
        <f aca="false">IF(AND(ISNUMBER($Y$4),ISNUMBER(DB_Colleges!AD76)),IF($Y$4&gt;=DB_Colleges!AD76+0.15,1,IF($Y$4&lt;DB_Colleges!AD76-0.2,-1,0)),"")</f>
        <v>1</v>
      </c>
      <c r="W82" s="1" t="n">
        <f aca="false">IF(COUNT(U82:V82)=0,0,MIN(U82:V82))</f>
        <v>-1</v>
      </c>
    </row>
    <row r="83" customFormat="false" ht="15" hidden="false" customHeight="true" outlineLevel="0" collapsed="false">
      <c r="A83" s="26" t="str">
        <f aca="false">IF(B83="","",IF(COUNTIF('My Colleges'!$B$8:$B$27,B83)&gt;0,"On list",""))</f>
        <v/>
      </c>
      <c r="B83" s="27" t="str">
        <f aca="false">IF(DB_Colleges!A77="","",DB_Colleges!A77)</f>
        <v>Elizabeth City State University</v>
      </c>
      <c r="C83" s="26" t="str">
        <f aca="false">IF(B83="","",DB_Colleges!B77)</f>
        <v>HBCU</v>
      </c>
      <c r="D83" s="26" t="str">
        <f aca="false">IF(B83="","",DB_Colleges!C77&amp;", "&amp;DB_Colleges!D77)</f>
        <v>Elizabeth City, NC</v>
      </c>
      <c r="E83" s="26" t="str">
        <f aca="false">IF(B83="","",IF(AND(NOT(ISNUMBER($X$4)),NOT(ISNUMBER($Y$4))),"Add scores",IF(NOT(ISNUMBER(DB_Colleges!Y77)),IF(OR(C83="Ivy League",C83="Highly Selective"),"Reach",IF(COUNT(U83:V83)=0,"No data",CHOOSE(W83+2,"Reach","Target","Likely"))),IF(DB_Colleges!Y77&lt;0.15,"Reach",IF(DB_Colleges!Y77&gt;=0.75,IF(W83&gt;=0,"Likely","Target"),IF(DB_Colleges!Y77&gt;=0.4,CHOOSE(W83+2,"Reach","Target","Likely"),IF(W83=1,"Target","Reach")))))))</f>
        <v>Reach</v>
      </c>
      <c r="F83" s="28" t="n">
        <f aca="false">IF(OR(B83="",NOT(ISNUMBER(DB_Colleges!Y77))),"",DB_Colleges!Y77)</f>
        <v>0.64</v>
      </c>
      <c r="G83" s="26" t="str">
        <f aca="false">IF(OR(B83="",NOT(ISNUMBER(DB_Colleges!Z77))),"",DB_Colleges!Z77&amp;"-"&amp;DB_Colleges!AA77)</f>
        <v>920-1080</v>
      </c>
      <c r="H83" s="26" t="str">
        <f aca="false">IF(OR(B83="",NOT(ISNUMBER(DB_Colleges!AD77))),"",DB_Colleges!AD77)</f>
        <v/>
      </c>
      <c r="I83" s="29" t="n">
        <f aca="false">IF(B83="","",IF(COUNT(DB_Colleges!I77:O77)=0,IF(DB_Colleges!P77="Yes","Rolling","Check site"),MIN(DB_Colleges!I77:O77)))</f>
        <v>46568</v>
      </c>
      <c r="J83" s="26" t="str">
        <f aca="false">IF(OR(B83="",COUNT(DB_Colleges!I77:O77)=0),"",INDEX({"ED","ED II","EA","EA II","REA","RD","Priority"},MATCH(MIN(DB_Colleges!I77:O77),DB_Colleges!I77:O77,0)))</f>
        <v>Priority</v>
      </c>
      <c r="K83" s="29" t="str">
        <f aca="false">IF(OR(B83="",NOT(ISNUMBER(DB_Colleges!N77))),"",DB_Colleges!N77)</f>
        <v/>
      </c>
      <c r="L83" s="26" t="str">
        <f aca="false">IF(B83="","",DB_Colleges!G77&amp;"")</f>
        <v>Common App; Common Black College App; CFNC; School portal</v>
      </c>
      <c r="M83" s="30" t="n">
        <f aca="false">IF(OR(B83="",NOT(ISNUMBER(DB_Colleges!S77))),"",DB_Colleges!S77)</f>
        <v>30</v>
      </c>
      <c r="N83" s="26" t="str">
        <f aca="false">IF(B83="","",DB_Colleges!U77&amp;"")</f>
        <v>Optional</v>
      </c>
      <c r="O83" s="26" t="str">
        <f aca="false">IF(B83="","",IF(ISNUMBER(DB_Colleges!AH77),DB_Colleges!AH77,"Check"))</f>
        <v>Check</v>
      </c>
      <c r="P83" s="26" t="str">
        <f aca="false">IF(B83="","",DB_Colleges!W77&amp;"")</f>
        <v>Not required</v>
      </c>
      <c r="Q83" s="30" t="str">
        <f aca="false">IF(OR(B83="",NOT(ISNUMBER(DB_Colleges!AF77))),"",DB_Colleges!AF77)</f>
        <v/>
      </c>
      <c r="R83" s="28" t="n">
        <f aca="false">IF(OR(B83="",NOT(ISNUMBER(DB_Colleges!AG77))),"",DB_Colleges!AG77)</f>
        <v>0.44</v>
      </c>
      <c r="S83" s="26" t="str">
        <f aca="false">IF(B83="","",DB_Colleges!AK77&amp;"")</f>
        <v>Mixed</v>
      </c>
      <c r="T83" s="26" t="str">
        <f aca="false">IF(B83="","",DB_Colleges!AI77&amp;"")</f>
        <v>https://www.ecsu.edu/admissions/prospective-students.php</v>
      </c>
      <c r="U83" s="1" t="n">
        <f aca="false">IF(AND(ISNUMBER($X$4),ISNUMBER(DB_Colleges!Z77),ISNUMBER(DB_Colleges!AA77)),IF($X$4&gt;=DB_Colleges!AA77,1,IF($X$4&lt;DB_Colleges!Z77,-1,0)),"")</f>
        <v>-1</v>
      </c>
      <c r="V83" s="1" t="str">
        <f aca="false">IF(AND(ISNUMBER($Y$4),ISNUMBER(DB_Colleges!AD77)),IF($Y$4&gt;=DB_Colleges!AD77+0.15,1,IF($Y$4&lt;DB_Colleges!AD77-0.2,-1,0)),"")</f>
        <v/>
      </c>
      <c r="W83" s="1" t="n">
        <f aca="false">IF(COUNT(U83:V83)=0,0,MIN(U83:V83))</f>
        <v>-1</v>
      </c>
    </row>
    <row r="84" customFormat="false" ht="15" hidden="false" customHeight="true" outlineLevel="0" collapsed="false">
      <c r="A84" s="26" t="str">
        <f aca="false">IF(B84="","",IF(COUNTIF('My Colleges'!$B$8:$B$27,B84)&gt;0,"On list",""))</f>
        <v/>
      </c>
      <c r="B84" s="27" t="str">
        <f aca="false">IF(DB_Colleges!A78="","",DB_Colleges!A78)</f>
        <v>Johnson C. Smith University</v>
      </c>
      <c r="C84" s="26" t="str">
        <f aca="false">IF(B84="","",DB_Colleges!B78)</f>
        <v>HBCU</v>
      </c>
      <c r="D84" s="26" t="str">
        <f aca="false">IF(B84="","",DB_Colleges!C78&amp;", "&amp;DB_Colleges!D78)</f>
        <v>Charlotte, NC</v>
      </c>
      <c r="E84" s="26" t="str">
        <f aca="false">IF(B84="","",IF(AND(NOT(ISNUMBER($X$4)),NOT(ISNUMBER($Y$4))),"Add scores",IF(NOT(ISNUMBER(DB_Colleges!Y78)),IF(OR(C84="Ivy League",C84="Highly Selective"),"Reach",IF(COUNT(U84:V84)=0,"No data",CHOOSE(W84+2,"Reach","Target","Likely"))),IF(DB_Colleges!Y78&lt;0.15,"Reach",IF(DB_Colleges!Y78&gt;=0.75,IF(W84&gt;=0,"Likely","Target"),IF(DB_Colleges!Y78&gt;=0.4,CHOOSE(W84+2,"Reach","Target","Likely"),IF(W84=1,"Target","Reach")))))))</f>
        <v>Target</v>
      </c>
      <c r="F84" s="28" t="n">
        <f aca="false">IF(OR(B84="",NOT(ISNUMBER(DB_Colleges!Y78))),"",DB_Colleges!Y78)</f>
        <v>0.58</v>
      </c>
      <c r="G84" s="26" t="str">
        <f aca="false">IF(OR(B84="",NOT(ISNUMBER(DB_Colleges!Z78))),"",DB_Colleges!Z78&amp;"-"&amp;DB_Colleges!AA78)</f>
        <v>800-980</v>
      </c>
      <c r="H84" s="26" t="str">
        <f aca="false">IF(OR(B84="",NOT(ISNUMBER(DB_Colleges!AD78))),"",DB_Colleges!AD78)</f>
        <v/>
      </c>
      <c r="I84" s="29" t="str">
        <f aca="false">IF(B84="","",IF(COUNT(DB_Colleges!I78:O78)=0,IF(DB_Colleges!P78="Yes","Rolling","Check site"),MIN(DB_Colleges!I78:O78)))</f>
        <v>Rolling</v>
      </c>
      <c r="J84" s="26" t="str">
        <f aca="false">IF(OR(B84="",COUNT(DB_Colleges!I78:O78)=0),"",INDEX({"ED","ED II","EA","EA II","REA","RD","Priority"},MATCH(MIN(DB_Colleges!I78:O78),DB_Colleges!I78:O78,0)))</f>
        <v/>
      </c>
      <c r="K84" s="29" t="str">
        <f aca="false">IF(OR(B84="",NOT(ISNUMBER(DB_Colleges!N78))),"",DB_Colleges!N78)</f>
        <v/>
      </c>
      <c r="L84" s="26" t="str">
        <f aca="false">IF(B84="","",DB_Colleges!G78&amp;"")</f>
        <v>School portal</v>
      </c>
      <c r="M84" s="30" t="n">
        <f aca="false">IF(OR(B84="",NOT(ISNUMBER(DB_Colleges!S78))),"",DB_Colleges!S78)</f>
        <v>25</v>
      </c>
      <c r="N84" s="26" t="str">
        <f aca="false">IF(B84="","",DB_Colleges!U78&amp;"")</f>
        <v>Optional</v>
      </c>
      <c r="O84" s="26" t="n">
        <f aca="false">IF(B84="","",IF(ISNUMBER(DB_Colleges!AH78),DB_Colleges!AH78,"Check"))</f>
        <v>0</v>
      </c>
      <c r="P84" s="26" t="str">
        <f aca="false">IF(B84="","",DB_Colleges!W78&amp;"")</f>
        <v>Not required</v>
      </c>
      <c r="Q84" s="30" t="str">
        <f aca="false">IF(OR(B84="",NOT(ISNUMBER(DB_Colleges!AF78))),"",DB_Colleges!AF78)</f>
        <v/>
      </c>
      <c r="R84" s="28" t="str">
        <f aca="false">IF(OR(B84="",NOT(ISNUMBER(DB_Colleges!AG78))),"",DB_Colleges!AG78)</f>
        <v/>
      </c>
      <c r="S84" s="26" t="str">
        <f aca="false">IF(B84="","",DB_Colleges!AK78&amp;"")</f>
        <v>Official 2026-27</v>
      </c>
      <c r="T84" s="26" t="str">
        <f aca="false">IF(B84="","",DB_Colleges!AI78&amp;"")</f>
        <v>https://www.jcsu.edu/admissions/freshman-admissions</v>
      </c>
      <c r="U84" s="1" t="n">
        <f aca="false">IF(AND(ISNUMBER($X$4),ISNUMBER(DB_Colleges!Z78),ISNUMBER(DB_Colleges!AA78)),IF($X$4&gt;=DB_Colleges!AA78,1,IF($X$4&lt;DB_Colleges!Z78,-1,0)),"")</f>
        <v>0</v>
      </c>
      <c r="V84" s="1" t="str">
        <f aca="false">IF(AND(ISNUMBER($Y$4),ISNUMBER(DB_Colleges!AD78)),IF($Y$4&gt;=DB_Colleges!AD78+0.15,1,IF($Y$4&lt;DB_Colleges!AD78-0.2,-1,0)),"")</f>
        <v/>
      </c>
      <c r="W84" s="1" t="n">
        <f aca="false">IF(COUNT(U84:V84)=0,0,MIN(U84:V84))</f>
        <v>0</v>
      </c>
    </row>
    <row r="85" customFormat="false" ht="15" hidden="false" customHeight="true" outlineLevel="0" collapsed="false">
      <c r="A85" s="26" t="str">
        <f aca="false">IF(B85="","",IF(COUNTIF('My Colleges'!$B$8:$B$27,B85)&gt;0,"On list",""))</f>
        <v/>
      </c>
      <c r="B85" s="27" t="str">
        <f aca="false">IF(DB_Colleges!A79="","",DB_Colleges!A79)</f>
        <v>Shaw University</v>
      </c>
      <c r="C85" s="26" t="str">
        <f aca="false">IF(B85="","",DB_Colleges!B79)</f>
        <v>HBCU</v>
      </c>
      <c r="D85" s="26" t="str">
        <f aca="false">IF(B85="","",DB_Colleges!C79&amp;", "&amp;DB_Colleges!D79)</f>
        <v>Raleigh, NC</v>
      </c>
      <c r="E85" s="26" t="str">
        <f aca="false">IF(B85="","",IF(AND(NOT(ISNUMBER($X$4)),NOT(ISNUMBER($Y$4))),"Add scores",IF(NOT(ISNUMBER(DB_Colleges!Y79)),IF(OR(C85="Ivy League",C85="Highly Selective"),"Reach",IF(COUNT(U85:V85)=0,"No data",CHOOSE(W85+2,"Reach","Target","Likely"))),IF(DB_Colleges!Y79&lt;0.15,"Reach",IF(DB_Colleges!Y79&gt;=0.75,IF(W85&gt;=0,"Likely","Target"),IF(DB_Colleges!Y79&gt;=0.4,CHOOSE(W85+2,"Reach","Target","Likely"),IF(W85=1,"Target","Reach")))))))</f>
        <v>Likely</v>
      </c>
      <c r="F85" s="28" t="n">
        <f aca="false">IF(OR(B85="",NOT(ISNUMBER(DB_Colleges!Y79))),"",DB_Colleges!Y79)</f>
        <v>0.8</v>
      </c>
      <c r="G85" s="26" t="str">
        <f aca="false">IF(OR(B85="",NOT(ISNUMBER(DB_Colleges!Z79))),"",DB_Colleges!Z79&amp;"-"&amp;DB_Colleges!AA79)</f>
        <v/>
      </c>
      <c r="H85" s="26" t="str">
        <f aca="false">IF(OR(B85="",NOT(ISNUMBER(DB_Colleges!AD79))),"",DB_Colleges!AD79)</f>
        <v/>
      </c>
      <c r="I85" s="29" t="str">
        <f aca="false">IF(B85="","",IF(COUNT(DB_Colleges!I79:O79)=0,IF(DB_Colleges!P79="Yes","Rolling","Check site"),MIN(DB_Colleges!I79:O79)))</f>
        <v>Rolling</v>
      </c>
      <c r="J85" s="26" t="str">
        <f aca="false">IF(OR(B85="",COUNT(DB_Colleges!I79:O79)=0),"",INDEX({"ED","ED II","EA","EA II","REA","RD","Priority"},MATCH(MIN(DB_Colleges!I79:O79),DB_Colleges!I79:O79,0)))</f>
        <v/>
      </c>
      <c r="K85" s="29" t="str">
        <f aca="false">IF(OR(B85="",NOT(ISNUMBER(DB_Colleges!N79))),"",DB_Colleges!N79)</f>
        <v/>
      </c>
      <c r="L85" s="26" t="str">
        <f aca="false">IF(B85="","",DB_Colleges!G79&amp;"")</f>
        <v>Common App; School portal</v>
      </c>
      <c r="M85" s="30" t="n">
        <f aca="false">IF(OR(B85="",NOT(ISNUMBER(DB_Colleges!S79))),"",DB_Colleges!S79)</f>
        <v>25</v>
      </c>
      <c r="N85" s="26" t="str">
        <f aca="false">IF(B85="","",DB_Colleges!U79&amp;"")</f>
        <v>Optional</v>
      </c>
      <c r="O85" s="26" t="str">
        <f aca="false">IF(B85="","",IF(ISNUMBER(DB_Colleges!AH79),DB_Colleges!AH79,"Check"))</f>
        <v>Check</v>
      </c>
      <c r="P85" s="26" t="str">
        <f aca="false">IF(B85="","",DB_Colleges!W79&amp;"")</f>
        <v>Not required</v>
      </c>
      <c r="Q85" s="30" t="str">
        <f aca="false">IF(OR(B85="",NOT(ISNUMBER(DB_Colleges!AF79))),"",DB_Colleges!AF79)</f>
        <v/>
      </c>
      <c r="R85" s="28" t="str">
        <f aca="false">IF(OR(B85="",NOT(ISNUMBER(DB_Colleges!AG79))),"",DB_Colleges!AG79)</f>
        <v/>
      </c>
      <c r="S85" s="26" t="str">
        <f aca="false">IF(B85="","",DB_Colleges!AK79&amp;"")</f>
        <v>Aggregator only</v>
      </c>
      <c r="T85" s="26" t="str">
        <f aca="false">IF(B85="","",DB_Colleges!AI79&amp;"")</f>
        <v>https://www.shawu.edu/Prospective_Students/?section=admissions</v>
      </c>
      <c r="U85" s="1" t="str">
        <f aca="false">IF(AND(ISNUMBER($X$4),ISNUMBER(DB_Colleges!Z79),ISNUMBER(DB_Colleges!AA79)),IF($X$4&gt;=DB_Colleges!AA79,1,IF($X$4&lt;DB_Colleges!Z79,-1,0)),"")</f>
        <v/>
      </c>
      <c r="V85" s="1" t="str">
        <f aca="false">IF(AND(ISNUMBER($Y$4),ISNUMBER(DB_Colleges!AD79)),IF($Y$4&gt;=DB_Colleges!AD79+0.15,1,IF($Y$4&lt;DB_Colleges!AD79-0.2,-1,0)),"")</f>
        <v/>
      </c>
      <c r="W85" s="1" t="n">
        <f aca="false">IF(COUNT(U85:V85)=0,0,MIN(U85:V85))</f>
        <v>0</v>
      </c>
    </row>
    <row r="86" customFormat="false" ht="15" hidden="false" customHeight="true" outlineLevel="0" collapsed="false">
      <c r="A86" s="26" t="str">
        <f aca="false">IF(B86="","",IF(COUNTIF('My Colleges'!$B$8:$B$27,B86)&gt;0,"On list",""))</f>
        <v/>
      </c>
      <c r="B86" s="27" t="str">
        <f aca="false">IF(DB_Colleges!A80="","",DB_Colleges!A80)</f>
        <v>Bennett College</v>
      </c>
      <c r="C86" s="26" t="str">
        <f aca="false">IF(B86="","",DB_Colleges!B80)</f>
        <v>HBCU</v>
      </c>
      <c r="D86" s="26" t="str">
        <f aca="false">IF(B86="","",DB_Colleges!C80&amp;", "&amp;DB_Colleges!D80)</f>
        <v>Greensboro, NC</v>
      </c>
      <c r="E86" s="26" t="str">
        <f aca="false">IF(B86="","",IF(AND(NOT(ISNUMBER($X$4)),NOT(ISNUMBER($Y$4))),"Add scores",IF(NOT(ISNUMBER(DB_Colleges!Y80)),IF(OR(C86="Ivy League",C86="Highly Selective"),"Reach",IF(COUNT(U86:V86)=0,"No data",CHOOSE(W86+2,"Reach","Target","Likely"))),IF(DB_Colleges!Y80&lt;0.15,"Reach",IF(DB_Colleges!Y80&gt;=0.75,IF(W86&gt;=0,"Likely","Target"),IF(DB_Colleges!Y80&gt;=0.4,CHOOSE(W86+2,"Reach","Target","Likely"),IF(W86=1,"Target","Reach")))))))</f>
        <v>Target</v>
      </c>
      <c r="F86" s="28" t="n">
        <f aca="false">IF(OR(B86="",NOT(ISNUMBER(DB_Colleges!Y80))),"",DB_Colleges!Y80)</f>
        <v>0.51</v>
      </c>
      <c r="G86" s="26" t="str">
        <f aca="false">IF(OR(B86="",NOT(ISNUMBER(DB_Colleges!Z80))),"",DB_Colleges!Z80&amp;"-"&amp;DB_Colleges!AA80)</f>
        <v>820-1060</v>
      </c>
      <c r="H86" s="26" t="str">
        <f aca="false">IF(OR(B86="",NOT(ISNUMBER(DB_Colleges!AD80))),"",DB_Colleges!AD80)</f>
        <v/>
      </c>
      <c r="I86" s="29" t="str">
        <f aca="false">IF(B86="","",IF(COUNT(DB_Colleges!I80:O80)=0,IF(DB_Colleges!P80="Yes","Rolling","Check site"),MIN(DB_Colleges!I80:O80)))</f>
        <v>Rolling</v>
      </c>
      <c r="J86" s="26" t="str">
        <f aca="false">IF(OR(B86="",COUNT(DB_Colleges!I80:O80)=0),"",INDEX({"ED","ED II","EA","EA II","REA","RD","Priority"},MATCH(MIN(DB_Colleges!I80:O80),DB_Colleges!I80:O80,0)))</f>
        <v/>
      </c>
      <c r="K86" s="29" t="str">
        <f aca="false">IF(OR(B86="",NOT(ISNUMBER(DB_Colleges!N80))),"",DB_Colleges!N80)</f>
        <v/>
      </c>
      <c r="L86" s="26" t="str">
        <f aca="false">IF(B86="","",DB_Colleges!G80&amp;"")</f>
        <v>School portal</v>
      </c>
      <c r="M86" s="30" t="n">
        <f aca="false">IF(OR(B86="",NOT(ISNUMBER(DB_Colleges!S80))),"",DB_Colleges!S80)</f>
        <v>0</v>
      </c>
      <c r="N86" s="26" t="str">
        <f aca="false">IF(B86="","",DB_Colleges!U80&amp;"")</f>
        <v>Optional</v>
      </c>
      <c r="O86" s="26" t="n">
        <f aca="false">IF(B86="","",IF(ISNUMBER(DB_Colleges!AH80),DB_Colleges!AH80,"Check"))</f>
        <v>1</v>
      </c>
      <c r="P86" s="26" t="str">
        <f aca="false">IF(B86="","",DB_Colleges!W80&amp;"")</f>
        <v>Not required</v>
      </c>
      <c r="Q86" s="30" t="str">
        <f aca="false">IF(OR(B86="",NOT(ISNUMBER(DB_Colleges!AF80))),"",DB_Colleges!AF80)</f>
        <v/>
      </c>
      <c r="R86" s="28" t="str">
        <f aca="false">IF(OR(B86="",NOT(ISNUMBER(DB_Colleges!AG80))),"",DB_Colleges!AG80)</f>
        <v/>
      </c>
      <c r="S86" s="26" t="str">
        <f aca="false">IF(B86="","",DB_Colleges!AK80&amp;"")</f>
        <v>Mixed</v>
      </c>
      <c r="T86" s="26" t="str">
        <f aca="false">IF(B86="","",DB_Colleges!AI80&amp;"")</f>
        <v>https://www.bennett.edu/admissions/</v>
      </c>
      <c r="U86" s="1" t="n">
        <f aca="false">IF(AND(ISNUMBER($X$4),ISNUMBER(DB_Colleges!Z80),ISNUMBER(DB_Colleges!AA80)),IF($X$4&gt;=DB_Colleges!AA80,1,IF($X$4&lt;DB_Colleges!Z80,-1,0)),"")</f>
        <v>0</v>
      </c>
      <c r="V86" s="1" t="str">
        <f aca="false">IF(AND(ISNUMBER($Y$4),ISNUMBER(DB_Colleges!AD80)),IF($Y$4&gt;=DB_Colleges!AD80+0.15,1,IF($Y$4&lt;DB_Colleges!AD80-0.2,-1,0)),"")</f>
        <v/>
      </c>
      <c r="W86" s="1" t="n">
        <f aca="false">IF(COUNT(U86:V86)=0,0,MIN(U86:V86))</f>
        <v>0</v>
      </c>
    </row>
    <row r="87" customFormat="false" ht="15" hidden="false" customHeight="true" outlineLevel="0" collapsed="false">
      <c r="A87" s="26" t="str">
        <f aca="false">IF(B87="","",IF(COUNTIF('My Colleges'!$B$8:$B$27,B87)&gt;0,"On list",""))</f>
        <v/>
      </c>
      <c r="B87" s="27" t="str">
        <f aca="false">IF(DB_Colleges!A81="","",DB_Colleges!A81)</f>
        <v>Claflin University</v>
      </c>
      <c r="C87" s="26" t="str">
        <f aca="false">IF(B87="","",DB_Colleges!B81)</f>
        <v>HBCU</v>
      </c>
      <c r="D87" s="26" t="str">
        <f aca="false">IF(B87="","",DB_Colleges!C81&amp;", "&amp;DB_Colleges!D81)</f>
        <v>Orangeburg, SC</v>
      </c>
      <c r="E87" s="26" t="str">
        <f aca="false">IF(B87="","",IF(AND(NOT(ISNUMBER($X$4)),NOT(ISNUMBER($Y$4))),"Add scores",IF(NOT(ISNUMBER(DB_Colleges!Y81)),IF(OR(C87="Ivy League",C87="Highly Selective"),"Reach",IF(COUNT(U87:V87)=0,"No data",CHOOSE(W87+2,"Reach","Target","Likely"))),IF(DB_Colleges!Y81&lt;0.15,"Reach",IF(DB_Colleges!Y81&gt;=0.75,IF(W87&gt;=0,"Likely","Target"),IF(DB_Colleges!Y81&gt;=0.4,CHOOSE(W87+2,"Reach","Target","Likely"),IF(W87=1,"Target","Reach")))))))</f>
        <v>Target</v>
      </c>
      <c r="F87" s="28" t="n">
        <f aca="false">IF(OR(B87="",NOT(ISNUMBER(DB_Colleges!Y81))),"",DB_Colleges!Y81)</f>
        <v>0.65</v>
      </c>
      <c r="G87" s="26" t="str">
        <f aca="false">IF(OR(B87="",NOT(ISNUMBER(DB_Colleges!Z81))),"",DB_Colleges!Z81&amp;"-"&amp;DB_Colleges!AA81)</f>
        <v>840-1040</v>
      </c>
      <c r="H87" s="26" t="str">
        <f aca="false">IF(OR(B87="",NOT(ISNUMBER(DB_Colleges!AD81))),"",DB_Colleges!AD81)</f>
        <v/>
      </c>
      <c r="I87" s="29" t="str">
        <f aca="false">IF(B87="","",IF(COUNT(DB_Colleges!I81:O81)=0,IF(DB_Colleges!P81="Yes","Rolling","Check site"),MIN(DB_Colleges!I81:O81)))</f>
        <v>Rolling</v>
      </c>
      <c r="J87" s="26" t="str">
        <f aca="false">IF(OR(B87="",COUNT(DB_Colleges!I81:O81)=0),"",INDEX({"ED","ED II","EA","EA II","REA","RD","Priority"},MATCH(MIN(DB_Colleges!I81:O81),DB_Colleges!I81:O81,0)))</f>
        <v/>
      </c>
      <c r="K87" s="29" t="str">
        <f aca="false">IF(OR(B87="",NOT(ISNUMBER(DB_Colleges!N81))),"",DB_Colleges!N81)</f>
        <v/>
      </c>
      <c r="L87" s="26" t="str">
        <f aca="false">IF(B87="","",DB_Colleges!G81&amp;"")</f>
        <v>School portal</v>
      </c>
      <c r="M87" s="30" t="n">
        <f aca="false">IF(OR(B87="",NOT(ISNUMBER(DB_Colleges!S81))),"",DB_Colleges!S81)</f>
        <v>60</v>
      </c>
      <c r="N87" s="26" t="str">
        <f aca="false">IF(B87="","",DB_Colleges!U81&amp;"")</f>
        <v>Optional</v>
      </c>
      <c r="O87" s="26" t="str">
        <f aca="false">IF(B87="","",IF(ISNUMBER(DB_Colleges!AH81),DB_Colleges!AH81,"Check"))</f>
        <v>Check</v>
      </c>
      <c r="P87" s="26" t="str">
        <f aca="false">IF(B87="","",DB_Colleges!W81&amp;"")</f>
        <v>Not required</v>
      </c>
      <c r="Q87" s="30" t="str">
        <f aca="false">IF(OR(B87="",NOT(ISNUMBER(DB_Colleges!AF81))),"",DB_Colleges!AF81)</f>
        <v/>
      </c>
      <c r="R87" s="28" t="str">
        <f aca="false">IF(OR(B87="",NOT(ISNUMBER(DB_Colleges!AG81))),"",DB_Colleges!AG81)</f>
        <v/>
      </c>
      <c r="S87" s="26" t="str">
        <f aca="false">IF(B87="","",DB_Colleges!AK81&amp;"")</f>
        <v>Aggregator only</v>
      </c>
      <c r="T87" s="26" t="str">
        <f aca="false">IF(B87="","",DB_Colleges!AI81&amp;"")</f>
        <v>https://www.claflin.edu/admissions-aid/how-to-apply</v>
      </c>
      <c r="U87" s="1" t="n">
        <f aca="false">IF(AND(ISNUMBER($X$4),ISNUMBER(DB_Colleges!Z81),ISNUMBER(DB_Colleges!AA81)),IF($X$4&gt;=DB_Colleges!AA81,1,IF($X$4&lt;DB_Colleges!Z81,-1,0)),"")</f>
        <v>0</v>
      </c>
      <c r="V87" s="1" t="str">
        <f aca="false">IF(AND(ISNUMBER($Y$4),ISNUMBER(DB_Colleges!AD81)),IF($Y$4&gt;=DB_Colleges!AD81+0.15,1,IF($Y$4&lt;DB_Colleges!AD81-0.2,-1,0)),"")</f>
        <v/>
      </c>
      <c r="W87" s="1" t="n">
        <f aca="false">IF(COUNT(U87:V87)=0,0,MIN(U87:V87))</f>
        <v>0</v>
      </c>
    </row>
    <row r="88" customFormat="false" ht="15" hidden="false" customHeight="true" outlineLevel="0" collapsed="false">
      <c r="A88" s="26" t="str">
        <f aca="false">IF(B88="","",IF(COUNTIF('My Colleges'!$B$8:$B$27,B88)&gt;0,"On list",""))</f>
        <v/>
      </c>
      <c r="B88" s="27" t="str">
        <f aca="false">IF(DB_Colleges!A82="","",DB_Colleges!A82)</f>
        <v>South Carolina State University</v>
      </c>
      <c r="C88" s="26" t="str">
        <f aca="false">IF(B88="","",DB_Colleges!B82)</f>
        <v>HBCU</v>
      </c>
      <c r="D88" s="26" t="str">
        <f aca="false">IF(B88="","",DB_Colleges!C82&amp;", "&amp;DB_Colleges!D82)</f>
        <v>Orangeburg, SC</v>
      </c>
      <c r="E88" s="26" t="str">
        <f aca="false">IF(B88="","",IF(AND(NOT(ISNUMBER($X$4)),NOT(ISNUMBER($Y$4))),"Add scores",IF(NOT(ISNUMBER(DB_Colleges!Y82)),IF(OR(C88="Ivy League",C88="Highly Selective"),"Reach",IF(COUNT(U88:V88)=0,"No data",CHOOSE(W88+2,"Reach","Target","Likely"))),IF(DB_Colleges!Y82&lt;0.15,"Reach",IF(DB_Colleges!Y82&gt;=0.75,IF(W88&gt;=0,"Likely","Target"),IF(DB_Colleges!Y82&gt;=0.4,CHOOSE(W88+2,"Reach","Target","Likely"),IF(W88=1,"Target","Reach")))))))</f>
        <v>Likely</v>
      </c>
      <c r="F88" s="28" t="n">
        <f aca="false">IF(OR(B88="",NOT(ISNUMBER(DB_Colleges!Y82))),"",DB_Colleges!Y82)</f>
        <v>0.83</v>
      </c>
      <c r="G88" s="26" t="str">
        <f aca="false">IF(OR(B88="",NOT(ISNUMBER(DB_Colleges!Z82))),"",DB_Colleges!Z82&amp;"-"&amp;DB_Colleges!AA82)</f>
        <v>800-1050</v>
      </c>
      <c r="H88" s="26" t="str">
        <f aca="false">IF(OR(B88="",NOT(ISNUMBER(DB_Colleges!AD82))),"",DB_Colleges!AD82)</f>
        <v/>
      </c>
      <c r="I88" s="29" t="n">
        <f aca="false">IF(B88="","",IF(COUNT(DB_Colleges!I82:O82)=0,IF(DB_Colleges!P82="Yes","Rolling","Check site"),MIN(DB_Colleges!I82:O82)))</f>
        <v>46357</v>
      </c>
      <c r="J88" s="26" t="str">
        <f aca="false">IF(OR(B88="",COUNT(DB_Colleges!I82:O82)=0),"",INDEX({"ED","ED II","EA","EA II","REA","RD","Priority"},MATCH(MIN(DB_Colleges!I82:O82),DB_Colleges!I82:O82,0)))</f>
        <v>Priority</v>
      </c>
      <c r="K88" s="29" t="str">
        <f aca="false">IF(OR(B88="",NOT(ISNUMBER(DB_Colleges!N82))),"",DB_Colleges!N82)</f>
        <v/>
      </c>
      <c r="L88" s="26" t="str">
        <f aca="false">IF(B88="","",DB_Colleges!G82&amp;"")</f>
        <v>School portal</v>
      </c>
      <c r="M88" s="30" t="n">
        <f aca="false">IF(OR(B88="",NOT(ISNUMBER(DB_Colleges!S82))),"",DB_Colleges!S82)</f>
        <v>25</v>
      </c>
      <c r="N88" s="26" t="str">
        <f aca="false">IF(B88="","",DB_Colleges!U82&amp;"")</f>
        <v>Optional</v>
      </c>
      <c r="O88" s="26" t="str">
        <f aca="false">IF(B88="","",IF(ISNUMBER(DB_Colleges!AH82),DB_Colleges!AH82,"Check"))</f>
        <v>Check</v>
      </c>
      <c r="P88" s="26" t="str">
        <f aca="false">IF(B88="","",DB_Colleges!W82&amp;"")</f>
        <v>Not required</v>
      </c>
      <c r="Q88" s="30" t="str">
        <f aca="false">IF(OR(B88="",NOT(ISNUMBER(DB_Colleges!AF82))),"",DB_Colleges!AF82)</f>
        <v/>
      </c>
      <c r="R88" s="28" t="str">
        <f aca="false">IF(OR(B88="",NOT(ISNUMBER(DB_Colleges!AG82))),"",DB_Colleges!AG82)</f>
        <v/>
      </c>
      <c r="S88" s="26" t="str">
        <f aca="false">IF(B88="","",DB_Colleges!AK82&amp;"")</f>
        <v>Mixed</v>
      </c>
      <c r="T88" s="26" t="str">
        <f aca="false">IF(B88="","",DB_Colleges!AI82&amp;"")</f>
        <v>https://scsu.edu/admissions/admissions_policies.php</v>
      </c>
      <c r="U88" s="1" t="n">
        <f aca="false">IF(AND(ISNUMBER($X$4),ISNUMBER(DB_Colleges!Z82),ISNUMBER(DB_Colleges!AA82)),IF($X$4&gt;=DB_Colleges!AA82,1,IF($X$4&lt;DB_Colleges!Z82,-1,0)),"")</f>
        <v>0</v>
      </c>
      <c r="V88" s="1" t="str">
        <f aca="false">IF(AND(ISNUMBER($Y$4),ISNUMBER(DB_Colleges!AD82)),IF($Y$4&gt;=DB_Colleges!AD82+0.15,1,IF($Y$4&lt;DB_Colleges!AD82-0.2,-1,0)),"")</f>
        <v/>
      </c>
      <c r="W88" s="1" t="n">
        <f aca="false">IF(COUNT(U88:V88)=0,0,MIN(U88:V88))</f>
        <v>0</v>
      </c>
    </row>
    <row r="89" customFormat="false" ht="15" hidden="false" customHeight="true" outlineLevel="0" collapsed="false">
      <c r="A89" s="26" t="str">
        <f aca="false">IF(B89="","",IF(COUNTIF('My Colleges'!$B$8:$B$27,B89)&gt;0,"On list",""))</f>
        <v/>
      </c>
      <c r="B89" s="27" t="str">
        <f aca="false">IF(DB_Colleges!A83="","",DB_Colleges!A83)</f>
        <v>Benedict College</v>
      </c>
      <c r="C89" s="26" t="str">
        <f aca="false">IF(B89="","",DB_Colleges!B83)</f>
        <v>HBCU</v>
      </c>
      <c r="D89" s="26" t="str">
        <f aca="false">IF(B89="","",DB_Colleges!C83&amp;", "&amp;DB_Colleges!D83)</f>
        <v>Columbia, SC</v>
      </c>
      <c r="E89" s="26" t="str">
        <f aca="false">IF(B89="","",IF(AND(NOT(ISNUMBER($X$4)),NOT(ISNUMBER($Y$4))),"Add scores",IF(NOT(ISNUMBER(DB_Colleges!Y83)),IF(OR(C89="Ivy League",C89="Highly Selective"),"Reach",IF(COUNT(U89:V89)=0,"No data",CHOOSE(W89+2,"Reach","Target","Likely"))),IF(DB_Colleges!Y83&lt;0.15,"Reach",IF(DB_Colleges!Y83&gt;=0.75,IF(W89&gt;=0,"Likely","Target"),IF(DB_Colleges!Y83&gt;=0.4,CHOOSE(W89+2,"Reach","Target","Likely"),IF(W89=1,"Target","Reach")))))))</f>
        <v>Likely</v>
      </c>
      <c r="F89" s="28" t="n">
        <f aca="false">IF(OR(B89="",NOT(ISNUMBER(DB_Colleges!Y83))),"",DB_Colleges!Y83)</f>
        <v>0.96</v>
      </c>
      <c r="G89" s="26" t="str">
        <f aca="false">IF(OR(B89="",NOT(ISNUMBER(DB_Colleges!Z83))),"",DB_Colleges!Z83&amp;"-"&amp;DB_Colleges!AA83)</f>
        <v>820-1010</v>
      </c>
      <c r="H89" s="26" t="str">
        <f aca="false">IF(OR(B89="",NOT(ISNUMBER(DB_Colleges!AD83))),"",DB_Colleges!AD83)</f>
        <v/>
      </c>
      <c r="I89" s="29" t="str">
        <f aca="false">IF(B89="","",IF(COUNT(DB_Colleges!I83:O83)=0,IF(DB_Colleges!P83="Yes","Rolling","Check site"),MIN(DB_Colleges!I83:O83)))</f>
        <v>Rolling</v>
      </c>
      <c r="J89" s="26" t="str">
        <f aca="false">IF(OR(B89="",COUNT(DB_Colleges!I83:O83)=0),"",INDEX({"ED","ED II","EA","EA II","REA","RD","Priority"},MATCH(MIN(DB_Colleges!I83:O83),DB_Colleges!I83:O83,0)))</f>
        <v/>
      </c>
      <c r="K89" s="29" t="str">
        <f aca="false">IF(OR(B89="",NOT(ISNUMBER(DB_Colleges!N83))),"",DB_Colleges!N83)</f>
        <v/>
      </c>
      <c r="L89" s="26" t="str">
        <f aca="false">IF(B89="","",DB_Colleges!G83&amp;"")</f>
        <v>School portal</v>
      </c>
      <c r="M89" s="30" t="n">
        <f aca="false">IF(OR(B89="",NOT(ISNUMBER(DB_Colleges!S83))),"",DB_Colleges!S83)</f>
        <v>25</v>
      </c>
      <c r="N89" s="26" t="str">
        <f aca="false">IF(B89="","",DB_Colleges!U83&amp;"")</f>
        <v>Optional</v>
      </c>
      <c r="O89" s="26" t="str">
        <f aca="false">IF(B89="","",IF(ISNUMBER(DB_Colleges!AH83),DB_Colleges!AH83,"Check"))</f>
        <v>Check</v>
      </c>
      <c r="P89" s="26" t="str">
        <f aca="false">IF(B89="","",DB_Colleges!W83&amp;"")</f>
        <v>Not required</v>
      </c>
      <c r="Q89" s="30" t="str">
        <f aca="false">IF(OR(B89="",NOT(ISNUMBER(DB_Colleges!AF83))),"",DB_Colleges!AF83)</f>
        <v/>
      </c>
      <c r="R89" s="28" t="str">
        <f aca="false">IF(OR(B89="",NOT(ISNUMBER(DB_Colleges!AG83))),"",DB_Colleges!AG83)</f>
        <v/>
      </c>
      <c r="S89" s="26" t="str">
        <f aca="false">IF(B89="","",DB_Colleges!AK83&amp;"")</f>
        <v>Mixed</v>
      </c>
      <c r="T89" s="26" t="str">
        <f aca="false">IF(B89="","",DB_Colleges!AI83&amp;"")</f>
        <v>https://benedict.edu/office-of-admissions-and-recruitment/</v>
      </c>
      <c r="U89" s="1" t="n">
        <f aca="false">IF(AND(ISNUMBER($X$4),ISNUMBER(DB_Colleges!Z83),ISNUMBER(DB_Colleges!AA83)),IF($X$4&gt;=DB_Colleges!AA83,1,IF($X$4&lt;DB_Colleges!Z83,-1,0)),"")</f>
        <v>0</v>
      </c>
      <c r="V89" s="1" t="str">
        <f aca="false">IF(AND(ISNUMBER($Y$4),ISNUMBER(DB_Colleges!AD83)),IF($Y$4&gt;=DB_Colleges!AD83+0.15,1,IF($Y$4&lt;DB_Colleges!AD83-0.2,-1,0)),"")</f>
        <v/>
      </c>
      <c r="W89" s="1" t="n">
        <f aca="false">IF(COUNT(U89:V89)=0,0,MIN(U89:V89))</f>
        <v>0</v>
      </c>
    </row>
    <row r="90" customFormat="false" ht="15" hidden="false" customHeight="true" outlineLevel="0" collapsed="false">
      <c r="A90" s="26" t="str">
        <f aca="false">IF(B90="","",IF(COUNTIF('My Colleges'!$B$8:$B$27,B90)&gt;0,"On list",""))</f>
        <v/>
      </c>
      <c r="B90" s="27" t="str">
        <f aca="false">IF(DB_Colleges!A84="","",DB_Colleges!A84)</f>
        <v>Allen University</v>
      </c>
      <c r="C90" s="26" t="str">
        <f aca="false">IF(B90="","",DB_Colleges!B84)</f>
        <v>HBCU</v>
      </c>
      <c r="D90" s="26" t="str">
        <f aca="false">IF(B90="","",DB_Colleges!C84&amp;", "&amp;DB_Colleges!D84)</f>
        <v>Columbia, SC</v>
      </c>
      <c r="E90" s="26" t="str">
        <f aca="false">IF(B90="","",IF(AND(NOT(ISNUMBER($X$4)),NOT(ISNUMBER($Y$4))),"Add scores",IF(NOT(ISNUMBER(DB_Colleges!Y84)),IF(OR(C90="Ivy League",C90="Highly Selective"),"Reach",IF(COUNT(U90:V90)=0,"No data",CHOOSE(W90+2,"Reach","Target","Likely"))),IF(DB_Colleges!Y84&lt;0.15,"Reach",IF(DB_Colleges!Y84&gt;=0.75,IF(W90&gt;=0,"Likely","Target"),IF(DB_Colleges!Y84&gt;=0.4,CHOOSE(W90+2,"Reach","Target","Likely"),IF(W90=1,"Target","Reach")))))))</f>
        <v>Target</v>
      </c>
      <c r="F90" s="28" t="n">
        <f aca="false">IF(OR(B90="",NOT(ISNUMBER(DB_Colleges!Y84))),"",DB_Colleges!Y84)</f>
        <v>0.73</v>
      </c>
      <c r="G90" s="26" t="str">
        <f aca="false">IF(OR(B90="",NOT(ISNUMBER(DB_Colleges!Z84))),"",DB_Colleges!Z84&amp;"-"&amp;DB_Colleges!AA84)</f>
        <v/>
      </c>
      <c r="H90" s="26" t="str">
        <f aca="false">IF(OR(B90="",NOT(ISNUMBER(DB_Colleges!AD84))),"",DB_Colleges!AD84)</f>
        <v/>
      </c>
      <c r="I90" s="29" t="str">
        <f aca="false">IF(B90="","",IF(COUNT(DB_Colleges!I84:O84)=0,IF(DB_Colleges!P84="Yes","Rolling","Check site"),MIN(DB_Colleges!I84:O84)))</f>
        <v>Rolling</v>
      </c>
      <c r="J90" s="26" t="str">
        <f aca="false">IF(OR(B90="",COUNT(DB_Colleges!I84:O84)=0),"",INDEX({"ED","ED II","EA","EA II","REA","RD","Priority"},MATCH(MIN(DB_Colleges!I84:O84),DB_Colleges!I84:O84,0)))</f>
        <v/>
      </c>
      <c r="K90" s="29" t="str">
        <f aca="false">IF(OR(B90="",NOT(ISNUMBER(DB_Colleges!N84))),"",DB_Colleges!N84)</f>
        <v/>
      </c>
      <c r="L90" s="26" t="str">
        <f aca="false">IF(B90="","",DB_Colleges!G84&amp;"")</f>
        <v>School portal</v>
      </c>
      <c r="M90" s="30" t="n">
        <f aca="false">IF(OR(B90="",NOT(ISNUMBER(DB_Colleges!S84))),"",DB_Colleges!S84)</f>
        <v>0</v>
      </c>
      <c r="N90" s="26" t="str">
        <f aca="false">IF(B90="","",DB_Colleges!U84&amp;"")</f>
        <v>Optional</v>
      </c>
      <c r="O90" s="26" t="str">
        <f aca="false">IF(B90="","",IF(ISNUMBER(DB_Colleges!AH84),DB_Colleges!AH84,"Check"))</f>
        <v>Check</v>
      </c>
      <c r="P90" s="26" t="str">
        <f aca="false">IF(B90="","",DB_Colleges!W84&amp;"")</f>
        <v>Not required</v>
      </c>
      <c r="Q90" s="30" t="str">
        <f aca="false">IF(OR(B90="",NOT(ISNUMBER(DB_Colleges!AF84))),"",DB_Colleges!AF84)</f>
        <v/>
      </c>
      <c r="R90" s="28" t="str">
        <f aca="false">IF(OR(B90="",NOT(ISNUMBER(DB_Colleges!AG84))),"",DB_Colleges!AG84)</f>
        <v/>
      </c>
      <c r="S90" s="26" t="str">
        <f aca="false">IF(B90="","",DB_Colleges!AK84&amp;"")</f>
        <v>Aggregator only</v>
      </c>
      <c r="T90" s="26" t="str">
        <f aca="false">IF(B90="","",DB_Colleges!AI84&amp;"")</f>
        <v>https://futureyellowjacket.allenuniversity.edu/default.asp</v>
      </c>
      <c r="U90" s="1" t="str">
        <f aca="false">IF(AND(ISNUMBER($X$4),ISNUMBER(DB_Colleges!Z84),ISNUMBER(DB_Colleges!AA84)),IF($X$4&gt;=DB_Colleges!AA84,1,IF($X$4&lt;DB_Colleges!Z84,-1,0)),"")</f>
        <v/>
      </c>
      <c r="V90" s="1" t="str">
        <f aca="false">IF(AND(ISNUMBER($Y$4),ISNUMBER(DB_Colleges!AD84)),IF($Y$4&gt;=DB_Colleges!AD84+0.15,1,IF($Y$4&lt;DB_Colleges!AD84-0.2,-1,0)),"")</f>
        <v/>
      </c>
      <c r="W90" s="1" t="n">
        <f aca="false">IF(COUNT(U90:V90)=0,0,MIN(U90:V90))</f>
        <v>0</v>
      </c>
    </row>
    <row r="91" customFormat="false" ht="15" hidden="false" customHeight="true" outlineLevel="0" collapsed="false">
      <c r="A91" s="26" t="str">
        <f aca="false">IF(B91="","",IF(COUNTIF('My Colleges'!$B$8:$B$27,B91)&gt;0,"On list",""))</f>
        <v/>
      </c>
      <c r="B91" s="27" t="str">
        <f aca="false">IF(DB_Colleges!A85="","",DB_Colleges!A85)</f>
        <v>Bethune-Cookman University</v>
      </c>
      <c r="C91" s="26" t="str">
        <f aca="false">IF(B91="","",DB_Colleges!B85)</f>
        <v>HBCU</v>
      </c>
      <c r="D91" s="26" t="str">
        <f aca="false">IF(B91="","",DB_Colleges!C85&amp;", "&amp;DB_Colleges!D85)</f>
        <v>Daytona Beach, FL</v>
      </c>
      <c r="E91" s="26" t="str">
        <f aca="false">IF(B91="","",IF(AND(NOT(ISNUMBER($X$4)),NOT(ISNUMBER($Y$4))),"Add scores",IF(NOT(ISNUMBER(DB_Colleges!Y85)),IF(OR(C91="Ivy League",C91="Highly Selective"),"Reach",IF(COUNT(U91:V91)=0,"No data",CHOOSE(W91+2,"Reach","Target","Likely"))),IF(DB_Colleges!Y85&lt;0.15,"Reach",IF(DB_Colleges!Y85&gt;=0.75,IF(W91&gt;=0,"Likely","Target"),IF(DB_Colleges!Y85&gt;=0.4,CHOOSE(W91+2,"Reach","Target","Likely"),IF(W91=1,"Target","Reach")))))))</f>
        <v>Likely</v>
      </c>
      <c r="F91" s="28" t="n">
        <f aca="false">IF(OR(B91="",NOT(ISNUMBER(DB_Colleges!Y85))),"",DB_Colleges!Y85)</f>
        <v>0.88</v>
      </c>
      <c r="G91" s="26" t="str">
        <f aca="false">IF(OR(B91="",NOT(ISNUMBER(DB_Colleges!Z85))),"",DB_Colleges!Z85&amp;"-"&amp;DB_Colleges!AA85)</f>
        <v>830-990</v>
      </c>
      <c r="H91" s="26" t="str">
        <f aca="false">IF(OR(B91="",NOT(ISNUMBER(DB_Colleges!AD85))),"",DB_Colleges!AD85)</f>
        <v/>
      </c>
      <c r="I91" s="29" t="n">
        <f aca="false">IF(B91="","",IF(COUNT(DB_Colleges!I85:O85)=0,IF(DB_Colleges!P85="Yes","Rolling","Check site"),MIN(DB_Colleges!I85:O85)))</f>
        <v>46508</v>
      </c>
      <c r="J91" s="26" t="str">
        <f aca="false">IF(OR(B91="",COUNT(DB_Colleges!I85:O85)=0),"",INDEX({"ED","ED II","EA","EA II","REA","RD","Priority"},MATCH(MIN(DB_Colleges!I85:O85),DB_Colleges!I85:O85,0)))</f>
        <v>Priority</v>
      </c>
      <c r="K91" s="29" t="n">
        <f aca="false">IF(OR(B91="",NOT(ISNUMBER(DB_Colleges!N85))),"",DB_Colleges!N85)</f>
        <v>46600</v>
      </c>
      <c r="L91" s="26" t="str">
        <f aca="false">IF(B91="","",DB_Colleges!G85&amp;"")</f>
        <v>School portal</v>
      </c>
      <c r="M91" s="30" t="n">
        <f aca="false">IF(OR(B91="",NOT(ISNUMBER(DB_Colleges!S85))),"",DB_Colleges!S85)</f>
        <v>0</v>
      </c>
      <c r="N91" s="26" t="str">
        <f aca="false">IF(B91="","",DB_Colleges!U85&amp;"")</f>
        <v>Optional</v>
      </c>
      <c r="O91" s="26" t="n">
        <f aca="false">IF(B91="","",IF(ISNUMBER(DB_Colleges!AH85),DB_Colleges!AH85,"Check"))</f>
        <v>0</v>
      </c>
      <c r="P91" s="26" t="str">
        <f aca="false">IF(B91="","",DB_Colleges!W85&amp;"")</f>
        <v>Not required</v>
      </c>
      <c r="Q91" s="30" t="str">
        <f aca="false">IF(OR(B91="",NOT(ISNUMBER(DB_Colleges!AF85))),"",DB_Colleges!AF85)</f>
        <v/>
      </c>
      <c r="R91" s="28" t="str">
        <f aca="false">IF(OR(B91="",NOT(ISNUMBER(DB_Colleges!AG85))),"",DB_Colleges!AG85)</f>
        <v/>
      </c>
      <c r="S91" s="26" t="str">
        <f aca="false">IF(B91="","",DB_Colleges!AK85&amp;"")</f>
        <v>Official 2026-27</v>
      </c>
      <c r="T91" s="26" t="str">
        <f aca="false">IF(B91="","",DB_Colleges!AI85&amp;"")</f>
        <v>https://www.cookman.edu/admissionsaid/admissions/deadlines/admissions-dates-and-deadlines.html</v>
      </c>
      <c r="U91" s="1" t="n">
        <f aca="false">IF(AND(ISNUMBER($X$4),ISNUMBER(DB_Colleges!Z85),ISNUMBER(DB_Colleges!AA85)),IF($X$4&gt;=DB_Colleges!AA85,1,IF($X$4&lt;DB_Colleges!Z85,-1,0)),"")</f>
        <v>0</v>
      </c>
      <c r="V91" s="1" t="str">
        <f aca="false">IF(AND(ISNUMBER($Y$4),ISNUMBER(DB_Colleges!AD85)),IF($Y$4&gt;=DB_Colleges!AD85+0.15,1,IF($Y$4&lt;DB_Colleges!AD85-0.2,-1,0)),"")</f>
        <v/>
      </c>
      <c r="W91" s="1" t="n">
        <f aca="false">IF(COUNT(U91:V91)=0,0,MIN(U91:V91))</f>
        <v>0</v>
      </c>
    </row>
    <row r="92" customFormat="false" ht="15" hidden="false" customHeight="true" outlineLevel="0" collapsed="false">
      <c r="A92" s="26" t="str">
        <f aca="false">IF(B92="","",IF(COUNTIF('My Colleges'!$B$8:$B$27,B92)&gt;0,"On list",""))</f>
        <v/>
      </c>
      <c r="B92" s="27" t="str">
        <f aca="false">IF(DB_Colleges!A86="","",DB_Colleges!A86)</f>
        <v>Edward Waters University</v>
      </c>
      <c r="C92" s="26" t="str">
        <f aca="false">IF(B92="","",DB_Colleges!B86)</f>
        <v>HBCU</v>
      </c>
      <c r="D92" s="26" t="str">
        <f aca="false">IF(B92="","",DB_Colleges!C86&amp;", "&amp;DB_Colleges!D86)</f>
        <v>Jacksonville, FL</v>
      </c>
      <c r="E92" s="26" t="str">
        <f aca="false">IF(B92="","",IF(AND(NOT(ISNUMBER($X$4)),NOT(ISNUMBER($Y$4))),"Add scores",IF(NOT(ISNUMBER(DB_Colleges!Y86)),IF(OR(C92="Ivy League",C92="Highly Selective"),"Reach",IF(COUNT(U92:V92)=0,"No data",CHOOSE(W92+2,"Reach","Target","Likely"))),IF(DB_Colleges!Y86&lt;0.15,"Reach",IF(DB_Colleges!Y86&gt;=0.75,IF(W92&gt;=0,"Likely","Target"),IF(DB_Colleges!Y86&gt;=0.4,CHOOSE(W92+2,"Reach","Target","Likely"),IF(W92=1,"Target","Reach")))))))</f>
        <v>Likely</v>
      </c>
      <c r="F92" s="28" t="n">
        <f aca="false">IF(OR(B92="",NOT(ISNUMBER(DB_Colleges!Y86))),"",DB_Colleges!Y86)</f>
        <v>0.85</v>
      </c>
      <c r="G92" s="26" t="str">
        <f aca="false">IF(OR(B92="",NOT(ISNUMBER(DB_Colleges!Z86))),"",DB_Colleges!Z86&amp;"-"&amp;DB_Colleges!AA86)</f>
        <v>820-990</v>
      </c>
      <c r="H92" s="26" t="str">
        <f aca="false">IF(OR(B92="",NOT(ISNUMBER(DB_Colleges!AD86))),"",DB_Colleges!AD86)</f>
        <v/>
      </c>
      <c r="I92" s="29" t="n">
        <f aca="false">IF(B92="","",IF(COUNT(DB_Colleges!I86:O86)=0,IF(DB_Colleges!P86="Yes","Rolling","Check site"),MIN(DB_Colleges!I86:O86)))</f>
        <v>46508</v>
      </c>
      <c r="J92" s="26" t="str">
        <f aca="false">IF(OR(B92="",COUNT(DB_Colleges!I86:O86)=0),"",INDEX({"ED","ED II","EA","EA II","REA","RD","Priority"},MATCH(MIN(DB_Colleges!I86:O86),DB_Colleges!I86:O86,0)))</f>
        <v>RD</v>
      </c>
      <c r="K92" s="29" t="n">
        <f aca="false">IF(OR(B92="",NOT(ISNUMBER(DB_Colleges!N86))),"",DB_Colleges!N86)</f>
        <v>46508</v>
      </c>
      <c r="L92" s="26" t="str">
        <f aca="false">IF(B92="","",DB_Colleges!G86&amp;"")</f>
        <v>School portal</v>
      </c>
      <c r="M92" s="30" t="n">
        <f aca="false">IF(OR(B92="",NOT(ISNUMBER(DB_Colleges!S86))),"",DB_Colleges!S86)</f>
        <v>25</v>
      </c>
      <c r="N92" s="26" t="str">
        <f aca="false">IF(B92="","",DB_Colleges!U86&amp;"")</f>
        <v>Required</v>
      </c>
      <c r="O92" s="26" t="str">
        <f aca="false">IF(B92="","",IF(ISNUMBER(DB_Colleges!AH86),DB_Colleges!AH86,"Check"))</f>
        <v>Check</v>
      </c>
      <c r="P92" s="26" t="str">
        <f aca="false">IF(B92="","",DB_Colleges!W86&amp;"")</f>
        <v>Not required</v>
      </c>
      <c r="Q92" s="30" t="str">
        <f aca="false">IF(OR(B92="",NOT(ISNUMBER(DB_Colleges!AF86))),"",DB_Colleges!AF86)</f>
        <v/>
      </c>
      <c r="R92" s="28" t="str">
        <f aca="false">IF(OR(B92="",NOT(ISNUMBER(DB_Colleges!AG86))),"",DB_Colleges!AG86)</f>
        <v/>
      </c>
      <c r="S92" s="26" t="str">
        <f aca="false">IF(B92="","",DB_Colleges!AK86&amp;"")</f>
        <v>Mixed</v>
      </c>
      <c r="T92" s="26" t="str">
        <f aca="false">IF(B92="","",DB_Colleges!AI86&amp;"")</f>
        <v>https://www.ewc.edu/admissions/</v>
      </c>
      <c r="U92" s="1" t="n">
        <f aca="false">IF(AND(ISNUMBER($X$4),ISNUMBER(DB_Colleges!Z86),ISNUMBER(DB_Colleges!AA86)),IF($X$4&gt;=DB_Colleges!AA86,1,IF($X$4&lt;DB_Colleges!Z86,-1,0)),"")</f>
        <v>0</v>
      </c>
      <c r="V92" s="1" t="str">
        <f aca="false">IF(AND(ISNUMBER($Y$4),ISNUMBER(DB_Colleges!AD86)),IF($Y$4&gt;=DB_Colleges!AD86+0.15,1,IF($Y$4&lt;DB_Colleges!AD86-0.2,-1,0)),"")</f>
        <v/>
      </c>
      <c r="W92" s="1" t="n">
        <f aca="false">IF(COUNT(U92:V92)=0,0,MIN(U92:V92))</f>
        <v>0</v>
      </c>
    </row>
    <row r="93" customFormat="false" ht="15" hidden="false" customHeight="true" outlineLevel="0" collapsed="false">
      <c r="A93" s="26" t="str">
        <f aca="false">IF(B93="","",IF(COUNTIF('My Colleges'!$B$8:$B$27,B93)&gt;0,"On list",""))</f>
        <v/>
      </c>
      <c r="B93" s="27" t="str">
        <f aca="false">IF(DB_Colleges!A87="","",DB_Colleges!A87)</f>
        <v>Florida Memorial University</v>
      </c>
      <c r="C93" s="26" t="str">
        <f aca="false">IF(B93="","",DB_Colleges!B87)</f>
        <v>HBCU</v>
      </c>
      <c r="D93" s="26" t="str">
        <f aca="false">IF(B93="","",DB_Colleges!C87&amp;", "&amp;DB_Colleges!D87)</f>
        <v>Miami Gardens, FL</v>
      </c>
      <c r="E93" s="26" t="str">
        <f aca="false">IF(B93="","",IF(AND(NOT(ISNUMBER($X$4)),NOT(ISNUMBER($Y$4))),"Add scores",IF(NOT(ISNUMBER(DB_Colleges!Y87)),IF(OR(C93="Ivy League",C93="Highly Selective"),"Reach",IF(COUNT(U93:V93)=0,"No data",CHOOSE(W93+2,"Reach","Target","Likely"))),IF(DB_Colleges!Y87&lt;0.15,"Reach",IF(DB_Colleges!Y87&gt;=0.75,IF(W93&gt;=0,"Likely","Target"),IF(DB_Colleges!Y87&gt;=0.4,CHOOSE(W93+2,"Reach","Target","Likely"),IF(W93=1,"Target","Reach")))))))</f>
        <v>Likely</v>
      </c>
      <c r="F93" s="28" t="n">
        <f aca="false">IF(OR(B93="",NOT(ISNUMBER(DB_Colleges!Y87))),"",DB_Colleges!Y87)</f>
        <v>0.85</v>
      </c>
      <c r="G93" s="26" t="str">
        <f aca="false">IF(OR(B93="",NOT(ISNUMBER(DB_Colleges!Z87))),"",DB_Colleges!Z87&amp;"-"&amp;DB_Colleges!AA87)</f>
        <v/>
      </c>
      <c r="H93" s="26" t="str">
        <f aca="false">IF(OR(B93="",NOT(ISNUMBER(DB_Colleges!AD87))),"",DB_Colleges!AD87)</f>
        <v/>
      </c>
      <c r="I93" s="29" t="str">
        <f aca="false">IF(B93="","",IF(COUNT(DB_Colleges!I87:O87)=0,IF(DB_Colleges!P87="Yes","Rolling","Check site"),MIN(DB_Colleges!I87:O87)))</f>
        <v>Rolling</v>
      </c>
      <c r="J93" s="26" t="str">
        <f aca="false">IF(OR(B93="",COUNT(DB_Colleges!I87:O87)=0),"",INDEX({"ED","ED II","EA","EA II","REA","RD","Priority"},MATCH(MIN(DB_Colleges!I87:O87),DB_Colleges!I87:O87,0)))</f>
        <v/>
      </c>
      <c r="K93" s="29" t="str">
        <f aca="false">IF(OR(B93="",NOT(ISNUMBER(DB_Colleges!N87))),"",DB_Colleges!N87)</f>
        <v/>
      </c>
      <c r="L93" s="26" t="str">
        <f aca="false">IF(B93="","",DB_Colleges!G87&amp;"")</f>
        <v>Common App; Common Black College App; School portal</v>
      </c>
      <c r="M93" s="30" t="n">
        <f aca="false">IF(OR(B93="",NOT(ISNUMBER(DB_Colleges!S87))),"",DB_Colleges!S87)</f>
        <v>0</v>
      </c>
      <c r="N93" s="26" t="str">
        <f aca="false">IF(B93="","",DB_Colleges!U87&amp;"")</f>
        <v>Flexible</v>
      </c>
      <c r="O93" s="26" t="str">
        <f aca="false">IF(B93="","",IF(ISNUMBER(DB_Colleges!AH87),DB_Colleges!AH87,"Check"))</f>
        <v>Check</v>
      </c>
      <c r="P93" s="26" t="str">
        <f aca="false">IF(B93="","",DB_Colleges!W87&amp;"")</f>
        <v>Not required</v>
      </c>
      <c r="Q93" s="30" t="str">
        <f aca="false">IF(OR(B93="",NOT(ISNUMBER(DB_Colleges!AF87))),"",DB_Colleges!AF87)</f>
        <v/>
      </c>
      <c r="R93" s="28" t="str">
        <f aca="false">IF(OR(B93="",NOT(ISNUMBER(DB_Colleges!AG87))),"",DB_Colleges!AG87)</f>
        <v/>
      </c>
      <c r="S93" s="26" t="str">
        <f aca="false">IF(B93="","",DB_Colleges!AK87&amp;"")</f>
        <v>Mixed</v>
      </c>
      <c r="T93" s="26" t="str">
        <f aca="false">IF(B93="","",DB_Colleges!AI87&amp;"")</f>
        <v>https://www.fmuniv.edu/admissions/first-time-freshman-students</v>
      </c>
      <c r="U93" s="1" t="str">
        <f aca="false">IF(AND(ISNUMBER($X$4),ISNUMBER(DB_Colleges!Z87),ISNUMBER(DB_Colleges!AA87)),IF($X$4&gt;=DB_Colleges!AA87,1,IF($X$4&lt;DB_Colleges!Z87,-1,0)),"")</f>
        <v/>
      </c>
      <c r="V93" s="1" t="str">
        <f aca="false">IF(AND(ISNUMBER($Y$4),ISNUMBER(DB_Colleges!AD87)),IF($Y$4&gt;=DB_Colleges!AD87+0.15,1,IF($Y$4&lt;DB_Colleges!AD87-0.2,-1,0)),"")</f>
        <v/>
      </c>
      <c r="W93" s="1" t="n">
        <f aca="false">IF(COUNT(U93:V93)=0,0,MIN(U93:V93))</f>
        <v>0</v>
      </c>
    </row>
    <row r="94" customFormat="false" ht="15" hidden="false" customHeight="true" outlineLevel="0" collapsed="false">
      <c r="A94" s="26" t="str">
        <f aca="false">IF(B94="","",IF(COUNTIF('My Colleges'!$B$8:$B$27,B94)&gt;0,"On list",""))</f>
        <v/>
      </c>
      <c r="B94" s="27" t="str">
        <f aca="false">IF(DB_Colleges!A88="","",DB_Colleges!A88)</f>
        <v>Dillard University</v>
      </c>
      <c r="C94" s="26" t="str">
        <f aca="false">IF(B94="","",DB_Colleges!B88)</f>
        <v>HBCU</v>
      </c>
      <c r="D94" s="26" t="str">
        <f aca="false">IF(B94="","",DB_Colleges!C88&amp;", "&amp;DB_Colleges!D88)</f>
        <v>New Orleans, LA</v>
      </c>
      <c r="E94" s="26" t="str">
        <f aca="false">IF(B94="","",IF(AND(NOT(ISNUMBER($X$4)),NOT(ISNUMBER($Y$4))),"Add scores",IF(NOT(ISNUMBER(DB_Colleges!Y88)),IF(OR(C94="Ivy League",C94="Highly Selective"),"Reach",IF(COUNT(U94:V94)=0,"No data",CHOOSE(W94+2,"Reach","Target","Likely"))),IF(DB_Colleges!Y88&lt;0.15,"Reach",IF(DB_Colleges!Y88&gt;=0.75,IF(W94&gt;=0,"Likely","Target"),IF(DB_Colleges!Y88&gt;=0.4,CHOOSE(W94+2,"Reach","Target","Likely"),IF(W94=1,"Target","Reach")))))))</f>
        <v>Reach</v>
      </c>
      <c r="F94" s="28" t="n">
        <f aca="false">IF(OR(B94="",NOT(ISNUMBER(DB_Colleges!Y88))),"",DB_Colleges!Y88)</f>
        <v>0.74</v>
      </c>
      <c r="G94" s="26" t="str">
        <f aca="false">IF(OR(B94="",NOT(ISNUMBER(DB_Colleges!Z88))),"",DB_Colleges!Z88&amp;"-"&amp;DB_Colleges!AA88)</f>
        <v>970-1200</v>
      </c>
      <c r="H94" s="26" t="str">
        <f aca="false">IF(OR(B94="",NOT(ISNUMBER(DB_Colleges!AD88))),"",DB_Colleges!AD88)</f>
        <v/>
      </c>
      <c r="I94" s="29" t="str">
        <f aca="false">IF(B94="","",IF(COUNT(DB_Colleges!I88:O88)=0,IF(DB_Colleges!P88="Yes","Rolling","Check site"),MIN(DB_Colleges!I88:O88)))</f>
        <v>Rolling</v>
      </c>
      <c r="J94" s="26" t="str">
        <f aca="false">IF(OR(B94="",COUNT(DB_Colleges!I88:O88)=0),"",INDEX({"ED","ED II","EA","EA II","REA","RD","Priority"},MATCH(MIN(DB_Colleges!I88:O88),DB_Colleges!I88:O88,0)))</f>
        <v/>
      </c>
      <c r="K94" s="29" t="str">
        <f aca="false">IF(OR(B94="",NOT(ISNUMBER(DB_Colleges!N88))),"",DB_Colleges!N88)</f>
        <v/>
      </c>
      <c r="L94" s="26" t="str">
        <f aca="false">IF(B94="","",DB_Colleges!G88&amp;"")</f>
        <v>Common App; School portal</v>
      </c>
      <c r="M94" s="30" t="n">
        <f aca="false">IF(OR(B94="",NOT(ISNUMBER(DB_Colleges!S88))),"",DB_Colleges!S88)</f>
        <v>40</v>
      </c>
      <c r="N94" s="26" t="str">
        <f aca="false">IF(B94="","",DB_Colleges!U88&amp;"")</f>
        <v>Optional</v>
      </c>
      <c r="O94" s="26" t="str">
        <f aca="false">IF(B94="","",IF(ISNUMBER(DB_Colleges!AH88),DB_Colleges!AH88,"Check"))</f>
        <v>Check</v>
      </c>
      <c r="P94" s="26" t="str">
        <f aca="false">IF(B94="","",DB_Colleges!W88&amp;"")</f>
        <v>Not required</v>
      </c>
      <c r="Q94" s="30" t="str">
        <f aca="false">IF(OR(B94="",NOT(ISNUMBER(DB_Colleges!AF88))),"",DB_Colleges!AF88)</f>
        <v/>
      </c>
      <c r="R94" s="28" t="str">
        <f aca="false">IF(OR(B94="",NOT(ISNUMBER(DB_Colleges!AG88))),"",DB_Colleges!AG88)</f>
        <v/>
      </c>
      <c r="S94" s="26" t="str">
        <f aca="false">IF(B94="","",DB_Colleges!AK88&amp;"")</f>
        <v>Aggregator only</v>
      </c>
      <c r="T94" s="26" t="str">
        <f aca="false">IF(B94="","",DB_Colleges!AI88&amp;"")</f>
        <v>https://www.dillard.edu/admissions-aid/admission-requirements/</v>
      </c>
      <c r="U94" s="1" t="n">
        <f aca="false">IF(AND(ISNUMBER($X$4),ISNUMBER(DB_Colleges!Z88),ISNUMBER(DB_Colleges!AA88)),IF($X$4&gt;=DB_Colleges!AA88,1,IF($X$4&lt;DB_Colleges!Z88,-1,0)),"")</f>
        <v>-1</v>
      </c>
      <c r="V94" s="1" t="str">
        <f aca="false">IF(AND(ISNUMBER($Y$4),ISNUMBER(DB_Colleges!AD88)),IF($Y$4&gt;=DB_Colleges!AD88+0.15,1,IF($Y$4&lt;DB_Colleges!AD88-0.2,-1,0)),"")</f>
        <v/>
      </c>
      <c r="W94" s="1" t="n">
        <f aca="false">IF(COUNT(U94:V94)=0,0,MIN(U94:V94))</f>
        <v>-1</v>
      </c>
    </row>
    <row r="95" customFormat="false" ht="15" hidden="false" customHeight="true" outlineLevel="0" collapsed="false">
      <c r="A95" s="26" t="str">
        <f aca="false">IF(B95="","",IF(COUNTIF('My Colleges'!$B$8:$B$27,B95)&gt;0,"On list",""))</f>
        <v/>
      </c>
      <c r="B95" s="27" t="str">
        <f aca="false">IF(DB_Colleges!A89="","",DB_Colleges!A89)</f>
        <v>Lincoln University (PA)</v>
      </c>
      <c r="C95" s="26" t="str">
        <f aca="false">IF(B95="","",DB_Colleges!B89)</f>
        <v>HBCU</v>
      </c>
      <c r="D95" s="26" t="str">
        <f aca="false">IF(B95="","",DB_Colleges!C89&amp;", "&amp;DB_Colleges!D89)</f>
        <v>Lincoln University, PA</v>
      </c>
      <c r="E95" s="26" t="str">
        <f aca="false">IF(B95="","",IF(AND(NOT(ISNUMBER($X$4)),NOT(ISNUMBER($Y$4))),"Add scores",IF(NOT(ISNUMBER(DB_Colleges!Y89)),IF(OR(C95="Ivy League",C95="Highly Selective"),"Reach",IF(COUNT(U95:V95)=0,"No data",CHOOSE(W95+2,"Reach","Target","Likely"))),IF(DB_Colleges!Y89&lt;0.15,"Reach",IF(DB_Colleges!Y89&gt;=0.75,IF(W95&gt;=0,"Likely","Target"),IF(DB_Colleges!Y89&gt;=0.4,CHOOSE(W95+2,"Reach","Target","Likely"),IF(W95=1,"Target","Reach")))))))</f>
        <v>No data</v>
      </c>
      <c r="F95" s="28" t="str">
        <f aca="false">IF(OR(B95="",NOT(ISNUMBER(DB_Colleges!Y89))),"",DB_Colleges!Y89)</f>
        <v/>
      </c>
      <c r="G95" s="26" t="str">
        <f aca="false">IF(OR(B95="",NOT(ISNUMBER(DB_Colleges!Z89))),"",DB_Colleges!Z89&amp;"-"&amp;DB_Colleges!AA89)</f>
        <v/>
      </c>
      <c r="H95" s="26" t="str">
        <f aca="false">IF(OR(B95="",NOT(ISNUMBER(DB_Colleges!AD89))),"",DB_Colleges!AD89)</f>
        <v/>
      </c>
      <c r="I95" s="29" t="str">
        <f aca="false">IF(B95="","",IF(COUNT(DB_Colleges!I89:O89)=0,IF(DB_Colleges!P89="Yes","Rolling","Check site"),MIN(DB_Colleges!I89:O89)))</f>
        <v>Check site</v>
      </c>
      <c r="J95" s="26" t="str">
        <f aca="false">IF(OR(B95="",COUNT(DB_Colleges!I89:O89)=0),"",INDEX({"ED","ED II","EA","EA II","REA","RD","Priority"},MATCH(MIN(DB_Colleges!I89:O89),DB_Colleges!I89:O89,0)))</f>
        <v/>
      </c>
      <c r="K95" s="29" t="str">
        <f aca="false">IF(OR(B95="",NOT(ISNUMBER(DB_Colleges!N89))),"",DB_Colleges!N89)</f>
        <v/>
      </c>
      <c r="L95" s="26" t="str">
        <f aca="false">IF(B95="","",DB_Colleges!G89&amp;"")</f>
        <v>Common App; School portal</v>
      </c>
      <c r="M95" s="30" t="n">
        <f aca="false">IF(OR(B95="",NOT(ISNUMBER(DB_Colleges!S89))),"",DB_Colleges!S89)</f>
        <v>0</v>
      </c>
      <c r="N95" s="26" t="str">
        <f aca="false">IF(B95="","",DB_Colleges!U89&amp;"")</f>
        <v>Optional</v>
      </c>
      <c r="O95" s="26" t="str">
        <f aca="false">IF(B95="","",IF(ISNUMBER(DB_Colleges!AH89),DB_Colleges!AH89,"Check"))</f>
        <v>Check</v>
      </c>
      <c r="P95" s="26" t="str">
        <f aca="false">IF(B95="","",DB_Colleges!W89&amp;"")</f>
        <v>Not required</v>
      </c>
      <c r="Q95" s="30" t="str">
        <f aca="false">IF(OR(B95="",NOT(ISNUMBER(DB_Colleges!AF89))),"",DB_Colleges!AF89)</f>
        <v/>
      </c>
      <c r="R95" s="28" t="str">
        <f aca="false">IF(OR(B95="",NOT(ISNUMBER(DB_Colleges!AG89))),"",DB_Colleges!AG89)</f>
        <v/>
      </c>
      <c r="S95" s="26" t="str">
        <f aca="false">IF(B95="","",DB_Colleges!AK89&amp;"")</f>
        <v>Mixed</v>
      </c>
      <c r="T95" s="26" t="str">
        <f aca="false">IF(B95="","",DB_Colleges!AI89&amp;"")</f>
        <v>https://www.lincoln.edu/admissions</v>
      </c>
      <c r="U95" s="1" t="str">
        <f aca="false">IF(AND(ISNUMBER($X$4),ISNUMBER(DB_Colleges!Z89),ISNUMBER(DB_Colleges!AA89)),IF($X$4&gt;=DB_Colleges!AA89,1,IF($X$4&lt;DB_Colleges!Z89,-1,0)),"")</f>
        <v/>
      </c>
      <c r="V95" s="1" t="str">
        <f aca="false">IF(AND(ISNUMBER($Y$4),ISNUMBER(DB_Colleges!AD89)),IF($Y$4&gt;=DB_Colleges!AD89+0.15,1,IF($Y$4&lt;DB_Colleges!AD89-0.2,-1,0)),"")</f>
        <v/>
      </c>
      <c r="W95" s="1" t="n">
        <f aca="false">IF(COUNT(U95:V95)=0,0,MIN(U95:V95))</f>
        <v>0</v>
      </c>
    </row>
    <row r="96" customFormat="false" ht="15" hidden="false" customHeight="true" outlineLevel="0" collapsed="false">
      <c r="A96" s="26" t="str">
        <f aca="false">IF(B96="","",IF(COUNTIF('My Colleges'!$B$8:$B$27,B96)&gt;0,"On list",""))</f>
        <v/>
      </c>
      <c r="B96" s="27" t="str">
        <f aca="false">IF(DB_Colleges!A90="","",DB_Colleges!A90)</f>
        <v>Kentucky State University</v>
      </c>
      <c r="C96" s="26" t="str">
        <f aca="false">IF(B96="","",DB_Colleges!B90)</f>
        <v>HBCU</v>
      </c>
      <c r="D96" s="26" t="str">
        <f aca="false">IF(B96="","",DB_Colleges!C90&amp;", "&amp;DB_Colleges!D90)</f>
        <v>Frankfort, KY</v>
      </c>
      <c r="E96" s="26" t="str">
        <f aca="false">IF(B96="","",IF(AND(NOT(ISNUMBER($X$4)),NOT(ISNUMBER($Y$4))),"Add scores",IF(NOT(ISNUMBER(DB_Colleges!Y90)),IF(OR(C96="Ivy League",C96="Highly Selective"),"Reach",IF(COUNT(U96:V96)=0,"No data",CHOOSE(W96+2,"Reach","Target","Likely"))),IF(DB_Colleges!Y90&lt;0.15,"Reach",IF(DB_Colleges!Y90&gt;=0.75,IF(W96&gt;=0,"Likely","Target"),IF(DB_Colleges!Y90&gt;=0.4,CHOOSE(W96+2,"Reach","Target","Likely"),IF(W96=1,"Target","Reach")))))))</f>
        <v>Likely</v>
      </c>
      <c r="F96" s="28" t="n">
        <f aca="false">IF(OR(B96="",NOT(ISNUMBER(DB_Colleges!Y90))),"",DB_Colleges!Y90)</f>
        <v>0.96</v>
      </c>
      <c r="G96" s="26" t="str">
        <f aca="false">IF(OR(B96="",NOT(ISNUMBER(DB_Colleges!Z90))),"",DB_Colleges!Z90&amp;"-"&amp;DB_Colleges!AA90)</f>
        <v>820-1010</v>
      </c>
      <c r="H96" s="26" t="str">
        <f aca="false">IF(OR(B96="",NOT(ISNUMBER(DB_Colleges!AD90))),"",DB_Colleges!AD90)</f>
        <v/>
      </c>
      <c r="I96" s="29" t="str">
        <f aca="false">IF(B96="","",IF(COUNT(DB_Colleges!I90:O90)=0,IF(DB_Colleges!P90="Yes","Rolling","Check site"),MIN(DB_Colleges!I90:O90)))</f>
        <v>Rolling</v>
      </c>
      <c r="J96" s="26" t="str">
        <f aca="false">IF(OR(B96="",COUNT(DB_Colleges!I90:O90)=0),"",INDEX({"ED","ED II","EA","EA II","REA","RD","Priority"},MATCH(MIN(DB_Colleges!I90:O90),DB_Colleges!I90:O90,0)))</f>
        <v/>
      </c>
      <c r="K96" s="29" t="str">
        <f aca="false">IF(OR(B96="",NOT(ISNUMBER(DB_Colleges!N90))),"",DB_Colleges!N90)</f>
        <v/>
      </c>
      <c r="L96" s="26" t="str">
        <f aca="false">IF(B96="","",DB_Colleges!G90&amp;"")</f>
        <v>Common App; School portal</v>
      </c>
      <c r="M96" s="30" t="n">
        <f aca="false">IF(OR(B96="",NOT(ISNUMBER(DB_Colleges!S90))),"",DB_Colleges!S90)</f>
        <v>0</v>
      </c>
      <c r="N96" s="26" t="str">
        <f aca="false">IF(B96="","",DB_Colleges!U90&amp;"")</f>
        <v>Optional</v>
      </c>
      <c r="O96" s="26" t="str">
        <f aca="false">IF(B96="","",IF(ISNUMBER(DB_Colleges!AH90),DB_Colleges!AH90,"Check"))</f>
        <v>Check</v>
      </c>
      <c r="P96" s="26" t="str">
        <f aca="false">IF(B96="","",DB_Colleges!W90&amp;"")</f>
        <v>Not required</v>
      </c>
      <c r="Q96" s="30" t="str">
        <f aca="false">IF(OR(B96="",NOT(ISNUMBER(DB_Colleges!AF90))),"",DB_Colleges!AF90)</f>
        <v/>
      </c>
      <c r="R96" s="28" t="str">
        <f aca="false">IF(OR(B96="",NOT(ISNUMBER(DB_Colleges!AG90))),"",DB_Colleges!AG90)</f>
        <v/>
      </c>
      <c r="S96" s="26" t="str">
        <f aca="false">IF(B96="","",DB_Colleges!AK90&amp;"")</f>
        <v>Mixed</v>
      </c>
      <c r="T96" s="26" t="str">
        <f aca="false">IF(B96="","",DB_Colleges!AI90&amp;"")</f>
        <v>https://www.kysu.edu/admissions/</v>
      </c>
      <c r="U96" s="1" t="n">
        <f aca="false">IF(AND(ISNUMBER($X$4),ISNUMBER(DB_Colleges!Z90),ISNUMBER(DB_Colleges!AA90)),IF($X$4&gt;=DB_Colleges!AA90,1,IF($X$4&lt;DB_Colleges!Z90,-1,0)),"")</f>
        <v>0</v>
      </c>
      <c r="V96" s="1" t="str">
        <f aca="false">IF(AND(ISNUMBER($Y$4),ISNUMBER(DB_Colleges!AD90)),IF($Y$4&gt;=DB_Colleges!AD90+0.15,1,IF($Y$4&lt;DB_Colleges!AD90-0.2,-1,0)),"")</f>
        <v/>
      </c>
      <c r="W96" s="1" t="n">
        <f aca="false">IF(COUNT(U96:V96)=0,0,MIN(U96:V96))</f>
        <v>0</v>
      </c>
    </row>
    <row r="97" customFormat="false" ht="15" hidden="false" customHeight="true" outlineLevel="0" collapsed="false">
      <c r="A97" s="26" t="str">
        <f aca="false">IF(B97="","",IF(COUNTIF('My Colleges'!$B$8:$B$27,B97)&gt;0,"On list",""))</f>
        <v/>
      </c>
      <c r="B97" s="27" t="str">
        <f aca="false">IF(DB_Colleges!A91="","",DB_Colleges!A91)</f>
        <v>Alcorn State University</v>
      </c>
      <c r="C97" s="26" t="str">
        <f aca="false">IF(B97="","",DB_Colleges!B91)</f>
        <v>HBCU</v>
      </c>
      <c r="D97" s="26" t="str">
        <f aca="false">IF(B97="","",DB_Colleges!C91&amp;", "&amp;DB_Colleges!D91)</f>
        <v>Lorman, MS</v>
      </c>
      <c r="E97" s="26" t="str">
        <f aca="false">IF(B97="","",IF(AND(NOT(ISNUMBER($X$4)),NOT(ISNUMBER($Y$4))),"Add scores",IF(NOT(ISNUMBER(DB_Colleges!Y91)),IF(OR(C97="Ivy League",C97="Highly Selective"),"Reach",IF(COUNT(U97:V97)=0,"No data",CHOOSE(W97+2,"Reach","Target","Likely"))),IF(DB_Colleges!Y91&lt;0.15,"Reach",IF(DB_Colleges!Y91&gt;=0.75,IF(W97&gt;=0,"Likely","Target"),IF(DB_Colleges!Y91&gt;=0.4,CHOOSE(W97+2,"Reach","Target","Likely"),IF(W97=1,"Target","Reach")))))))</f>
        <v>Target</v>
      </c>
      <c r="F97" s="28" t="n">
        <f aca="false">IF(OR(B97="",NOT(ISNUMBER(DB_Colleges!Y91))),"",DB_Colleges!Y91)</f>
        <v>0.45</v>
      </c>
      <c r="G97" s="26" t="str">
        <f aca="false">IF(OR(B97="",NOT(ISNUMBER(DB_Colleges!Z91))),"",DB_Colleges!Z91&amp;"-"&amp;DB_Colleges!AA91)</f>
        <v>670-1000</v>
      </c>
      <c r="H97" s="26" t="str">
        <f aca="false">IF(OR(B97="",NOT(ISNUMBER(DB_Colleges!AD91))),"",DB_Colleges!AD91)</f>
        <v/>
      </c>
      <c r="I97" s="29" t="str">
        <f aca="false">IF(B97="","",IF(COUNT(DB_Colleges!I91:O91)=0,IF(DB_Colleges!P91="Yes","Rolling","Check site"),MIN(DB_Colleges!I91:O91)))</f>
        <v>Rolling</v>
      </c>
      <c r="J97" s="26" t="str">
        <f aca="false">IF(OR(B97="",COUNT(DB_Colleges!I91:O91)=0),"",INDEX({"ED","ED II","EA","EA II","REA","RD","Priority"},MATCH(MIN(DB_Colleges!I91:O91),DB_Colleges!I91:O91,0)))</f>
        <v/>
      </c>
      <c r="K97" s="29" t="str">
        <f aca="false">IF(OR(B97="",NOT(ISNUMBER(DB_Colleges!N91))),"",DB_Colleges!N91)</f>
        <v/>
      </c>
      <c r="L97" s="26" t="str">
        <f aca="false">IF(B97="","",DB_Colleges!G91&amp;"")</f>
        <v>School portal</v>
      </c>
      <c r="M97" s="30" t="n">
        <f aca="false">IF(OR(B97="",NOT(ISNUMBER(DB_Colleges!S91))),"",DB_Colleges!S91)</f>
        <v>30</v>
      </c>
      <c r="N97" s="26" t="str">
        <f aca="false">IF(B97="","",DB_Colleges!U91&amp;"")</f>
        <v>Required</v>
      </c>
      <c r="O97" s="26" t="str">
        <f aca="false">IF(B97="","",IF(ISNUMBER(DB_Colleges!AH91),DB_Colleges!AH91,"Check"))</f>
        <v>Check</v>
      </c>
      <c r="P97" s="26" t="str">
        <f aca="false">IF(B97="","",DB_Colleges!W91&amp;"")</f>
        <v>Not required</v>
      </c>
      <c r="Q97" s="30" t="str">
        <f aca="false">IF(OR(B97="",NOT(ISNUMBER(DB_Colleges!AF91))),"",DB_Colleges!AF91)</f>
        <v/>
      </c>
      <c r="R97" s="28" t="str">
        <f aca="false">IF(OR(B97="",NOT(ISNUMBER(DB_Colleges!AG91))),"",DB_Colleges!AG91)</f>
        <v/>
      </c>
      <c r="S97" s="26" t="str">
        <f aca="false">IF(B97="","",DB_Colleges!AK91&amp;"")</f>
        <v>Aggregator only</v>
      </c>
      <c r="T97" s="26" t="str">
        <f aca="false">IF(B97="","",DB_Colleges!AI91&amp;"")</f>
        <v>https://www.alcorn.edu/admissions</v>
      </c>
      <c r="U97" s="1" t="n">
        <f aca="false">IF(AND(ISNUMBER($X$4),ISNUMBER(DB_Colleges!Z91),ISNUMBER(DB_Colleges!AA91)),IF($X$4&gt;=DB_Colleges!AA91,1,IF($X$4&lt;DB_Colleges!Z91,-1,0)),"")</f>
        <v>0</v>
      </c>
      <c r="V97" s="1" t="str">
        <f aca="false">IF(AND(ISNUMBER($Y$4),ISNUMBER(DB_Colleges!AD91)),IF($Y$4&gt;=DB_Colleges!AD91+0.15,1,IF($Y$4&lt;DB_Colleges!AD91-0.2,-1,0)),"")</f>
        <v/>
      </c>
      <c r="W97" s="1" t="n">
        <f aca="false">IF(COUNT(U97:V97)=0,0,MIN(U97:V97))</f>
        <v>0</v>
      </c>
    </row>
    <row r="98" customFormat="false" ht="15" hidden="false" customHeight="true" outlineLevel="0" collapsed="false">
      <c r="A98" s="26" t="str">
        <f aca="false">IF(B98="","",IF(COUNTIF('My Colleges'!$B$8:$B$27,B98)&gt;0,"On list",""))</f>
        <v/>
      </c>
      <c r="B98" s="27" t="str">
        <f aca="false">IF(DB_Colleges!A92="","",DB_Colleges!A92)</f>
        <v>Mississippi Valley State University</v>
      </c>
      <c r="C98" s="26" t="str">
        <f aca="false">IF(B98="","",DB_Colleges!B92)</f>
        <v>HBCU</v>
      </c>
      <c r="D98" s="26" t="str">
        <f aca="false">IF(B98="","",DB_Colleges!C92&amp;", "&amp;DB_Colleges!D92)</f>
        <v>Itta Bena, MS</v>
      </c>
      <c r="E98" s="26" t="str">
        <f aca="false">IF(B98="","",IF(AND(NOT(ISNUMBER($X$4)),NOT(ISNUMBER($Y$4))),"Add scores",IF(NOT(ISNUMBER(DB_Colleges!Y92)),IF(OR(C98="Ivy League",C98="Highly Selective"),"Reach",IF(COUNT(U98:V98)=0,"No data",CHOOSE(W98+2,"Reach","Target","Likely"))),IF(DB_Colleges!Y92&lt;0.15,"Reach",IF(DB_Colleges!Y92&gt;=0.75,IF(W98&gt;=0,"Likely","Target"),IF(DB_Colleges!Y92&gt;=0.4,CHOOSE(W98+2,"Reach","Target","Likely"),IF(W98=1,"Target","Reach")))))))</f>
        <v>No data</v>
      </c>
      <c r="F98" s="28" t="str">
        <f aca="false">IF(OR(B98="",NOT(ISNUMBER(DB_Colleges!Y92))),"",DB_Colleges!Y92)</f>
        <v/>
      </c>
      <c r="G98" s="26" t="str">
        <f aca="false">IF(OR(B98="",NOT(ISNUMBER(DB_Colleges!Z92))),"",DB_Colleges!Z92&amp;"-"&amp;DB_Colleges!AA92)</f>
        <v/>
      </c>
      <c r="H98" s="26" t="str">
        <f aca="false">IF(OR(B98="",NOT(ISNUMBER(DB_Colleges!AD92))),"",DB_Colleges!AD92)</f>
        <v/>
      </c>
      <c r="I98" s="29" t="str">
        <f aca="false">IF(B98="","",IF(COUNT(DB_Colleges!I92:O92)=0,IF(DB_Colleges!P92="Yes","Rolling","Check site"),MIN(DB_Colleges!I92:O92)))</f>
        <v>Check site</v>
      </c>
      <c r="J98" s="26" t="str">
        <f aca="false">IF(OR(B98="",COUNT(DB_Colleges!I92:O92)=0),"",INDEX({"ED","ED II","EA","EA II","REA","RD","Priority"},MATCH(MIN(DB_Colleges!I92:O92),DB_Colleges!I92:O92,0)))</f>
        <v/>
      </c>
      <c r="K98" s="29" t="str">
        <f aca="false">IF(OR(B98="",NOT(ISNUMBER(DB_Colleges!N92))),"",DB_Colleges!N92)</f>
        <v/>
      </c>
      <c r="L98" s="26" t="str">
        <f aca="false">IF(B98="","",DB_Colleges!G92&amp;"")</f>
        <v>School portal</v>
      </c>
      <c r="M98" s="30" t="str">
        <f aca="false">IF(OR(B98="",NOT(ISNUMBER(DB_Colleges!S92))),"",DB_Colleges!S92)</f>
        <v/>
      </c>
      <c r="N98" s="26" t="str">
        <f aca="false">IF(B98="","",DB_Colleges!U92&amp;"")</f>
        <v/>
      </c>
      <c r="O98" s="26" t="str">
        <f aca="false">IF(B98="","",IF(ISNUMBER(DB_Colleges!AH92),DB_Colleges!AH92,"Check"))</f>
        <v>Check</v>
      </c>
      <c r="P98" s="26" t="str">
        <f aca="false">IF(B98="","",DB_Colleges!W92&amp;"")</f>
        <v/>
      </c>
      <c r="Q98" s="30" t="str">
        <f aca="false">IF(OR(B98="",NOT(ISNUMBER(DB_Colleges!AF92))),"",DB_Colleges!AF92)</f>
        <v/>
      </c>
      <c r="R98" s="28" t="str">
        <f aca="false">IF(OR(B98="",NOT(ISNUMBER(DB_Colleges!AG92))),"",DB_Colleges!AG92)</f>
        <v/>
      </c>
      <c r="S98" s="26" t="str">
        <f aca="false">IF(B98="","",DB_Colleges!AK92&amp;"")</f>
        <v>Aggregator only</v>
      </c>
      <c r="T98" s="26" t="str">
        <f aca="false">IF(B98="","",DB_Colleges!AI92&amp;"")</f>
        <v>https://www.mvsu.edu/admissions</v>
      </c>
      <c r="U98" s="1" t="str">
        <f aca="false">IF(AND(ISNUMBER($X$4),ISNUMBER(DB_Colleges!Z92),ISNUMBER(DB_Colleges!AA92)),IF($X$4&gt;=DB_Colleges!AA92,1,IF($X$4&lt;DB_Colleges!Z92,-1,0)),"")</f>
        <v/>
      </c>
      <c r="V98" s="1" t="str">
        <f aca="false">IF(AND(ISNUMBER($Y$4),ISNUMBER(DB_Colleges!AD92)),IF($Y$4&gt;=DB_Colleges!AD92+0.15,1,IF($Y$4&lt;DB_Colleges!AD92-0.2,-1,0)),"")</f>
        <v/>
      </c>
      <c r="W98" s="1" t="n">
        <f aca="false">IF(COUNT(U98:V98)=0,0,MIN(U98:V98))</f>
        <v>0</v>
      </c>
    </row>
    <row r="99" customFormat="false" ht="15" hidden="false" customHeight="true" outlineLevel="0" collapsed="false">
      <c r="A99" s="26" t="str">
        <f aca="false">IF(B99="","",IF(COUNTIF('My Colleges'!$B$8:$B$27,B99)&gt;0,"On list",""))</f>
        <v/>
      </c>
      <c r="B99" s="27" t="str">
        <f aca="false">IF(DB_Colleges!A93="","",DB_Colleges!A93)</f>
        <v>Tougaloo College</v>
      </c>
      <c r="C99" s="26" t="str">
        <f aca="false">IF(B99="","",DB_Colleges!B93)</f>
        <v>HBCU</v>
      </c>
      <c r="D99" s="26" t="str">
        <f aca="false">IF(B99="","",DB_Colleges!C93&amp;", "&amp;DB_Colleges!D93)</f>
        <v>Tougaloo, MS</v>
      </c>
      <c r="E99" s="26" t="str">
        <f aca="false">IF(B99="","",IF(AND(NOT(ISNUMBER($X$4)),NOT(ISNUMBER($Y$4))),"Add scores",IF(NOT(ISNUMBER(DB_Colleges!Y93)),IF(OR(C99="Ivy League",C99="Highly Selective"),"Reach",IF(COUNT(U99:V99)=0,"No data",CHOOSE(W99+2,"Reach","Target","Likely"))),IF(DB_Colleges!Y93&lt;0.15,"Reach",IF(DB_Colleges!Y93&gt;=0.75,IF(W99&gt;=0,"Likely","Target"),IF(DB_Colleges!Y93&gt;=0.4,CHOOSE(W99+2,"Reach","Target","Likely"),IF(W99=1,"Target","Reach")))))))</f>
        <v>No data</v>
      </c>
      <c r="F99" s="28" t="str">
        <f aca="false">IF(OR(B99="",NOT(ISNUMBER(DB_Colleges!Y93))),"",DB_Colleges!Y93)</f>
        <v/>
      </c>
      <c r="G99" s="26" t="str">
        <f aca="false">IF(OR(B99="",NOT(ISNUMBER(DB_Colleges!Z93))),"",DB_Colleges!Z93&amp;"-"&amp;DB_Colleges!AA93)</f>
        <v/>
      </c>
      <c r="H99" s="26" t="str">
        <f aca="false">IF(OR(B99="",NOT(ISNUMBER(DB_Colleges!AD93))),"",DB_Colleges!AD93)</f>
        <v/>
      </c>
      <c r="I99" s="29" t="str">
        <f aca="false">IF(B99="","",IF(COUNT(DB_Colleges!I93:O93)=0,IF(DB_Colleges!P93="Yes","Rolling","Check site"),MIN(DB_Colleges!I93:O93)))</f>
        <v>Check site</v>
      </c>
      <c r="J99" s="26" t="str">
        <f aca="false">IF(OR(B99="",COUNT(DB_Colleges!I93:O93)=0),"",INDEX({"ED","ED II","EA","EA II","REA","RD","Priority"},MATCH(MIN(DB_Colleges!I93:O93),DB_Colleges!I93:O93,0)))</f>
        <v/>
      </c>
      <c r="K99" s="29" t="str">
        <f aca="false">IF(OR(B99="",NOT(ISNUMBER(DB_Colleges!N93))),"",DB_Colleges!N93)</f>
        <v/>
      </c>
      <c r="L99" s="26" t="str">
        <f aca="false">IF(B99="","",DB_Colleges!G93&amp;"")</f>
        <v>School portal</v>
      </c>
      <c r="M99" s="30" t="n">
        <f aca="false">IF(OR(B99="",NOT(ISNUMBER(DB_Colleges!S93))),"",DB_Colleges!S93)</f>
        <v>25</v>
      </c>
      <c r="N99" s="26" t="str">
        <f aca="false">IF(B99="","",DB_Colleges!U93&amp;"")</f>
        <v>Required</v>
      </c>
      <c r="O99" s="26" t="str">
        <f aca="false">IF(B99="","",IF(ISNUMBER(DB_Colleges!AH93),DB_Colleges!AH93,"Check"))</f>
        <v>Check</v>
      </c>
      <c r="P99" s="26" t="str">
        <f aca="false">IF(B99="","",DB_Colleges!W93&amp;"")</f>
        <v/>
      </c>
      <c r="Q99" s="30" t="str">
        <f aca="false">IF(OR(B99="",NOT(ISNUMBER(DB_Colleges!AF93))),"",DB_Colleges!AF93)</f>
        <v/>
      </c>
      <c r="R99" s="28" t="str">
        <f aca="false">IF(OR(B99="",NOT(ISNUMBER(DB_Colleges!AG93))),"",DB_Colleges!AG93)</f>
        <v/>
      </c>
      <c r="S99" s="26" t="str">
        <f aca="false">IF(B99="","",DB_Colleges!AK93&amp;"")</f>
        <v>Official, prior year</v>
      </c>
      <c r="T99" s="26" t="str">
        <f aca="false">IF(B99="","",DB_Colleges!AI93&amp;"")</f>
        <v>https://www.tougaloo.edu/admissions</v>
      </c>
      <c r="U99" s="1" t="str">
        <f aca="false">IF(AND(ISNUMBER($X$4),ISNUMBER(DB_Colleges!Z93),ISNUMBER(DB_Colleges!AA93)),IF($X$4&gt;=DB_Colleges!AA93,1,IF($X$4&lt;DB_Colleges!Z93,-1,0)),"")</f>
        <v/>
      </c>
      <c r="V99" s="1" t="str">
        <f aca="false">IF(AND(ISNUMBER($Y$4),ISNUMBER(DB_Colleges!AD93)),IF($Y$4&gt;=DB_Colleges!AD93+0.15,1,IF($Y$4&lt;DB_Colleges!AD93-0.2,-1,0)),"")</f>
        <v/>
      </c>
      <c r="W99" s="1" t="n">
        <f aca="false">IF(COUNT(U99:V99)=0,0,MIN(U99:V99))</f>
        <v>0</v>
      </c>
    </row>
    <row r="100" customFormat="false" ht="15" hidden="false" customHeight="true" outlineLevel="0" collapsed="false">
      <c r="A100" s="26" t="str">
        <f aca="false">IF(B100="","",IF(COUNTIF('My Colleges'!$B$8:$B$27,B100)&gt;0,"On list",""))</f>
        <v/>
      </c>
      <c r="B100" s="27" t="str">
        <f aca="false">IF(DB_Colleges!A94="","",DB_Colleges!A94)</f>
        <v>Philander Smith University</v>
      </c>
      <c r="C100" s="26" t="str">
        <f aca="false">IF(B100="","",DB_Colleges!B94)</f>
        <v>HBCU</v>
      </c>
      <c r="D100" s="26" t="str">
        <f aca="false">IF(B100="","",DB_Colleges!C94&amp;", "&amp;DB_Colleges!D94)</f>
        <v>Little Rock, AR</v>
      </c>
      <c r="E100" s="26" t="str">
        <f aca="false">IF(B100="","",IF(AND(NOT(ISNUMBER($X$4)),NOT(ISNUMBER($Y$4))),"Add scores",IF(NOT(ISNUMBER(DB_Colleges!Y94)),IF(OR(C100="Ivy League",C100="Highly Selective"),"Reach",IF(COUNT(U100:V100)=0,"No data",CHOOSE(W100+2,"Reach","Target","Likely"))),IF(DB_Colleges!Y94&lt;0.15,"Reach",IF(DB_Colleges!Y94&gt;=0.75,IF(W100&gt;=0,"Likely","Target"),IF(DB_Colleges!Y94&gt;=0.4,CHOOSE(W100+2,"Reach","Target","Likely"),IF(W100=1,"Target","Reach")))))))</f>
        <v>No data</v>
      </c>
      <c r="F100" s="28" t="str">
        <f aca="false">IF(OR(B100="",NOT(ISNUMBER(DB_Colleges!Y94))),"",DB_Colleges!Y94)</f>
        <v/>
      </c>
      <c r="G100" s="26" t="str">
        <f aca="false">IF(OR(B100="",NOT(ISNUMBER(DB_Colleges!Z94))),"",DB_Colleges!Z94&amp;"-"&amp;DB_Colleges!AA94)</f>
        <v/>
      </c>
      <c r="H100" s="26" t="str">
        <f aca="false">IF(OR(B100="",NOT(ISNUMBER(DB_Colleges!AD94))),"",DB_Colleges!AD94)</f>
        <v/>
      </c>
      <c r="I100" s="29" t="str">
        <f aca="false">IF(B100="","",IF(COUNT(DB_Colleges!I94:O94)=0,IF(DB_Colleges!P94="Yes","Rolling","Check site"),MIN(DB_Colleges!I94:O94)))</f>
        <v>Check site</v>
      </c>
      <c r="J100" s="26" t="str">
        <f aca="false">IF(OR(B100="",COUNT(DB_Colleges!I94:O94)=0),"",INDEX({"ED","ED II","EA","EA II","REA","RD","Priority"},MATCH(MIN(DB_Colleges!I94:O94),DB_Colleges!I94:O94,0)))</f>
        <v/>
      </c>
      <c r="K100" s="29" t="str">
        <f aca="false">IF(OR(B100="",NOT(ISNUMBER(DB_Colleges!N94))),"",DB_Colleges!N94)</f>
        <v/>
      </c>
      <c r="L100" s="26" t="str">
        <f aca="false">IF(B100="","",DB_Colleges!G94&amp;"")</f>
        <v>School portal</v>
      </c>
      <c r="M100" s="30" t="str">
        <f aca="false">IF(OR(B100="",NOT(ISNUMBER(DB_Colleges!S94))),"",DB_Colleges!S94)</f>
        <v/>
      </c>
      <c r="N100" s="26" t="str">
        <f aca="false">IF(B100="","",DB_Colleges!U94&amp;"")</f>
        <v>Optional</v>
      </c>
      <c r="O100" s="26" t="str">
        <f aca="false">IF(B100="","",IF(ISNUMBER(DB_Colleges!AH94),DB_Colleges!AH94,"Check"))</f>
        <v>Check</v>
      </c>
      <c r="P100" s="26" t="str">
        <f aca="false">IF(B100="","",DB_Colleges!W94&amp;"")</f>
        <v/>
      </c>
      <c r="Q100" s="30" t="str">
        <f aca="false">IF(OR(B100="",NOT(ISNUMBER(DB_Colleges!AF94))),"",DB_Colleges!AF94)</f>
        <v/>
      </c>
      <c r="R100" s="28" t="str">
        <f aca="false">IF(OR(B100="",NOT(ISNUMBER(DB_Colleges!AG94))),"",DB_Colleges!AG94)</f>
        <v/>
      </c>
      <c r="S100" s="26" t="str">
        <f aca="false">IF(B100="","",DB_Colleges!AK94&amp;"")</f>
        <v>Official, prior year</v>
      </c>
      <c r="T100" s="26" t="str">
        <f aca="false">IF(B100="","",DB_Colleges!AI94&amp;"")</f>
        <v>https://www.philander.edu/admissions/new-freshman/</v>
      </c>
      <c r="U100" s="1" t="str">
        <f aca="false">IF(AND(ISNUMBER($X$4),ISNUMBER(DB_Colleges!Z94),ISNUMBER(DB_Colleges!AA94)),IF($X$4&gt;=DB_Colleges!AA94,1,IF($X$4&lt;DB_Colleges!Z94,-1,0)),"")</f>
        <v/>
      </c>
      <c r="V100" s="1" t="str">
        <f aca="false">IF(AND(ISNUMBER($Y$4),ISNUMBER(DB_Colleges!AD94)),IF($Y$4&gt;=DB_Colleges!AD94+0.15,1,IF($Y$4&lt;DB_Colleges!AD94-0.2,-1,0)),"")</f>
        <v/>
      </c>
      <c r="W100" s="1" t="n">
        <f aca="false">IF(COUNT(U100:V100)=0,0,MIN(U100:V100))</f>
        <v>0</v>
      </c>
    </row>
    <row r="101" customFormat="false" ht="15" hidden="false" customHeight="true" outlineLevel="0" collapsed="false">
      <c r="A101" s="26" t="str">
        <f aca="false">IF(B101="","",IF(COUNTIF('My Colleges'!$B$8:$B$27,B101)&gt;0,"On list",""))</f>
        <v/>
      </c>
      <c r="B101" s="27" t="str">
        <f aca="false">IF(DB_Colleges!A95="","",DB_Colleges!A95)</f>
        <v>University of the District of Columbia</v>
      </c>
      <c r="C101" s="26" t="str">
        <f aca="false">IF(B101="","",DB_Colleges!B95)</f>
        <v>HBCU</v>
      </c>
      <c r="D101" s="26" t="str">
        <f aca="false">IF(B101="","",DB_Colleges!C95&amp;", "&amp;DB_Colleges!D95)</f>
        <v>Washington, DC</v>
      </c>
      <c r="E101" s="26" t="str">
        <f aca="false">IF(B101="","",IF(AND(NOT(ISNUMBER($X$4)),NOT(ISNUMBER($Y$4))),"Add scores",IF(NOT(ISNUMBER(DB_Colleges!Y95)),IF(OR(C101="Ivy League",C101="Highly Selective"),"Reach",IF(COUNT(U101:V101)=0,"No data",CHOOSE(W101+2,"Reach","Target","Likely"))),IF(DB_Colleges!Y95&lt;0.15,"Reach",IF(DB_Colleges!Y95&gt;=0.75,IF(W101&gt;=0,"Likely","Target"),IF(DB_Colleges!Y95&gt;=0.4,CHOOSE(W101+2,"Reach","Target","Likely"),IF(W101=1,"Target","Reach")))))))</f>
        <v>No data</v>
      </c>
      <c r="F101" s="28" t="str">
        <f aca="false">IF(OR(B101="",NOT(ISNUMBER(DB_Colleges!Y95))),"",DB_Colleges!Y95)</f>
        <v/>
      </c>
      <c r="G101" s="26" t="str">
        <f aca="false">IF(OR(B101="",NOT(ISNUMBER(DB_Colleges!Z95))),"",DB_Colleges!Z95&amp;"-"&amp;DB_Colleges!AA95)</f>
        <v/>
      </c>
      <c r="H101" s="26" t="str">
        <f aca="false">IF(OR(B101="",NOT(ISNUMBER(DB_Colleges!AD95))),"",DB_Colleges!AD95)</f>
        <v/>
      </c>
      <c r="I101" s="29" t="n">
        <f aca="false">IF(B101="","",IF(COUNT(DB_Colleges!I95:O95)=0,IF(DB_Colleges!P95="Yes","Rolling","Check site"),MIN(DB_Colleges!I95:O95)))</f>
        <v>46600</v>
      </c>
      <c r="J101" s="26" t="str">
        <f aca="false">IF(OR(B101="",COUNT(DB_Colleges!I95:O95)=0),"",INDEX({"ED","ED II","EA","EA II","REA","RD","Priority"},MATCH(MIN(DB_Colleges!I95:O95),DB_Colleges!I95:O95,0)))</f>
        <v>RD</v>
      </c>
      <c r="K101" s="29" t="n">
        <f aca="false">IF(OR(B101="",NOT(ISNUMBER(DB_Colleges!N95))),"",DB_Colleges!N95)</f>
        <v>46600</v>
      </c>
      <c r="L101" s="26" t="str">
        <f aca="false">IF(B101="","",DB_Colleges!G95&amp;"")</f>
        <v>School portal</v>
      </c>
      <c r="M101" s="30" t="str">
        <f aca="false">IF(OR(B101="",NOT(ISNUMBER(DB_Colleges!S95))),"",DB_Colleges!S95)</f>
        <v/>
      </c>
      <c r="N101" s="26" t="str">
        <f aca="false">IF(B101="","",DB_Colleges!U95&amp;"")</f>
        <v/>
      </c>
      <c r="O101" s="26" t="str">
        <f aca="false">IF(B101="","",IF(ISNUMBER(DB_Colleges!AH95),DB_Colleges!AH95,"Check"))</f>
        <v>Check</v>
      </c>
      <c r="P101" s="26" t="str">
        <f aca="false">IF(B101="","",DB_Colleges!W95&amp;"")</f>
        <v/>
      </c>
      <c r="Q101" s="30" t="str">
        <f aca="false">IF(OR(B101="",NOT(ISNUMBER(DB_Colleges!AF95))),"",DB_Colleges!AF95)</f>
        <v/>
      </c>
      <c r="R101" s="28" t="str">
        <f aca="false">IF(OR(B101="",NOT(ISNUMBER(DB_Colleges!AG95))),"",DB_Colleges!AG95)</f>
        <v/>
      </c>
      <c r="S101" s="26" t="str">
        <f aca="false">IF(B101="","",DB_Colleges!AK95&amp;"")</f>
        <v>Official, prior year</v>
      </c>
      <c r="T101" s="26" t="str">
        <f aca="false">IF(B101="","",DB_Colleges!AI95&amp;"")</f>
        <v>https://www.udc.edu/admissions/faq</v>
      </c>
      <c r="U101" s="1" t="str">
        <f aca="false">IF(AND(ISNUMBER($X$4),ISNUMBER(DB_Colleges!Z95),ISNUMBER(DB_Colleges!AA95)),IF($X$4&gt;=DB_Colleges!AA95,1,IF($X$4&lt;DB_Colleges!Z95,-1,0)),"")</f>
        <v/>
      </c>
      <c r="V101" s="1" t="str">
        <f aca="false">IF(AND(ISNUMBER($Y$4),ISNUMBER(DB_Colleges!AD95)),IF($Y$4&gt;=DB_Colleges!AD95+0.15,1,IF($Y$4&lt;DB_Colleges!AD95-0.2,-1,0)),"")</f>
        <v/>
      </c>
      <c r="W101" s="1" t="n">
        <f aca="false">IF(COUNT(U101:V101)=0,0,MIN(U101:V101))</f>
        <v>0</v>
      </c>
    </row>
    <row r="102" customFormat="false" ht="15" hidden="false" customHeight="true" outlineLevel="0" collapsed="false">
      <c r="A102" s="26" t="str">
        <f aca="false">IF(B102="","",IF(COUNTIF('My Colleges'!$B$8:$B$27,B102)&gt;0,"On list",""))</f>
        <v/>
      </c>
      <c r="B102" s="27" t="str">
        <f aca="false">IF(DB_Colleges!A96="","",DB_Colleges!A96)</f>
        <v>Oakwood University</v>
      </c>
      <c r="C102" s="26" t="str">
        <f aca="false">IF(B102="","",DB_Colleges!B96)</f>
        <v>HBCU</v>
      </c>
      <c r="D102" s="26" t="str">
        <f aca="false">IF(B102="","",DB_Colleges!C96&amp;", "&amp;DB_Colleges!D96)</f>
        <v>Huntsville, AL</v>
      </c>
      <c r="E102" s="26" t="str">
        <f aca="false">IF(B102="","",IF(AND(NOT(ISNUMBER($X$4)),NOT(ISNUMBER($Y$4))),"Add scores",IF(NOT(ISNUMBER(DB_Colleges!Y96)),IF(OR(C102="Ivy League",C102="Highly Selective"),"Reach",IF(COUNT(U102:V102)=0,"No data",CHOOSE(W102+2,"Reach","Target","Likely"))),IF(DB_Colleges!Y96&lt;0.15,"Reach",IF(DB_Colleges!Y96&gt;=0.75,IF(W102&gt;=0,"Likely","Target"),IF(DB_Colleges!Y96&gt;=0.4,CHOOSE(W102+2,"Reach","Target","Likely"),IF(W102=1,"Target","Reach")))))))</f>
        <v>No data</v>
      </c>
      <c r="F102" s="28" t="str">
        <f aca="false">IF(OR(B102="",NOT(ISNUMBER(DB_Colleges!Y96))),"",DB_Colleges!Y96)</f>
        <v/>
      </c>
      <c r="G102" s="26" t="str">
        <f aca="false">IF(OR(B102="",NOT(ISNUMBER(DB_Colleges!Z96))),"",DB_Colleges!Z96&amp;"-"&amp;DB_Colleges!AA96)</f>
        <v/>
      </c>
      <c r="H102" s="26" t="str">
        <f aca="false">IF(OR(B102="",NOT(ISNUMBER(DB_Colleges!AD96))),"",DB_Colleges!AD96)</f>
        <v/>
      </c>
      <c r="I102" s="29" t="str">
        <f aca="false">IF(B102="","",IF(COUNT(DB_Colleges!I96:O96)=0,IF(DB_Colleges!P96="Yes","Rolling","Check site"),MIN(DB_Colleges!I96:O96)))</f>
        <v>Check site</v>
      </c>
      <c r="J102" s="26" t="str">
        <f aca="false">IF(OR(B102="",COUNT(DB_Colleges!I96:O96)=0),"",INDEX({"ED","ED II","EA","EA II","REA","RD","Priority"},MATCH(MIN(DB_Colleges!I96:O96),DB_Colleges!I96:O96,0)))</f>
        <v/>
      </c>
      <c r="K102" s="29" t="str">
        <f aca="false">IF(OR(B102="",NOT(ISNUMBER(DB_Colleges!N96))),"",DB_Colleges!N96)</f>
        <v/>
      </c>
      <c r="L102" s="26" t="str">
        <f aca="false">IF(B102="","",DB_Colleges!G96&amp;"")</f>
        <v/>
      </c>
      <c r="M102" s="30" t="str">
        <f aca="false">IF(OR(B102="",NOT(ISNUMBER(DB_Colleges!S96))),"",DB_Colleges!S96)</f>
        <v/>
      </c>
      <c r="N102" s="26" t="str">
        <f aca="false">IF(B102="","",DB_Colleges!U96&amp;"")</f>
        <v/>
      </c>
      <c r="O102" s="26" t="str">
        <f aca="false">IF(B102="","",IF(ISNUMBER(DB_Colleges!AH96),DB_Colleges!AH96,"Check"))</f>
        <v>Check</v>
      </c>
      <c r="P102" s="26" t="str">
        <f aca="false">IF(B102="","",DB_Colleges!W96&amp;"")</f>
        <v/>
      </c>
      <c r="Q102" s="30" t="str">
        <f aca="false">IF(OR(B102="",NOT(ISNUMBER(DB_Colleges!AF96))),"",DB_Colleges!AF96)</f>
        <v/>
      </c>
      <c r="R102" s="28" t="str">
        <f aca="false">IF(OR(B102="",NOT(ISNUMBER(DB_Colleges!AG96))),"",DB_Colleges!AG96)</f>
        <v/>
      </c>
      <c r="S102" s="26" t="str">
        <f aca="false">IF(B102="","",DB_Colleges!AK96&amp;"")</f>
        <v>Aggregator only</v>
      </c>
      <c r="T102" s="26" t="str">
        <f aca="false">IF(B102="","",DB_Colleges!AI96&amp;"")</f>
        <v/>
      </c>
      <c r="U102" s="1" t="str">
        <f aca="false">IF(AND(ISNUMBER($X$4),ISNUMBER(DB_Colleges!Z96),ISNUMBER(DB_Colleges!AA96)),IF($X$4&gt;=DB_Colleges!AA96,1,IF($X$4&lt;DB_Colleges!Z96,-1,0)),"")</f>
        <v/>
      </c>
      <c r="V102" s="1" t="str">
        <f aca="false">IF(AND(ISNUMBER($Y$4),ISNUMBER(DB_Colleges!AD96)),IF($Y$4&gt;=DB_Colleges!AD96+0.15,1,IF($Y$4&lt;DB_Colleges!AD96-0.2,-1,0)),"")</f>
        <v/>
      </c>
      <c r="W102" s="1" t="n">
        <f aca="false">IF(COUNT(U102:V102)=0,0,MIN(U102:V102))</f>
        <v>0</v>
      </c>
    </row>
    <row r="103" customFormat="false" ht="15" hidden="false" customHeight="true" outlineLevel="0" collapsed="false">
      <c r="A103" s="26" t="str">
        <f aca="false">IF(B103="","",IF(COUNTIF('My Colleges'!$B$8:$B$27,B103)&gt;0,"On list",""))</f>
        <v/>
      </c>
      <c r="B103" s="27" t="str">
        <f aca="false">IF(DB_Colleges!A97="","",DB_Colleges!A97)</f>
        <v>Miles College</v>
      </c>
      <c r="C103" s="26" t="str">
        <f aca="false">IF(B103="","",DB_Colleges!B97)</f>
        <v>HBCU</v>
      </c>
      <c r="D103" s="26" t="str">
        <f aca="false">IF(B103="","",DB_Colleges!C97&amp;", "&amp;DB_Colleges!D97)</f>
        <v>Fairfield, AL</v>
      </c>
      <c r="E103" s="26" t="str">
        <f aca="false">IF(B103="","",IF(AND(NOT(ISNUMBER($X$4)),NOT(ISNUMBER($Y$4))),"Add scores",IF(NOT(ISNUMBER(DB_Colleges!Y97)),IF(OR(C103="Ivy League",C103="Highly Selective"),"Reach",IF(COUNT(U103:V103)=0,"No data",CHOOSE(W103+2,"Reach","Target","Likely"))),IF(DB_Colleges!Y97&lt;0.15,"Reach",IF(DB_Colleges!Y97&gt;=0.75,IF(W103&gt;=0,"Likely","Target"),IF(DB_Colleges!Y97&gt;=0.4,CHOOSE(W103+2,"Reach","Target","Likely"),IF(W103=1,"Target","Reach")))))))</f>
        <v>No data</v>
      </c>
      <c r="F103" s="28" t="str">
        <f aca="false">IF(OR(B103="",NOT(ISNUMBER(DB_Colleges!Y97))),"",DB_Colleges!Y97)</f>
        <v/>
      </c>
      <c r="G103" s="26" t="str">
        <f aca="false">IF(OR(B103="",NOT(ISNUMBER(DB_Colleges!Z97))),"",DB_Colleges!Z97&amp;"-"&amp;DB_Colleges!AA97)</f>
        <v/>
      </c>
      <c r="H103" s="26" t="str">
        <f aca="false">IF(OR(B103="",NOT(ISNUMBER(DB_Colleges!AD97))),"",DB_Colleges!AD97)</f>
        <v/>
      </c>
      <c r="I103" s="29" t="str">
        <f aca="false">IF(B103="","",IF(COUNT(DB_Colleges!I97:O97)=0,IF(DB_Colleges!P97="Yes","Rolling","Check site"),MIN(DB_Colleges!I97:O97)))</f>
        <v>Check site</v>
      </c>
      <c r="J103" s="26" t="str">
        <f aca="false">IF(OR(B103="",COUNT(DB_Colleges!I97:O97)=0),"",INDEX({"ED","ED II","EA","EA II","REA","RD","Priority"},MATCH(MIN(DB_Colleges!I97:O97),DB_Colleges!I97:O97,0)))</f>
        <v/>
      </c>
      <c r="K103" s="29" t="str">
        <f aca="false">IF(OR(B103="",NOT(ISNUMBER(DB_Colleges!N97))),"",DB_Colleges!N97)</f>
        <v/>
      </c>
      <c r="L103" s="26" t="str">
        <f aca="false">IF(B103="","",DB_Colleges!G97&amp;"")</f>
        <v/>
      </c>
      <c r="M103" s="30" t="str">
        <f aca="false">IF(OR(B103="",NOT(ISNUMBER(DB_Colleges!S97))),"",DB_Colleges!S97)</f>
        <v/>
      </c>
      <c r="N103" s="26" t="str">
        <f aca="false">IF(B103="","",DB_Colleges!U97&amp;"")</f>
        <v/>
      </c>
      <c r="O103" s="26" t="str">
        <f aca="false">IF(B103="","",IF(ISNUMBER(DB_Colleges!AH97),DB_Colleges!AH97,"Check"))</f>
        <v>Check</v>
      </c>
      <c r="P103" s="26" t="str">
        <f aca="false">IF(B103="","",DB_Colleges!W97&amp;"")</f>
        <v/>
      </c>
      <c r="Q103" s="30" t="str">
        <f aca="false">IF(OR(B103="",NOT(ISNUMBER(DB_Colleges!AF97))),"",DB_Colleges!AF97)</f>
        <v/>
      </c>
      <c r="R103" s="28" t="str">
        <f aca="false">IF(OR(B103="",NOT(ISNUMBER(DB_Colleges!AG97))),"",DB_Colleges!AG97)</f>
        <v/>
      </c>
      <c r="S103" s="26" t="str">
        <f aca="false">IF(B103="","",DB_Colleges!AK97&amp;"")</f>
        <v>Aggregator only</v>
      </c>
      <c r="T103" s="26" t="str">
        <f aca="false">IF(B103="","",DB_Colleges!AI97&amp;"")</f>
        <v/>
      </c>
      <c r="U103" s="1" t="str">
        <f aca="false">IF(AND(ISNUMBER($X$4),ISNUMBER(DB_Colleges!Z97),ISNUMBER(DB_Colleges!AA97)),IF($X$4&gt;=DB_Colleges!AA97,1,IF($X$4&lt;DB_Colleges!Z97,-1,0)),"")</f>
        <v/>
      </c>
      <c r="V103" s="1" t="str">
        <f aca="false">IF(AND(ISNUMBER($Y$4),ISNUMBER(DB_Colleges!AD97)),IF($Y$4&gt;=DB_Colleges!AD97+0.15,1,IF($Y$4&lt;DB_Colleges!AD97-0.2,-1,0)),"")</f>
        <v/>
      </c>
      <c r="W103" s="1" t="n">
        <f aca="false">IF(COUNT(U103:V103)=0,0,MIN(U103:V103))</f>
        <v>0</v>
      </c>
    </row>
    <row r="104" customFormat="false" ht="15" hidden="false" customHeight="true" outlineLevel="0" collapsed="false">
      <c r="A104" s="26" t="str">
        <f aca="false">IF(B104="","",IF(COUNTIF('My Colleges'!$B$8:$B$27,B104)&gt;0,"On list",""))</f>
        <v/>
      </c>
      <c r="B104" s="27" t="str">
        <f aca="false">IF(DB_Colleges!A98="","",DB_Colleges!A98)</f>
        <v>Stillman College</v>
      </c>
      <c r="C104" s="26" t="str">
        <f aca="false">IF(B104="","",DB_Colleges!B98)</f>
        <v>HBCU</v>
      </c>
      <c r="D104" s="26" t="str">
        <f aca="false">IF(B104="","",DB_Colleges!C98&amp;", "&amp;DB_Colleges!D98)</f>
        <v>Tuscaloosa, AL</v>
      </c>
      <c r="E104" s="26" t="str">
        <f aca="false">IF(B104="","",IF(AND(NOT(ISNUMBER($X$4)),NOT(ISNUMBER($Y$4))),"Add scores",IF(NOT(ISNUMBER(DB_Colleges!Y98)),IF(OR(C104="Ivy League",C104="Highly Selective"),"Reach",IF(COUNT(U104:V104)=0,"No data",CHOOSE(W104+2,"Reach","Target","Likely"))),IF(DB_Colleges!Y98&lt;0.15,"Reach",IF(DB_Colleges!Y98&gt;=0.75,IF(W104&gt;=0,"Likely","Target"),IF(DB_Colleges!Y98&gt;=0.4,CHOOSE(W104+2,"Reach","Target","Likely"),IF(W104=1,"Target","Reach")))))))</f>
        <v>No data</v>
      </c>
      <c r="F104" s="28" t="str">
        <f aca="false">IF(OR(B104="",NOT(ISNUMBER(DB_Colleges!Y98))),"",DB_Colleges!Y98)</f>
        <v/>
      </c>
      <c r="G104" s="26" t="str">
        <f aca="false">IF(OR(B104="",NOT(ISNUMBER(DB_Colleges!Z98))),"",DB_Colleges!Z98&amp;"-"&amp;DB_Colleges!AA98)</f>
        <v/>
      </c>
      <c r="H104" s="26" t="str">
        <f aca="false">IF(OR(B104="",NOT(ISNUMBER(DB_Colleges!AD98))),"",DB_Colleges!AD98)</f>
        <v/>
      </c>
      <c r="I104" s="29" t="str">
        <f aca="false">IF(B104="","",IF(COUNT(DB_Colleges!I98:O98)=0,IF(DB_Colleges!P98="Yes","Rolling","Check site"),MIN(DB_Colleges!I98:O98)))</f>
        <v>Check site</v>
      </c>
      <c r="J104" s="26" t="str">
        <f aca="false">IF(OR(B104="",COUNT(DB_Colleges!I98:O98)=0),"",INDEX({"ED","ED II","EA","EA II","REA","RD","Priority"},MATCH(MIN(DB_Colleges!I98:O98),DB_Colleges!I98:O98,0)))</f>
        <v/>
      </c>
      <c r="K104" s="29" t="str">
        <f aca="false">IF(OR(B104="",NOT(ISNUMBER(DB_Colleges!N98))),"",DB_Colleges!N98)</f>
        <v/>
      </c>
      <c r="L104" s="26" t="str">
        <f aca="false">IF(B104="","",DB_Colleges!G98&amp;"")</f>
        <v/>
      </c>
      <c r="M104" s="30" t="str">
        <f aca="false">IF(OR(B104="",NOT(ISNUMBER(DB_Colleges!S98))),"",DB_Colleges!S98)</f>
        <v/>
      </c>
      <c r="N104" s="26" t="str">
        <f aca="false">IF(B104="","",DB_Colleges!U98&amp;"")</f>
        <v/>
      </c>
      <c r="O104" s="26" t="str">
        <f aca="false">IF(B104="","",IF(ISNUMBER(DB_Colleges!AH98),DB_Colleges!AH98,"Check"))</f>
        <v>Check</v>
      </c>
      <c r="P104" s="26" t="str">
        <f aca="false">IF(B104="","",DB_Colleges!W98&amp;"")</f>
        <v/>
      </c>
      <c r="Q104" s="30" t="str">
        <f aca="false">IF(OR(B104="",NOT(ISNUMBER(DB_Colleges!AF98))),"",DB_Colleges!AF98)</f>
        <v/>
      </c>
      <c r="R104" s="28" t="str">
        <f aca="false">IF(OR(B104="",NOT(ISNUMBER(DB_Colleges!AG98))),"",DB_Colleges!AG98)</f>
        <v/>
      </c>
      <c r="S104" s="26" t="str">
        <f aca="false">IF(B104="","",DB_Colleges!AK98&amp;"")</f>
        <v>Aggregator only</v>
      </c>
      <c r="T104" s="26" t="str">
        <f aca="false">IF(B104="","",DB_Colleges!AI98&amp;"")</f>
        <v/>
      </c>
      <c r="U104" s="1" t="str">
        <f aca="false">IF(AND(ISNUMBER($X$4),ISNUMBER(DB_Colleges!Z98),ISNUMBER(DB_Colleges!AA98)),IF($X$4&gt;=DB_Colleges!AA98,1,IF($X$4&lt;DB_Colleges!Z98,-1,0)),"")</f>
        <v/>
      </c>
      <c r="V104" s="1" t="str">
        <f aca="false">IF(AND(ISNUMBER($Y$4),ISNUMBER(DB_Colleges!AD98)),IF($Y$4&gt;=DB_Colleges!AD98+0.15,1,IF($Y$4&lt;DB_Colleges!AD98-0.2,-1,0)),"")</f>
        <v/>
      </c>
      <c r="W104" s="1" t="n">
        <f aca="false">IF(COUNT(U104:V104)=0,0,MIN(U104:V104))</f>
        <v>0</v>
      </c>
    </row>
    <row r="105" customFormat="false" ht="15" hidden="false" customHeight="true" outlineLevel="0" collapsed="false">
      <c r="A105" s="26" t="str">
        <f aca="false">IF(B105="","",IF(COUNTIF('My Colleges'!$B$8:$B$27,B105)&gt;0,"On list",""))</f>
        <v/>
      </c>
      <c r="B105" s="27" t="str">
        <f aca="false">IF(DB_Colleges!A99="","",DB_Colleges!A99)</f>
        <v>Talladega College</v>
      </c>
      <c r="C105" s="26" t="str">
        <f aca="false">IF(B105="","",DB_Colleges!B99)</f>
        <v>HBCU</v>
      </c>
      <c r="D105" s="26" t="str">
        <f aca="false">IF(B105="","",DB_Colleges!C99&amp;", "&amp;DB_Colleges!D99)</f>
        <v>Talladega, AL</v>
      </c>
      <c r="E105" s="26" t="str">
        <f aca="false">IF(B105="","",IF(AND(NOT(ISNUMBER($X$4)),NOT(ISNUMBER($Y$4))),"Add scores",IF(NOT(ISNUMBER(DB_Colleges!Y99)),IF(OR(C105="Ivy League",C105="Highly Selective"),"Reach",IF(COUNT(U105:V105)=0,"No data",CHOOSE(W105+2,"Reach","Target","Likely"))),IF(DB_Colleges!Y99&lt;0.15,"Reach",IF(DB_Colleges!Y99&gt;=0.75,IF(W105&gt;=0,"Likely","Target"),IF(DB_Colleges!Y99&gt;=0.4,CHOOSE(W105+2,"Reach","Target","Likely"),IF(W105=1,"Target","Reach")))))))</f>
        <v>No data</v>
      </c>
      <c r="F105" s="28" t="str">
        <f aca="false">IF(OR(B105="",NOT(ISNUMBER(DB_Colleges!Y99))),"",DB_Colleges!Y99)</f>
        <v/>
      </c>
      <c r="G105" s="26" t="str">
        <f aca="false">IF(OR(B105="",NOT(ISNUMBER(DB_Colleges!Z99))),"",DB_Colleges!Z99&amp;"-"&amp;DB_Colleges!AA99)</f>
        <v/>
      </c>
      <c r="H105" s="26" t="str">
        <f aca="false">IF(OR(B105="",NOT(ISNUMBER(DB_Colleges!AD99))),"",DB_Colleges!AD99)</f>
        <v/>
      </c>
      <c r="I105" s="29" t="str">
        <f aca="false">IF(B105="","",IF(COUNT(DB_Colleges!I99:O99)=0,IF(DB_Colleges!P99="Yes","Rolling","Check site"),MIN(DB_Colleges!I99:O99)))</f>
        <v>Check site</v>
      </c>
      <c r="J105" s="26" t="str">
        <f aca="false">IF(OR(B105="",COUNT(DB_Colleges!I99:O99)=0),"",INDEX({"ED","ED II","EA","EA II","REA","RD","Priority"},MATCH(MIN(DB_Colleges!I99:O99),DB_Colleges!I99:O99,0)))</f>
        <v/>
      </c>
      <c r="K105" s="29" t="str">
        <f aca="false">IF(OR(B105="",NOT(ISNUMBER(DB_Colleges!N99))),"",DB_Colleges!N99)</f>
        <v/>
      </c>
      <c r="L105" s="26" t="str">
        <f aca="false">IF(B105="","",DB_Colleges!G99&amp;"")</f>
        <v/>
      </c>
      <c r="M105" s="30" t="str">
        <f aca="false">IF(OR(B105="",NOT(ISNUMBER(DB_Colleges!S99))),"",DB_Colleges!S99)</f>
        <v/>
      </c>
      <c r="N105" s="26" t="str">
        <f aca="false">IF(B105="","",DB_Colleges!U99&amp;"")</f>
        <v/>
      </c>
      <c r="O105" s="26" t="str">
        <f aca="false">IF(B105="","",IF(ISNUMBER(DB_Colleges!AH99),DB_Colleges!AH99,"Check"))</f>
        <v>Check</v>
      </c>
      <c r="P105" s="26" t="str">
        <f aca="false">IF(B105="","",DB_Colleges!W99&amp;"")</f>
        <v/>
      </c>
      <c r="Q105" s="30" t="str">
        <f aca="false">IF(OR(B105="",NOT(ISNUMBER(DB_Colleges!AF99))),"",DB_Colleges!AF99)</f>
        <v/>
      </c>
      <c r="R105" s="28" t="str">
        <f aca="false">IF(OR(B105="",NOT(ISNUMBER(DB_Colleges!AG99))),"",DB_Colleges!AG99)</f>
        <v/>
      </c>
      <c r="S105" s="26" t="str">
        <f aca="false">IF(B105="","",DB_Colleges!AK99&amp;"")</f>
        <v>Aggregator only</v>
      </c>
      <c r="T105" s="26" t="str">
        <f aca="false">IF(B105="","",DB_Colleges!AI99&amp;"")</f>
        <v/>
      </c>
      <c r="U105" s="1" t="str">
        <f aca="false">IF(AND(ISNUMBER($X$4),ISNUMBER(DB_Colleges!Z99),ISNUMBER(DB_Colleges!AA99)),IF($X$4&gt;=DB_Colleges!AA99,1,IF($X$4&lt;DB_Colleges!Z99,-1,0)),"")</f>
        <v/>
      </c>
      <c r="V105" s="1" t="str">
        <f aca="false">IF(AND(ISNUMBER($Y$4),ISNUMBER(DB_Colleges!AD99)),IF($Y$4&gt;=DB_Colleges!AD99+0.15,1,IF($Y$4&lt;DB_Colleges!AD99-0.2,-1,0)),"")</f>
        <v/>
      </c>
      <c r="W105" s="1" t="n">
        <f aca="false">IF(COUNT(U105:V105)=0,0,MIN(U105:V105))</f>
        <v>0</v>
      </c>
    </row>
    <row r="106" customFormat="false" ht="15" hidden="false" customHeight="true" outlineLevel="0" collapsed="false">
      <c r="A106" s="26" t="str">
        <f aca="false">IF(B106="","",IF(COUNTIF('My Colleges'!$B$8:$B$27,B106)&gt;0,"On list",""))</f>
        <v/>
      </c>
      <c r="B106" s="27" t="str">
        <f aca="false">IF(DB_Colleges!A100="","",DB_Colleges!A100)</f>
        <v>Central State University</v>
      </c>
      <c r="C106" s="26" t="str">
        <f aca="false">IF(B106="","",DB_Colleges!B100)</f>
        <v>HBCU</v>
      </c>
      <c r="D106" s="26" t="str">
        <f aca="false">IF(B106="","",DB_Colleges!C100&amp;", "&amp;DB_Colleges!D100)</f>
        <v>Wilberforce, OH</v>
      </c>
      <c r="E106" s="26" t="str">
        <f aca="false">IF(B106="","",IF(AND(NOT(ISNUMBER($X$4)),NOT(ISNUMBER($Y$4))),"Add scores",IF(NOT(ISNUMBER(DB_Colleges!Y100)),IF(OR(C106="Ivy League",C106="Highly Selective"),"Reach",IF(COUNT(U106:V106)=0,"No data",CHOOSE(W106+2,"Reach","Target","Likely"))),IF(DB_Colleges!Y100&lt;0.15,"Reach",IF(DB_Colleges!Y100&gt;=0.75,IF(W106&gt;=0,"Likely","Target"),IF(DB_Colleges!Y100&gt;=0.4,CHOOSE(W106+2,"Reach","Target","Likely"),IF(W106=1,"Target","Reach")))))))</f>
        <v>No data</v>
      </c>
      <c r="F106" s="28" t="str">
        <f aca="false">IF(OR(B106="",NOT(ISNUMBER(DB_Colleges!Y100))),"",DB_Colleges!Y100)</f>
        <v/>
      </c>
      <c r="G106" s="26" t="str">
        <f aca="false">IF(OR(B106="",NOT(ISNUMBER(DB_Colleges!Z100))),"",DB_Colleges!Z100&amp;"-"&amp;DB_Colleges!AA100)</f>
        <v/>
      </c>
      <c r="H106" s="26" t="str">
        <f aca="false">IF(OR(B106="",NOT(ISNUMBER(DB_Colleges!AD100))),"",DB_Colleges!AD100)</f>
        <v/>
      </c>
      <c r="I106" s="29" t="str">
        <f aca="false">IF(B106="","",IF(COUNT(DB_Colleges!I100:O100)=0,IF(DB_Colleges!P100="Yes","Rolling","Check site"),MIN(DB_Colleges!I100:O100)))</f>
        <v>Check site</v>
      </c>
      <c r="J106" s="26" t="str">
        <f aca="false">IF(OR(B106="",COUNT(DB_Colleges!I100:O100)=0),"",INDEX({"ED","ED II","EA","EA II","REA","RD","Priority"},MATCH(MIN(DB_Colleges!I100:O100),DB_Colleges!I100:O100,0)))</f>
        <v/>
      </c>
      <c r="K106" s="29" t="str">
        <f aca="false">IF(OR(B106="",NOT(ISNUMBER(DB_Colleges!N100))),"",DB_Colleges!N100)</f>
        <v/>
      </c>
      <c r="L106" s="26" t="str">
        <f aca="false">IF(B106="","",DB_Colleges!G100&amp;"")</f>
        <v/>
      </c>
      <c r="M106" s="30" t="str">
        <f aca="false">IF(OR(B106="",NOT(ISNUMBER(DB_Colleges!S100))),"",DB_Colleges!S100)</f>
        <v/>
      </c>
      <c r="N106" s="26" t="str">
        <f aca="false">IF(B106="","",DB_Colleges!U100&amp;"")</f>
        <v/>
      </c>
      <c r="O106" s="26" t="str">
        <f aca="false">IF(B106="","",IF(ISNUMBER(DB_Colleges!AH100),DB_Colleges!AH100,"Check"))</f>
        <v>Check</v>
      </c>
      <c r="P106" s="26" t="str">
        <f aca="false">IF(B106="","",DB_Colleges!W100&amp;"")</f>
        <v/>
      </c>
      <c r="Q106" s="30" t="str">
        <f aca="false">IF(OR(B106="",NOT(ISNUMBER(DB_Colleges!AF100))),"",DB_Colleges!AF100)</f>
        <v/>
      </c>
      <c r="R106" s="28" t="str">
        <f aca="false">IF(OR(B106="",NOT(ISNUMBER(DB_Colleges!AG100))),"",DB_Colleges!AG100)</f>
        <v/>
      </c>
      <c r="S106" s="26" t="str">
        <f aca="false">IF(B106="","",DB_Colleges!AK100&amp;"")</f>
        <v>Aggregator only</v>
      </c>
      <c r="T106" s="26" t="str">
        <f aca="false">IF(B106="","",DB_Colleges!AI100&amp;"")</f>
        <v/>
      </c>
      <c r="U106" s="1" t="str">
        <f aca="false">IF(AND(ISNUMBER($X$4),ISNUMBER(DB_Colleges!Z100),ISNUMBER(DB_Colleges!AA100)),IF($X$4&gt;=DB_Colleges!AA100,1,IF($X$4&lt;DB_Colleges!Z100,-1,0)),"")</f>
        <v/>
      </c>
      <c r="V106" s="1" t="str">
        <f aca="false">IF(AND(ISNUMBER($Y$4),ISNUMBER(DB_Colleges!AD100)),IF($Y$4&gt;=DB_Colleges!AD100+0.15,1,IF($Y$4&lt;DB_Colleges!AD100-0.2,-1,0)),"")</f>
        <v/>
      </c>
      <c r="W106" s="1" t="n">
        <f aca="false">IF(COUNT(U106:V106)=0,0,MIN(U106:V106))</f>
        <v>0</v>
      </c>
    </row>
    <row r="107" customFormat="false" ht="15" hidden="false" customHeight="true" outlineLevel="0" collapsed="false">
      <c r="A107" s="26" t="str">
        <f aca="false">IF(B107="","",IF(COUNTIF('My Colleges'!$B$8:$B$27,B107)&gt;0,"On list",""))</f>
        <v/>
      </c>
      <c r="B107" s="27" t="str">
        <f aca="false">IF(DB_Colleges!A101="","",DB_Colleges!A101)</f>
        <v>Harvard University</v>
      </c>
      <c r="C107" s="26" t="str">
        <f aca="false">IF(B107="","",DB_Colleges!B101)</f>
        <v>Ivy League</v>
      </c>
      <c r="D107" s="26" t="str">
        <f aca="false">IF(B107="","",DB_Colleges!C101&amp;", "&amp;DB_Colleges!D101)</f>
        <v>Cambridge, MA</v>
      </c>
      <c r="E107" s="26" t="str">
        <f aca="false">IF(B107="","",IF(AND(NOT(ISNUMBER($X$4)),NOT(ISNUMBER($Y$4))),"Add scores",IF(NOT(ISNUMBER(DB_Colleges!Y101)),IF(OR(C107="Ivy League",C107="Highly Selective"),"Reach",IF(COUNT(U107:V107)=0,"No data",CHOOSE(W107+2,"Reach","Target","Likely"))),IF(DB_Colleges!Y101&lt;0.15,"Reach",IF(DB_Colleges!Y101&gt;=0.75,IF(W107&gt;=0,"Likely","Target"),IF(DB_Colleges!Y101&gt;=0.4,CHOOSE(W107+2,"Reach","Target","Likely"),IF(W107=1,"Target","Reach")))))))</f>
        <v>Reach</v>
      </c>
      <c r="F107" s="28" t="n">
        <f aca="false">IF(OR(B107="",NOT(ISNUMBER(DB_Colleges!Y101))),"",DB_Colleges!Y101)</f>
        <v>0.0365</v>
      </c>
      <c r="G107" s="26" t="str">
        <f aca="false">IF(OR(B107="",NOT(ISNUMBER(DB_Colleges!Z101))),"",DB_Colleges!Z101&amp;"-"&amp;DB_Colleges!AA101)</f>
        <v/>
      </c>
      <c r="H107" s="26" t="str">
        <f aca="false">IF(OR(B107="",NOT(ISNUMBER(DB_Colleges!AD101))),"",DB_Colleges!AD101)</f>
        <v/>
      </c>
      <c r="I107" s="29" t="n">
        <f aca="false">IF(B107="","",IF(COUNT(DB_Colleges!I101:O101)=0,IF(DB_Colleges!P101="Yes","Rolling","Check site"),MIN(DB_Colleges!I101:O101)))</f>
        <v>46327</v>
      </c>
      <c r="J107" s="26" t="str">
        <f aca="false">IF(OR(B107="",COUNT(DB_Colleges!I101:O101)=0),"",INDEX({"ED","ED II","EA","EA II","REA","RD","Priority"},MATCH(MIN(DB_Colleges!I101:O101),DB_Colleges!I101:O101,0)))</f>
        <v>REA</v>
      </c>
      <c r="K107" s="29" t="n">
        <f aca="false">IF(OR(B107="",NOT(ISNUMBER(DB_Colleges!N101))),"",DB_Colleges!N101)</f>
        <v>46388</v>
      </c>
      <c r="L107" s="26" t="str">
        <f aca="false">IF(B107="","",DB_Colleges!G101&amp;"")</f>
        <v>Common App; Coalition; QuestBridge</v>
      </c>
      <c r="M107" s="30" t="n">
        <f aca="false">IF(OR(B107="",NOT(ISNUMBER(DB_Colleges!S101))),"",DB_Colleges!S101)</f>
        <v>95</v>
      </c>
      <c r="N107" s="26" t="str">
        <f aca="false">IF(B107="","",DB_Colleges!U101&amp;"")</f>
        <v>Required</v>
      </c>
      <c r="O107" s="26" t="n">
        <f aca="false">IF(B107="","",IF(ISNUMBER(DB_Colleges!AH101),DB_Colleges!AH101,"Check"))</f>
        <v>5</v>
      </c>
      <c r="P107" s="26" t="str">
        <f aca="false">IF(B107="","",DB_Colleges!W101&amp;"")</f>
        <v/>
      </c>
      <c r="Q107" s="30" t="str">
        <f aca="false">IF(OR(B107="",NOT(ISNUMBER(DB_Colleges!AF101))),"",DB_Colleges!AF101)</f>
        <v/>
      </c>
      <c r="R107" s="28" t="n">
        <f aca="false">IF(OR(B107="",NOT(ISNUMBER(DB_Colleges!AG101))),"",DB_Colleges!AG101)</f>
        <v>0.98</v>
      </c>
      <c r="S107" s="26" t="str">
        <f aca="false">IF(B107="","",DB_Colleges!AK101&amp;"")</f>
        <v>Mixed</v>
      </c>
      <c r="T107" s="26" t="str">
        <f aca="false">IF(B107="","",DB_Colleges!AI101&amp;"")</f>
        <v>https://college.harvard.edu/admissions/apply/first-year-applicants</v>
      </c>
      <c r="U107" s="1" t="str">
        <f aca="false">IF(AND(ISNUMBER($X$4),ISNUMBER(DB_Colleges!Z101),ISNUMBER(DB_Colleges!AA101)),IF($X$4&gt;=DB_Colleges!AA101,1,IF($X$4&lt;DB_Colleges!Z101,-1,0)),"")</f>
        <v/>
      </c>
      <c r="V107" s="1" t="str">
        <f aca="false">IF(AND(ISNUMBER($Y$4),ISNUMBER(DB_Colleges!AD101)),IF($Y$4&gt;=DB_Colleges!AD101+0.15,1,IF($Y$4&lt;DB_Colleges!AD101-0.2,-1,0)),"")</f>
        <v/>
      </c>
      <c r="W107" s="1" t="n">
        <f aca="false">IF(COUNT(U107:V107)=0,0,MIN(U107:V107))</f>
        <v>0</v>
      </c>
    </row>
    <row r="108" customFormat="false" ht="15" hidden="false" customHeight="true" outlineLevel="0" collapsed="false">
      <c r="A108" s="26" t="str">
        <f aca="false">IF(B108="","",IF(COUNTIF('My Colleges'!$B$8:$B$27,B108)&gt;0,"On list",""))</f>
        <v/>
      </c>
      <c r="B108" s="27" t="str">
        <f aca="false">IF(DB_Colleges!A102="","",DB_Colleges!A102)</f>
        <v>Yale University</v>
      </c>
      <c r="C108" s="26" t="str">
        <f aca="false">IF(B108="","",DB_Colleges!B102)</f>
        <v>Ivy League</v>
      </c>
      <c r="D108" s="26" t="str">
        <f aca="false">IF(B108="","",DB_Colleges!C102&amp;", "&amp;DB_Colleges!D102)</f>
        <v>New Haven, CT</v>
      </c>
      <c r="E108" s="26" t="str">
        <f aca="false">IF(B108="","",IF(AND(NOT(ISNUMBER($X$4)),NOT(ISNUMBER($Y$4))),"Add scores",IF(NOT(ISNUMBER(DB_Colleges!Y102)),IF(OR(C108="Ivy League",C108="Highly Selective"),"Reach",IF(COUNT(U108:V108)=0,"No data",CHOOSE(W108+2,"Reach","Target","Likely"))),IF(DB_Colleges!Y102&lt;0.15,"Reach",IF(DB_Colleges!Y102&gt;=0.75,IF(W108&gt;=0,"Likely","Target"),IF(DB_Colleges!Y102&gt;=0.4,CHOOSE(W108+2,"Reach","Target","Likely"),IF(W108=1,"Target","Reach")))))))</f>
        <v>Reach</v>
      </c>
      <c r="F108" s="28" t="str">
        <f aca="false">IF(OR(B108="",NOT(ISNUMBER(DB_Colleges!Y102))),"",DB_Colleges!Y102)</f>
        <v/>
      </c>
      <c r="G108" s="26" t="str">
        <f aca="false">IF(OR(B108="",NOT(ISNUMBER(DB_Colleges!Z102))),"",DB_Colleges!Z102&amp;"-"&amp;DB_Colleges!AA102)</f>
        <v/>
      </c>
      <c r="H108" s="26" t="str">
        <f aca="false">IF(OR(B108="",NOT(ISNUMBER(DB_Colleges!AD102))),"",DB_Colleges!AD102)</f>
        <v/>
      </c>
      <c r="I108" s="29" t="n">
        <f aca="false">IF(B108="","",IF(COUNT(DB_Colleges!I102:O102)=0,IF(DB_Colleges!P102="Yes","Rolling","Check site"),MIN(DB_Colleges!I102:O102)))</f>
        <v>46327</v>
      </c>
      <c r="J108" s="26" t="str">
        <f aca="false">IF(OR(B108="",COUNT(DB_Colleges!I102:O102)=0),"",INDEX({"ED","ED II","EA","EA II","REA","RD","Priority"},MATCH(MIN(DB_Colleges!I102:O102),DB_Colleges!I102:O102,0)))</f>
        <v>REA</v>
      </c>
      <c r="K108" s="29" t="n">
        <f aca="false">IF(OR(B108="",NOT(ISNUMBER(DB_Colleges!N102))),"",DB_Colleges!N102)</f>
        <v>46389</v>
      </c>
      <c r="L108" s="26" t="str">
        <f aca="false">IF(B108="","",DB_Colleges!G102&amp;"")</f>
        <v>Common App; Coalition (Scoir); QuestBridge</v>
      </c>
      <c r="M108" s="30" t="n">
        <f aca="false">IF(OR(B108="",NOT(ISNUMBER(DB_Colleges!S102))),"",DB_Colleges!S102)</f>
        <v>80</v>
      </c>
      <c r="N108" s="26" t="str">
        <f aca="false">IF(B108="","",DB_Colleges!U102&amp;"")</f>
        <v>Required</v>
      </c>
      <c r="O108" s="26" t="n">
        <f aca="false">IF(B108="","",IF(ISNUMBER(DB_Colleges!AH102),DB_Colleges!AH102,"Check"))</f>
        <v>4</v>
      </c>
      <c r="P108" s="26" t="str">
        <f aca="false">IF(B108="","",DB_Colleges!W102&amp;"")</f>
        <v>Required for some</v>
      </c>
      <c r="Q108" s="30" t="str">
        <f aca="false">IF(OR(B108="",NOT(ISNUMBER(DB_Colleges!AF102))),"",DB_Colleges!AF102)</f>
        <v/>
      </c>
      <c r="R108" s="28" t="str">
        <f aca="false">IF(OR(B108="",NOT(ISNUMBER(DB_Colleges!AG102))),"",DB_Colleges!AG102)</f>
        <v/>
      </c>
      <c r="S108" s="26" t="str">
        <f aca="false">IF(B108="","",DB_Colleges!AK102&amp;"")</f>
        <v>Official 2026-27</v>
      </c>
      <c r="T108" s="26" t="str">
        <f aca="false">IF(B108="","",DB_Colleges!AI102&amp;"")</f>
        <v>https://admissions.yale.edu/apply</v>
      </c>
      <c r="U108" s="1" t="str">
        <f aca="false">IF(AND(ISNUMBER($X$4),ISNUMBER(DB_Colleges!Z102),ISNUMBER(DB_Colleges!AA102)),IF($X$4&gt;=DB_Colleges!AA102,1,IF($X$4&lt;DB_Colleges!Z102,-1,0)),"")</f>
        <v/>
      </c>
      <c r="V108" s="1" t="str">
        <f aca="false">IF(AND(ISNUMBER($Y$4),ISNUMBER(DB_Colleges!AD102)),IF($Y$4&gt;=DB_Colleges!AD102+0.15,1,IF($Y$4&lt;DB_Colleges!AD102-0.2,-1,0)),"")</f>
        <v/>
      </c>
      <c r="W108" s="1" t="n">
        <f aca="false">IF(COUNT(U108:V108)=0,0,MIN(U108:V108))</f>
        <v>0</v>
      </c>
    </row>
    <row r="109" customFormat="false" ht="15" hidden="false" customHeight="true" outlineLevel="0" collapsed="false">
      <c r="A109" s="26" t="str">
        <f aca="false">IF(B109="","",IF(COUNTIF('My Colleges'!$B$8:$B$27,B109)&gt;0,"On list",""))</f>
        <v/>
      </c>
      <c r="B109" s="27" t="str">
        <f aca="false">IF(DB_Colleges!A103="","",DB_Colleges!A103)</f>
        <v>Princeton University</v>
      </c>
      <c r="C109" s="26" t="str">
        <f aca="false">IF(B109="","",DB_Colleges!B103)</f>
        <v>Ivy League</v>
      </c>
      <c r="D109" s="26" t="str">
        <f aca="false">IF(B109="","",DB_Colleges!C103&amp;", "&amp;DB_Colleges!D103)</f>
        <v>Princeton, NJ</v>
      </c>
      <c r="E109" s="26" t="str">
        <f aca="false">IF(B109="","",IF(AND(NOT(ISNUMBER($X$4)),NOT(ISNUMBER($Y$4))),"Add scores",IF(NOT(ISNUMBER(DB_Colleges!Y103)),IF(OR(C109="Ivy League",C109="Highly Selective"),"Reach",IF(COUNT(U109:V109)=0,"No data",CHOOSE(W109+2,"Reach","Target","Likely"))),IF(DB_Colleges!Y103&lt;0.15,"Reach",IF(DB_Colleges!Y103&gt;=0.75,IF(W109&gt;=0,"Likely","Target"),IF(DB_Colleges!Y103&gt;=0.4,CHOOSE(W109+2,"Reach","Target","Likely"),IF(W109=1,"Target","Reach")))))))</f>
        <v>Reach</v>
      </c>
      <c r="F109" s="28" t="str">
        <f aca="false">IF(OR(B109="",NOT(ISNUMBER(DB_Colleges!Y103))),"",DB_Colleges!Y103)</f>
        <v/>
      </c>
      <c r="G109" s="26" t="str">
        <f aca="false">IF(OR(B109="",NOT(ISNUMBER(DB_Colleges!Z103))),"",DB_Colleges!Z103&amp;"-"&amp;DB_Colleges!AA103)</f>
        <v/>
      </c>
      <c r="H109" s="26" t="str">
        <f aca="false">IF(OR(B109="",NOT(ISNUMBER(DB_Colleges!AD103))),"",DB_Colleges!AD103)</f>
        <v/>
      </c>
      <c r="I109" s="29" t="n">
        <f aca="false">IF(B109="","",IF(COUNT(DB_Colleges!I103:O103)=0,IF(DB_Colleges!P103="Yes","Rolling","Check site"),MIN(DB_Colleges!I103:O103)))</f>
        <v>46327</v>
      </c>
      <c r="J109" s="26" t="str">
        <f aca="false">IF(OR(B109="",COUNT(DB_Colleges!I103:O103)=0),"",INDEX({"ED","ED II","EA","EA II","REA","RD","Priority"},MATCH(MIN(DB_Colleges!I103:O103),DB_Colleges!I103:O103,0)))</f>
        <v>REA</v>
      </c>
      <c r="K109" s="29" t="n">
        <f aca="false">IF(OR(B109="",NOT(ISNUMBER(DB_Colleges!N103))),"",DB_Colleges!N103)</f>
        <v>46388</v>
      </c>
      <c r="L109" s="26" t="str">
        <f aca="false">IF(B109="","",DB_Colleges!G103&amp;"")</f>
        <v>Common App; Coalition (Scoir); QuestBridge</v>
      </c>
      <c r="M109" s="30" t="str">
        <f aca="false">IF(OR(B109="",NOT(ISNUMBER(DB_Colleges!S103))),"",DB_Colleges!S103)</f>
        <v/>
      </c>
      <c r="N109" s="26" t="str">
        <f aca="false">IF(B109="","",DB_Colleges!U103&amp;"")</f>
        <v>Optional</v>
      </c>
      <c r="O109" s="26" t="n">
        <f aca="false">IF(B109="","",IF(ISNUMBER(DB_Colleges!AH103),DB_Colleges!AH103,"Check"))</f>
        <v>5</v>
      </c>
      <c r="P109" s="26" t="str">
        <f aca="false">IF(B109="","",DB_Colleges!W103&amp;"")</f>
        <v/>
      </c>
      <c r="Q109" s="30" t="str">
        <f aca="false">IF(OR(B109="",NOT(ISNUMBER(DB_Colleges!AF103))),"",DB_Colleges!AF103)</f>
        <v/>
      </c>
      <c r="R109" s="28" t="str">
        <f aca="false">IF(OR(B109="",NOT(ISNUMBER(DB_Colleges!AG103))),"",DB_Colleges!AG103)</f>
        <v/>
      </c>
      <c r="S109" s="26" t="str">
        <f aca="false">IF(B109="","",DB_Colleges!AK103&amp;"")</f>
        <v>Mixed</v>
      </c>
      <c r="T109" s="26" t="str">
        <f aca="false">IF(B109="","",DB_Colleges!AI103&amp;"")</f>
        <v>https://admission.princeton.edu/apply/application-checklist</v>
      </c>
      <c r="U109" s="1" t="str">
        <f aca="false">IF(AND(ISNUMBER($X$4),ISNUMBER(DB_Colleges!Z103),ISNUMBER(DB_Colleges!AA103)),IF($X$4&gt;=DB_Colleges!AA103,1,IF($X$4&lt;DB_Colleges!Z103,-1,0)),"")</f>
        <v/>
      </c>
      <c r="V109" s="1" t="str">
        <f aca="false">IF(AND(ISNUMBER($Y$4),ISNUMBER(DB_Colleges!AD103)),IF($Y$4&gt;=DB_Colleges!AD103+0.15,1,IF($Y$4&lt;DB_Colleges!AD103-0.2,-1,0)),"")</f>
        <v/>
      </c>
      <c r="W109" s="1" t="n">
        <f aca="false">IF(COUNT(U109:V109)=0,0,MIN(U109:V109))</f>
        <v>0</v>
      </c>
    </row>
    <row r="110" customFormat="false" ht="15" hidden="false" customHeight="true" outlineLevel="0" collapsed="false">
      <c r="A110" s="26" t="str">
        <f aca="false">IF(B110="","",IF(COUNTIF('My Colleges'!$B$8:$B$27,B110)&gt;0,"On list",""))</f>
        <v/>
      </c>
      <c r="B110" s="27" t="str">
        <f aca="false">IF(DB_Colleges!A104="","",DB_Colleges!A104)</f>
        <v>Columbia University</v>
      </c>
      <c r="C110" s="26" t="str">
        <f aca="false">IF(B110="","",DB_Colleges!B104)</f>
        <v>Ivy League</v>
      </c>
      <c r="D110" s="26" t="str">
        <f aca="false">IF(B110="","",DB_Colleges!C104&amp;", "&amp;DB_Colleges!D104)</f>
        <v>New York, NY</v>
      </c>
      <c r="E110" s="26" t="str">
        <f aca="false">IF(B110="","",IF(AND(NOT(ISNUMBER($X$4)),NOT(ISNUMBER($Y$4))),"Add scores",IF(NOT(ISNUMBER(DB_Colleges!Y104)),IF(OR(C110="Ivy League",C110="Highly Selective"),"Reach",IF(COUNT(U110:V110)=0,"No data",CHOOSE(W110+2,"Reach","Target","Likely"))),IF(DB_Colleges!Y104&lt;0.15,"Reach",IF(DB_Colleges!Y104&gt;=0.75,IF(W110&gt;=0,"Likely","Target"),IF(DB_Colleges!Y104&gt;=0.4,CHOOSE(W110+2,"Reach","Target","Likely"),IF(W110=1,"Target","Reach")))))))</f>
        <v>Reach</v>
      </c>
      <c r="F110" s="28" t="str">
        <f aca="false">IF(OR(B110="",NOT(ISNUMBER(DB_Colleges!Y104))),"",DB_Colleges!Y104)</f>
        <v/>
      </c>
      <c r="G110" s="26" t="str">
        <f aca="false">IF(OR(B110="",NOT(ISNUMBER(DB_Colleges!Z104))),"",DB_Colleges!Z104&amp;"-"&amp;DB_Colleges!AA104)</f>
        <v/>
      </c>
      <c r="H110" s="26" t="str">
        <f aca="false">IF(OR(B110="",NOT(ISNUMBER(DB_Colleges!AD104))),"",DB_Colleges!AD104)</f>
        <v/>
      </c>
      <c r="I110" s="29" t="n">
        <f aca="false">IF(B110="","",IF(COUNT(DB_Colleges!I104:O104)=0,IF(DB_Colleges!P104="Yes","Rolling","Check site"),MIN(DB_Colleges!I104:O104)))</f>
        <v>46327</v>
      </c>
      <c r="J110" s="26" t="str">
        <f aca="false">IF(OR(B110="",COUNT(DB_Colleges!I104:O104)=0),"",INDEX({"ED","ED II","EA","EA II","REA","RD","Priority"},MATCH(MIN(DB_Colleges!I104:O104),DB_Colleges!I104:O104,0)))</f>
        <v>ED</v>
      </c>
      <c r="K110" s="29" t="n">
        <f aca="false">IF(OR(B110="",NOT(ISNUMBER(DB_Colleges!N104))),"",DB_Colleges!N104)</f>
        <v>46388</v>
      </c>
      <c r="L110" s="26" t="str">
        <f aca="false">IF(B110="","",DB_Colleges!G104&amp;"")</f>
        <v>Common App; Coalition (Scoir); QuestBridge</v>
      </c>
      <c r="M110" s="30" t="n">
        <f aca="false">IF(OR(B110="",NOT(ISNUMBER(DB_Colleges!S104))),"",DB_Colleges!S104)</f>
        <v>85</v>
      </c>
      <c r="N110" s="26" t="str">
        <f aca="false">IF(B110="","",DB_Colleges!U104&amp;"")</f>
        <v>Optional</v>
      </c>
      <c r="O110" s="26" t="n">
        <f aca="false">IF(B110="","",IF(ISNUMBER(DB_Colleges!AH104),DB_Colleges!AH104,"Check"))</f>
        <v>5</v>
      </c>
      <c r="P110" s="26" t="str">
        <f aca="false">IF(B110="","",DB_Colleges!W104&amp;"")</f>
        <v/>
      </c>
      <c r="Q110" s="30" t="str">
        <f aca="false">IF(OR(B110="",NOT(ISNUMBER(DB_Colleges!AF104))),"",DB_Colleges!AF104)</f>
        <v/>
      </c>
      <c r="R110" s="28" t="str">
        <f aca="false">IF(OR(B110="",NOT(ISNUMBER(DB_Colleges!AG104))),"",DB_Colleges!AG104)</f>
        <v/>
      </c>
      <c r="S110" s="26" t="str">
        <f aca="false">IF(B110="","",DB_Colleges!AK104&amp;"")</f>
        <v>Mixed</v>
      </c>
      <c r="T110" s="26" t="str">
        <f aca="false">IF(B110="","",DB_Colleges!AI104&amp;"")</f>
        <v>https://undergrad.admissions.columbia.edu/apply/firstyear</v>
      </c>
      <c r="U110" s="1" t="str">
        <f aca="false">IF(AND(ISNUMBER($X$4),ISNUMBER(DB_Colleges!Z104),ISNUMBER(DB_Colleges!AA104)),IF($X$4&gt;=DB_Colleges!AA104,1,IF($X$4&lt;DB_Colleges!Z104,-1,0)),"")</f>
        <v/>
      </c>
      <c r="V110" s="1" t="str">
        <f aca="false">IF(AND(ISNUMBER($Y$4),ISNUMBER(DB_Colleges!AD104)),IF($Y$4&gt;=DB_Colleges!AD104+0.15,1,IF($Y$4&lt;DB_Colleges!AD104-0.2,-1,0)),"")</f>
        <v/>
      </c>
      <c r="W110" s="1" t="n">
        <f aca="false">IF(COUNT(U110:V110)=0,0,MIN(U110:V110))</f>
        <v>0</v>
      </c>
    </row>
    <row r="111" customFormat="false" ht="15" hidden="false" customHeight="true" outlineLevel="0" collapsed="false">
      <c r="A111" s="26" t="str">
        <f aca="false">IF(B111="","",IF(COUNTIF('My Colleges'!$B$8:$B$27,B111)&gt;0,"On list",""))</f>
        <v/>
      </c>
      <c r="B111" s="27" t="str">
        <f aca="false">IF(DB_Colleges!A105="","",DB_Colleges!A105)</f>
        <v>University of Pennsylvania</v>
      </c>
      <c r="C111" s="26" t="str">
        <f aca="false">IF(B111="","",DB_Colleges!B105)</f>
        <v>Ivy League</v>
      </c>
      <c r="D111" s="26" t="str">
        <f aca="false">IF(B111="","",DB_Colleges!C105&amp;", "&amp;DB_Colleges!D105)</f>
        <v>Philadelphia, PA</v>
      </c>
      <c r="E111" s="26" t="str">
        <f aca="false">IF(B111="","",IF(AND(NOT(ISNUMBER($X$4)),NOT(ISNUMBER($Y$4))),"Add scores",IF(NOT(ISNUMBER(DB_Colleges!Y105)),IF(OR(C111="Ivy League",C111="Highly Selective"),"Reach",IF(COUNT(U111:V111)=0,"No data",CHOOSE(W111+2,"Reach","Target","Likely"))),IF(DB_Colleges!Y105&lt;0.15,"Reach",IF(DB_Colleges!Y105&gt;=0.75,IF(W111&gt;=0,"Likely","Target"),IF(DB_Colleges!Y105&gt;=0.4,CHOOSE(W111+2,"Reach","Target","Likely"),IF(W111=1,"Target","Reach")))))))</f>
        <v>Reach</v>
      </c>
      <c r="F111" s="28" t="str">
        <f aca="false">IF(OR(B111="",NOT(ISNUMBER(DB_Colleges!Y105))),"",DB_Colleges!Y105)</f>
        <v/>
      </c>
      <c r="G111" s="26" t="str">
        <f aca="false">IF(OR(B111="",NOT(ISNUMBER(DB_Colleges!Z105))),"",DB_Colleges!Z105&amp;"-"&amp;DB_Colleges!AA105)</f>
        <v/>
      </c>
      <c r="H111" s="26" t="str">
        <f aca="false">IF(OR(B111="",NOT(ISNUMBER(DB_Colleges!AD105))),"",DB_Colleges!AD105)</f>
        <v/>
      </c>
      <c r="I111" s="29" t="n">
        <f aca="false">IF(B111="","",IF(COUNT(DB_Colleges!I105:O105)=0,IF(DB_Colleges!P105="Yes","Rolling","Check site"),MIN(DB_Colleges!I105:O105)))</f>
        <v>46327</v>
      </c>
      <c r="J111" s="26" t="str">
        <f aca="false">IF(OR(B111="",COUNT(DB_Colleges!I105:O105)=0),"",INDEX({"ED","ED II","EA","EA II","REA","RD","Priority"},MATCH(MIN(DB_Colleges!I105:O105),DB_Colleges!I105:O105,0)))</f>
        <v>ED</v>
      </c>
      <c r="K111" s="29" t="n">
        <f aca="false">IF(OR(B111="",NOT(ISNUMBER(DB_Colleges!N105))),"",DB_Colleges!N105)</f>
        <v>46392</v>
      </c>
      <c r="L111" s="26" t="str">
        <f aca="false">IF(B111="","",DB_Colleges!G105&amp;"")</f>
        <v>Common App; Coalition (Scoir); QuestBridge</v>
      </c>
      <c r="M111" s="30" t="n">
        <f aca="false">IF(OR(B111="",NOT(ISNUMBER(DB_Colleges!S105))),"",DB_Colleges!S105)</f>
        <v>75</v>
      </c>
      <c r="N111" s="26" t="str">
        <f aca="false">IF(B111="","",DB_Colleges!U105&amp;"")</f>
        <v>Required</v>
      </c>
      <c r="O111" s="26" t="n">
        <f aca="false">IF(B111="","",IF(ISNUMBER(DB_Colleges!AH105),DB_Colleges!AH105,"Check"))</f>
        <v>5</v>
      </c>
      <c r="P111" s="26" t="str">
        <f aca="false">IF(B111="","",DB_Colleges!W105&amp;"")</f>
        <v>Required</v>
      </c>
      <c r="Q111" s="30" t="str">
        <f aca="false">IF(OR(B111="",NOT(ISNUMBER(DB_Colleges!AF105))),"",DB_Colleges!AF105)</f>
        <v/>
      </c>
      <c r="R111" s="28" t="str">
        <f aca="false">IF(OR(B111="",NOT(ISNUMBER(DB_Colleges!AG105))),"",DB_Colleges!AG105)</f>
        <v/>
      </c>
      <c r="S111" s="26" t="str">
        <f aca="false">IF(B111="","",DB_Colleges!AK105&amp;"")</f>
        <v>Official 2026-27</v>
      </c>
      <c r="T111" s="26" t="str">
        <f aca="false">IF(B111="","",DB_Colleges!AI105&amp;"")</f>
        <v>https://admissions.upenn.edu/how-to-apply/first-year-applicants/application-requirements</v>
      </c>
      <c r="U111" s="1" t="str">
        <f aca="false">IF(AND(ISNUMBER($X$4),ISNUMBER(DB_Colleges!Z105),ISNUMBER(DB_Colleges!AA105)),IF($X$4&gt;=DB_Colleges!AA105,1,IF($X$4&lt;DB_Colleges!Z105,-1,0)),"")</f>
        <v/>
      </c>
      <c r="V111" s="1" t="str">
        <f aca="false">IF(AND(ISNUMBER($Y$4),ISNUMBER(DB_Colleges!AD105)),IF($Y$4&gt;=DB_Colleges!AD105+0.15,1,IF($Y$4&lt;DB_Colleges!AD105-0.2,-1,0)),"")</f>
        <v/>
      </c>
      <c r="W111" s="1" t="n">
        <f aca="false">IF(COUNT(U111:V111)=0,0,MIN(U111:V111))</f>
        <v>0</v>
      </c>
    </row>
    <row r="112" customFormat="false" ht="15" hidden="false" customHeight="true" outlineLevel="0" collapsed="false">
      <c r="A112" s="26" t="str">
        <f aca="false">IF(B112="","",IF(COUNTIF('My Colleges'!$B$8:$B$27,B112)&gt;0,"On list",""))</f>
        <v/>
      </c>
      <c r="B112" s="27" t="str">
        <f aca="false">IF(DB_Colleges!A106="","",DB_Colleges!A106)</f>
        <v>Brown University</v>
      </c>
      <c r="C112" s="26" t="str">
        <f aca="false">IF(B112="","",DB_Colleges!B106)</f>
        <v>Ivy League</v>
      </c>
      <c r="D112" s="26" t="str">
        <f aca="false">IF(B112="","",DB_Colleges!C106&amp;", "&amp;DB_Colleges!D106)</f>
        <v>Providence, RI</v>
      </c>
      <c r="E112" s="26" t="str">
        <f aca="false">IF(B112="","",IF(AND(NOT(ISNUMBER($X$4)),NOT(ISNUMBER($Y$4))),"Add scores",IF(NOT(ISNUMBER(DB_Colleges!Y106)),IF(OR(C112="Ivy League",C112="Highly Selective"),"Reach",IF(COUNT(U112:V112)=0,"No data",CHOOSE(W112+2,"Reach","Target","Likely"))),IF(DB_Colleges!Y106&lt;0.15,"Reach",IF(DB_Colleges!Y106&gt;=0.75,IF(W112&gt;=0,"Likely","Target"),IF(DB_Colleges!Y106&gt;=0.4,CHOOSE(W112+2,"Reach","Target","Likely"),IF(W112=1,"Target","Reach")))))))</f>
        <v>Reach</v>
      </c>
      <c r="F112" s="28" t="str">
        <f aca="false">IF(OR(B112="",NOT(ISNUMBER(DB_Colleges!Y106))),"",DB_Colleges!Y106)</f>
        <v/>
      </c>
      <c r="G112" s="26" t="str">
        <f aca="false">IF(OR(B112="",NOT(ISNUMBER(DB_Colleges!Z106))),"",DB_Colleges!Z106&amp;"-"&amp;DB_Colleges!AA106)</f>
        <v/>
      </c>
      <c r="H112" s="26" t="str">
        <f aca="false">IF(OR(B112="",NOT(ISNUMBER(DB_Colleges!AD106))),"",DB_Colleges!AD106)</f>
        <v/>
      </c>
      <c r="I112" s="29" t="n">
        <f aca="false">IF(B112="","",IF(COUNT(DB_Colleges!I106:O106)=0,IF(DB_Colleges!P106="Yes","Rolling","Check site"),MIN(DB_Colleges!I106:O106)))</f>
        <v>46327</v>
      </c>
      <c r="J112" s="26" t="str">
        <f aca="false">IF(OR(B112="",COUNT(DB_Colleges!I106:O106)=0),"",INDEX({"ED","ED II","EA","EA II","REA","RD","Priority"},MATCH(MIN(DB_Colleges!I106:O106),DB_Colleges!I106:O106,0)))</f>
        <v>ED</v>
      </c>
      <c r="K112" s="29" t="n">
        <f aca="false">IF(OR(B112="",NOT(ISNUMBER(DB_Colleges!N106))),"",DB_Colleges!N106)</f>
        <v>46392</v>
      </c>
      <c r="L112" s="26" t="str">
        <f aca="false">IF(B112="","",DB_Colleges!G106&amp;"")</f>
        <v>Common App; Coalition (Scoir); QuestBridge</v>
      </c>
      <c r="M112" s="30" t="n">
        <f aca="false">IF(OR(B112="",NOT(ISNUMBER(DB_Colleges!S106))),"",DB_Colleges!S106)</f>
        <v>80</v>
      </c>
      <c r="N112" s="26" t="str">
        <f aca="false">IF(B112="","",DB_Colleges!U106&amp;"")</f>
        <v>Required</v>
      </c>
      <c r="O112" s="26" t="n">
        <f aca="false">IF(B112="","",IF(ISNUMBER(DB_Colleges!AH106),DB_Colleges!AH106,"Check"))</f>
        <v>4</v>
      </c>
      <c r="P112" s="26" t="str">
        <f aca="false">IF(B112="","",DB_Colleges!W106&amp;"")</f>
        <v/>
      </c>
      <c r="Q112" s="30" t="str">
        <f aca="false">IF(OR(B112="",NOT(ISNUMBER(DB_Colleges!AF106))),"",DB_Colleges!AF106)</f>
        <v/>
      </c>
      <c r="R112" s="28" t="str">
        <f aca="false">IF(OR(B112="",NOT(ISNUMBER(DB_Colleges!AG106))),"",DB_Colleges!AG106)</f>
        <v/>
      </c>
      <c r="S112" s="26" t="str">
        <f aca="false">IF(B112="","",DB_Colleges!AK106&amp;"")</f>
        <v>Mixed</v>
      </c>
      <c r="T112" s="26" t="str">
        <f aca="false">IF(B112="","",DB_Colleges!AI106&amp;"")</f>
        <v>https://admission.brown.edu/first-year/application-checklist</v>
      </c>
      <c r="U112" s="1" t="str">
        <f aca="false">IF(AND(ISNUMBER($X$4),ISNUMBER(DB_Colleges!Z106),ISNUMBER(DB_Colleges!AA106)),IF($X$4&gt;=DB_Colleges!AA106,1,IF($X$4&lt;DB_Colleges!Z106,-1,0)),"")</f>
        <v/>
      </c>
      <c r="V112" s="1" t="str">
        <f aca="false">IF(AND(ISNUMBER($Y$4),ISNUMBER(DB_Colleges!AD106)),IF($Y$4&gt;=DB_Colleges!AD106+0.15,1,IF($Y$4&lt;DB_Colleges!AD106-0.2,-1,0)),"")</f>
        <v/>
      </c>
      <c r="W112" s="1" t="n">
        <f aca="false">IF(COUNT(U112:V112)=0,0,MIN(U112:V112))</f>
        <v>0</v>
      </c>
    </row>
    <row r="113" customFormat="false" ht="15" hidden="false" customHeight="true" outlineLevel="0" collapsed="false">
      <c r="A113" s="26" t="str">
        <f aca="false">IF(B113="","",IF(COUNTIF('My Colleges'!$B$8:$B$27,B113)&gt;0,"On list",""))</f>
        <v/>
      </c>
      <c r="B113" s="27" t="str">
        <f aca="false">IF(DB_Colleges!A107="","",DB_Colleges!A107)</f>
        <v>Dartmouth College</v>
      </c>
      <c r="C113" s="26" t="str">
        <f aca="false">IF(B113="","",DB_Colleges!B107)</f>
        <v>Ivy League</v>
      </c>
      <c r="D113" s="26" t="str">
        <f aca="false">IF(B113="","",DB_Colleges!C107&amp;", "&amp;DB_Colleges!D107)</f>
        <v>Hanover, NH</v>
      </c>
      <c r="E113" s="26" t="str">
        <f aca="false">IF(B113="","",IF(AND(NOT(ISNUMBER($X$4)),NOT(ISNUMBER($Y$4))),"Add scores",IF(NOT(ISNUMBER(DB_Colleges!Y107)),IF(OR(C113="Ivy League",C113="Highly Selective"),"Reach",IF(COUNT(U113:V113)=0,"No data",CHOOSE(W113+2,"Reach","Target","Likely"))),IF(DB_Colleges!Y107&lt;0.15,"Reach",IF(DB_Colleges!Y107&gt;=0.75,IF(W113&gt;=0,"Likely","Target"),IF(DB_Colleges!Y107&gt;=0.4,CHOOSE(W113+2,"Reach","Target","Likely"),IF(W113=1,"Target","Reach")))))))</f>
        <v>Reach</v>
      </c>
      <c r="F113" s="28" t="n">
        <f aca="false">IF(OR(B113="",NOT(ISNUMBER(DB_Colleges!Y107))),"",DB_Colleges!Y107)</f>
        <v>0.054</v>
      </c>
      <c r="G113" s="26" t="str">
        <f aca="false">IF(OR(B113="",NOT(ISNUMBER(DB_Colleges!Z107))),"",DB_Colleges!Z107&amp;"-"&amp;DB_Colleges!AA107)</f>
        <v>1500-1570</v>
      </c>
      <c r="H113" s="26" t="str">
        <f aca="false">IF(OR(B113="",NOT(ISNUMBER(DB_Colleges!AD107))),"",DB_Colleges!AD107)</f>
        <v/>
      </c>
      <c r="I113" s="29" t="n">
        <f aca="false">IF(B113="","",IF(COUNT(DB_Colleges!I107:O107)=0,IF(DB_Colleges!P107="Yes","Rolling","Check site"),MIN(DB_Colleges!I107:O107)))</f>
        <v>46327</v>
      </c>
      <c r="J113" s="26" t="str">
        <f aca="false">IF(OR(B113="",COUNT(DB_Colleges!I107:O107)=0),"",INDEX({"ED","ED II","EA","EA II","REA","RD","Priority"},MATCH(MIN(DB_Colleges!I107:O107),DB_Colleges!I107:O107,0)))</f>
        <v>ED</v>
      </c>
      <c r="K113" s="29" t="n">
        <f aca="false">IF(OR(B113="",NOT(ISNUMBER(DB_Colleges!N107))),"",DB_Colleges!N107)</f>
        <v>46388</v>
      </c>
      <c r="L113" s="26" t="str">
        <f aca="false">IF(B113="","",DB_Colleges!G107&amp;"")</f>
        <v>Common App; QuestBridge</v>
      </c>
      <c r="M113" s="30" t="n">
        <f aca="false">IF(OR(B113="",NOT(ISNUMBER(DB_Colleges!S107))),"",DB_Colleges!S107)</f>
        <v>80</v>
      </c>
      <c r="N113" s="26" t="str">
        <f aca="false">IF(B113="","",DB_Colleges!U107&amp;"")</f>
        <v>Required</v>
      </c>
      <c r="O113" s="26" t="n">
        <f aca="false">IF(B113="","",IF(ISNUMBER(DB_Colleges!AH107),DB_Colleges!AH107,"Check"))</f>
        <v>3</v>
      </c>
      <c r="P113" s="26" t="str">
        <f aca="false">IF(B113="","",DB_Colleges!W107&amp;"")</f>
        <v>Required</v>
      </c>
      <c r="Q113" s="30" t="n">
        <f aca="false">IF(OR(B113="",NOT(ISNUMBER(DB_Colleges!AF107))),"",DB_Colleges!AF107)</f>
        <v>45</v>
      </c>
      <c r="R113" s="28" t="n">
        <f aca="false">IF(OR(B113="",NOT(ISNUMBER(DB_Colleges!AG107))),"",DB_Colleges!AG107)</f>
        <v>0.95</v>
      </c>
      <c r="S113" s="26" t="str">
        <f aca="false">IF(B113="","",DB_Colleges!AK107&amp;"")</f>
        <v>Mixed</v>
      </c>
      <c r="T113" s="26" t="str">
        <f aca="false">IF(B113="","",DB_Colleges!AI107&amp;"")</f>
        <v>https://admissions.dartmouth.edu/apply-dartmouth</v>
      </c>
      <c r="U113" s="1" t="n">
        <f aca="false">IF(AND(ISNUMBER($X$4),ISNUMBER(DB_Colleges!Z107),ISNUMBER(DB_Colleges!AA107)),IF($X$4&gt;=DB_Colleges!AA107,1,IF($X$4&lt;DB_Colleges!Z107,-1,0)),"")</f>
        <v>-1</v>
      </c>
      <c r="V113" s="1" t="str">
        <f aca="false">IF(AND(ISNUMBER($Y$4),ISNUMBER(DB_Colleges!AD107)),IF($Y$4&gt;=DB_Colleges!AD107+0.15,1,IF($Y$4&lt;DB_Colleges!AD107-0.2,-1,0)),"")</f>
        <v/>
      </c>
      <c r="W113" s="1" t="n">
        <f aca="false">IF(COUNT(U113:V113)=0,0,MIN(U113:V113))</f>
        <v>-1</v>
      </c>
    </row>
    <row r="114" customFormat="false" ht="15" hidden="false" customHeight="true" outlineLevel="0" collapsed="false">
      <c r="A114" s="26" t="str">
        <f aca="false">IF(B114="","",IF(COUNTIF('My Colleges'!$B$8:$B$27,B114)&gt;0,"On list",""))</f>
        <v/>
      </c>
      <c r="B114" s="27" t="str">
        <f aca="false">IF(DB_Colleges!A108="","",DB_Colleges!A108)</f>
        <v>Cornell University</v>
      </c>
      <c r="C114" s="26" t="str">
        <f aca="false">IF(B114="","",DB_Colleges!B108)</f>
        <v>Ivy League</v>
      </c>
      <c r="D114" s="26" t="str">
        <f aca="false">IF(B114="","",DB_Colleges!C108&amp;", "&amp;DB_Colleges!D108)</f>
        <v>Ithaca, NY</v>
      </c>
      <c r="E114" s="26" t="str">
        <f aca="false">IF(B114="","",IF(AND(NOT(ISNUMBER($X$4)),NOT(ISNUMBER($Y$4))),"Add scores",IF(NOT(ISNUMBER(DB_Colleges!Y108)),IF(OR(C114="Ivy League",C114="Highly Selective"),"Reach",IF(COUNT(U114:V114)=0,"No data",CHOOSE(W114+2,"Reach","Target","Likely"))),IF(DB_Colleges!Y108&lt;0.15,"Reach",IF(DB_Colleges!Y108&gt;=0.75,IF(W114&gt;=0,"Likely","Target"),IF(DB_Colleges!Y108&gt;=0.4,CHOOSE(W114+2,"Reach","Target","Likely"),IF(W114=1,"Target","Reach")))))))</f>
        <v>Reach</v>
      </c>
      <c r="F114" s="28" t="n">
        <f aca="false">IF(OR(B114="",NOT(ISNUMBER(DB_Colleges!Y108))),"",DB_Colleges!Y108)</f>
        <v>0.088</v>
      </c>
      <c r="G114" s="26" t="str">
        <f aca="false">IF(OR(B114="",NOT(ISNUMBER(DB_Colleges!Z108))),"",DB_Colleges!Z108&amp;"-"&amp;DB_Colleges!AA108)</f>
        <v>1500-1570</v>
      </c>
      <c r="H114" s="26" t="str">
        <f aca="false">IF(OR(B114="",NOT(ISNUMBER(DB_Colleges!AD108))),"",DB_Colleges!AD108)</f>
        <v/>
      </c>
      <c r="I114" s="29" t="n">
        <f aca="false">IF(B114="","",IF(COUNT(DB_Colleges!I108:O108)=0,IF(DB_Colleges!P108="Yes","Rolling","Check site"),MIN(DB_Colleges!I108:O108)))</f>
        <v>46327</v>
      </c>
      <c r="J114" s="26" t="str">
        <f aca="false">IF(OR(B114="",COUNT(DB_Colleges!I108:O108)=0),"",INDEX({"ED","ED II","EA","EA II","REA","RD","Priority"},MATCH(MIN(DB_Colleges!I108:O108),DB_Colleges!I108:O108,0)))</f>
        <v>ED</v>
      </c>
      <c r="K114" s="29" t="n">
        <f aca="false">IF(OR(B114="",NOT(ISNUMBER(DB_Colleges!N108))),"",DB_Colleges!N108)</f>
        <v>46389</v>
      </c>
      <c r="L114" s="26" t="str">
        <f aca="false">IF(B114="","",DB_Colleges!G108&amp;"")</f>
        <v>Common App; QuestBridge</v>
      </c>
      <c r="M114" s="30" t="n">
        <f aca="false">IF(OR(B114="",NOT(ISNUMBER(DB_Colleges!S108))),"",DB_Colleges!S108)</f>
        <v>85</v>
      </c>
      <c r="N114" s="26" t="str">
        <f aca="false">IF(B114="","",DB_Colleges!U108&amp;"")</f>
        <v>Required</v>
      </c>
      <c r="O114" s="26" t="n">
        <f aca="false">IF(B114="","",IF(ISNUMBER(DB_Colleges!AH108),DB_Colleges!AH108,"Check"))</f>
        <v>2</v>
      </c>
      <c r="P114" s="26" t="str">
        <f aca="false">IF(B114="","",DB_Colleges!W108&amp;"")</f>
        <v>Required for some</v>
      </c>
      <c r="Q114" s="30" t="n">
        <f aca="false">IF(OR(B114="",NOT(ISNUMBER(DB_Colleges!AF108))),"",DB_Colleges!AF108)</f>
        <v>1986</v>
      </c>
      <c r="R114" s="28" t="n">
        <f aca="false">IF(OR(B114="",NOT(ISNUMBER(DB_Colleges!AG108))),"",DB_Colleges!AG108)</f>
        <v>0.93</v>
      </c>
      <c r="S114" s="26" t="str">
        <f aca="false">IF(B114="","",DB_Colleges!AK108&amp;"")</f>
        <v>Mixed</v>
      </c>
      <c r="T114" s="26" t="str">
        <f aca="false">IF(B114="","",DB_Colleges!AI108&amp;"")</f>
        <v>https://admissions.cornell.edu/how-to-apply/first-year-applicants</v>
      </c>
      <c r="U114" s="1" t="n">
        <f aca="false">IF(AND(ISNUMBER($X$4),ISNUMBER(DB_Colleges!Z108),ISNUMBER(DB_Colleges!AA108)),IF($X$4&gt;=DB_Colleges!AA108,1,IF($X$4&lt;DB_Colleges!Z108,-1,0)),"")</f>
        <v>-1</v>
      </c>
      <c r="V114" s="1" t="str">
        <f aca="false">IF(AND(ISNUMBER($Y$4),ISNUMBER(DB_Colleges!AD108)),IF($Y$4&gt;=DB_Colleges!AD108+0.15,1,IF($Y$4&lt;DB_Colleges!AD108-0.2,-1,0)),"")</f>
        <v/>
      </c>
      <c r="W114" s="1" t="n">
        <f aca="false">IF(COUNT(U114:V114)=0,0,MIN(U114:V114))</f>
        <v>-1</v>
      </c>
    </row>
    <row r="115" customFormat="false" ht="15" hidden="false" customHeight="true" outlineLevel="0" collapsed="false">
      <c r="A115" s="26" t="str">
        <f aca="false">IF(B115="","",IF(COUNTIF('My Colleges'!$B$8:$B$27,B115)&gt;0,"On list",""))</f>
        <v/>
      </c>
      <c r="B115" s="27" t="str">
        <f aca="false">IF(DB_Colleges!A109="","",DB_Colleges!A109)</f>
        <v>Stanford University</v>
      </c>
      <c r="C115" s="26" t="str">
        <f aca="false">IF(B115="","",DB_Colleges!B109)</f>
        <v>Highly Selective</v>
      </c>
      <c r="D115" s="26" t="str">
        <f aca="false">IF(B115="","",DB_Colleges!C109&amp;", "&amp;DB_Colleges!D109)</f>
        <v>Stanford, CA</v>
      </c>
      <c r="E115" s="26" t="str">
        <f aca="false">IF(B115="","",IF(AND(NOT(ISNUMBER($X$4)),NOT(ISNUMBER($Y$4))),"Add scores",IF(NOT(ISNUMBER(DB_Colleges!Y109)),IF(OR(C115="Ivy League",C115="Highly Selective"),"Reach",IF(COUNT(U115:V115)=0,"No data",CHOOSE(W115+2,"Reach","Target","Likely"))),IF(DB_Colleges!Y109&lt;0.15,"Reach",IF(DB_Colleges!Y109&gt;=0.75,IF(W115&gt;=0,"Likely","Target"),IF(DB_Colleges!Y109&gt;=0.4,CHOOSE(W115+2,"Reach","Target","Likely"),IF(W115=1,"Target","Reach")))))))</f>
        <v>Reach</v>
      </c>
      <c r="F115" s="28" t="n">
        <f aca="false">IF(OR(B115="",NOT(ISNUMBER(DB_Colleges!Y109))),"",DB_Colleges!Y109)</f>
        <v>0.036</v>
      </c>
      <c r="G115" s="26" t="str">
        <f aca="false">IF(OR(B115="",NOT(ISNUMBER(DB_Colleges!Z109))),"",DB_Colleges!Z109&amp;"-"&amp;DB_Colleges!AA109)</f>
        <v>1510-1580</v>
      </c>
      <c r="H115" s="26" t="str">
        <f aca="false">IF(OR(B115="",NOT(ISNUMBER(DB_Colleges!AD109))),"",DB_Colleges!AD109)</f>
        <v/>
      </c>
      <c r="I115" s="29" t="n">
        <f aca="false">IF(B115="","",IF(COUNT(DB_Colleges!I109:O109)=0,IF(DB_Colleges!P109="Yes","Rolling","Check site"),MIN(DB_Colleges!I109:O109)))</f>
        <v>46310</v>
      </c>
      <c r="J115" s="26" t="str">
        <f aca="false">IF(OR(B115="",COUNT(DB_Colleges!I109:O109)=0),"",INDEX({"ED","ED II","EA","EA II","REA","RD","Priority"},MATCH(MIN(DB_Colleges!I109:O109),DB_Colleges!I109:O109,0)))</f>
        <v>REA</v>
      </c>
      <c r="K115" s="29" t="n">
        <f aca="false">IF(OR(B115="",NOT(ISNUMBER(DB_Colleges!N109))),"",DB_Colleges!N109)</f>
        <v>46392</v>
      </c>
      <c r="L115" s="26" t="str">
        <f aca="false">IF(B115="","",DB_Colleges!G109&amp;"")</f>
        <v>Common App; QuestBridge</v>
      </c>
      <c r="M115" s="30" t="n">
        <f aca="false">IF(OR(B115="",NOT(ISNUMBER(DB_Colleges!S109))),"",DB_Colleges!S109)</f>
        <v>100</v>
      </c>
      <c r="N115" s="26" t="str">
        <f aca="false">IF(B115="","",DB_Colleges!U109&amp;"")</f>
        <v>Required</v>
      </c>
      <c r="O115" s="26" t="n">
        <f aca="false">IF(B115="","",IF(ISNUMBER(DB_Colleges!AH109),DB_Colleges!AH109,"Check"))</f>
        <v>4</v>
      </c>
      <c r="P115" s="26" t="str">
        <f aca="false">IF(B115="","",DB_Colleges!W109&amp;"")</f>
        <v/>
      </c>
      <c r="Q115" s="30" t="n">
        <f aca="false">IF(OR(B115="",NOT(ISNUMBER(DB_Colleges!AF109))),"",DB_Colleges!AF109)</f>
        <v>0</v>
      </c>
      <c r="R115" s="28" t="n">
        <f aca="false">IF(OR(B115="",NOT(ISNUMBER(DB_Colleges!AG109))),"",DB_Colleges!AG109)</f>
        <v>0.96</v>
      </c>
      <c r="S115" s="26" t="str">
        <f aca="false">IF(B115="","",DB_Colleges!AK109&amp;"")</f>
        <v>Mixed</v>
      </c>
      <c r="T115" s="26" t="str">
        <f aca="false">IF(B115="","",DB_Colleges!AI109&amp;"")</f>
        <v>https://admission.stanford.edu/apply/first-year/index.html</v>
      </c>
      <c r="U115" s="1" t="n">
        <f aca="false">IF(AND(ISNUMBER($X$4),ISNUMBER(DB_Colleges!Z109),ISNUMBER(DB_Colleges!AA109)),IF($X$4&gt;=DB_Colleges!AA109,1,IF($X$4&lt;DB_Colleges!Z109,-1,0)),"")</f>
        <v>-1</v>
      </c>
      <c r="V115" s="1" t="str">
        <f aca="false">IF(AND(ISNUMBER($Y$4),ISNUMBER(DB_Colleges!AD109)),IF($Y$4&gt;=DB_Colleges!AD109+0.15,1,IF($Y$4&lt;DB_Colleges!AD109-0.2,-1,0)),"")</f>
        <v/>
      </c>
      <c r="W115" s="1" t="n">
        <f aca="false">IF(COUNT(U115:V115)=0,0,MIN(U115:V115))</f>
        <v>-1</v>
      </c>
    </row>
    <row r="116" customFormat="false" ht="15" hidden="false" customHeight="true" outlineLevel="0" collapsed="false">
      <c r="A116" s="26" t="str">
        <f aca="false">IF(B116="","",IF(COUNTIF('My Colleges'!$B$8:$B$27,B116)&gt;0,"On list",""))</f>
        <v/>
      </c>
      <c r="B116" s="27" t="str">
        <f aca="false">IF(DB_Colleges!A110="","",DB_Colleges!A110)</f>
        <v>Massachusetts Institute of Technology</v>
      </c>
      <c r="C116" s="26" t="str">
        <f aca="false">IF(B116="","",DB_Colleges!B110)</f>
        <v>Highly Selective</v>
      </c>
      <c r="D116" s="26" t="str">
        <f aca="false">IF(B116="","",DB_Colleges!C110&amp;", "&amp;DB_Colleges!D110)</f>
        <v>Cambridge, MA</v>
      </c>
      <c r="E116" s="26" t="str">
        <f aca="false">IF(B116="","",IF(AND(NOT(ISNUMBER($X$4)),NOT(ISNUMBER($Y$4))),"Add scores",IF(NOT(ISNUMBER(DB_Colleges!Y110)),IF(OR(C116="Ivy League",C116="Highly Selective"),"Reach",IF(COUNT(U116:V116)=0,"No data",CHOOSE(W116+2,"Reach","Target","Likely"))),IF(DB_Colleges!Y110&lt;0.15,"Reach",IF(DB_Colleges!Y110&gt;=0.75,IF(W116&gt;=0,"Likely","Target"),IF(DB_Colleges!Y110&gt;=0.4,CHOOSE(W116+2,"Reach","Target","Likely"),IF(W116=1,"Target","Reach")))))))</f>
        <v>Reach</v>
      </c>
      <c r="F116" s="28" t="n">
        <f aca="false">IF(OR(B116="",NOT(ISNUMBER(DB_Colleges!Y110))),"",DB_Colleges!Y110)</f>
        <v>0.045</v>
      </c>
      <c r="G116" s="26" t="str">
        <f aca="false">IF(OR(B116="",NOT(ISNUMBER(DB_Colleges!Z110))),"",DB_Colleges!Z110&amp;"-"&amp;DB_Colleges!AA110)</f>
        <v>1520-1580</v>
      </c>
      <c r="H116" s="26" t="str">
        <f aca="false">IF(OR(B116="",NOT(ISNUMBER(DB_Colleges!AD110))),"",DB_Colleges!AD110)</f>
        <v/>
      </c>
      <c r="I116" s="29" t="n">
        <f aca="false">IF(B116="","",IF(COUNT(DB_Colleges!I110:O110)=0,IF(DB_Colleges!P110="Yes","Rolling","Check site"),MIN(DB_Colleges!I110:O110)))</f>
        <v>46327</v>
      </c>
      <c r="J116" s="26" t="str">
        <f aca="false">IF(OR(B116="",COUNT(DB_Colleges!I110:O110)=0),"",INDEX({"ED","ED II","EA","EA II","REA","RD","Priority"},MATCH(MIN(DB_Colleges!I110:O110),DB_Colleges!I110:O110,0)))</f>
        <v>EA</v>
      </c>
      <c r="K116" s="29" t="n">
        <f aca="false">IF(OR(B116="",NOT(ISNUMBER(DB_Colleges!N110))),"",DB_Colleges!N110)</f>
        <v>46391</v>
      </c>
      <c r="L116" s="26" t="str">
        <f aca="false">IF(B116="","",DB_Colleges!G110&amp;"")</f>
        <v>School portal; QuestBridge</v>
      </c>
      <c r="M116" s="30" t="n">
        <f aca="false">IF(OR(B116="",NOT(ISNUMBER(DB_Colleges!S110))),"",DB_Colleges!S110)</f>
        <v>75</v>
      </c>
      <c r="N116" s="26" t="str">
        <f aca="false">IF(B116="","",DB_Colleges!U110&amp;"")</f>
        <v>Required</v>
      </c>
      <c r="O116" s="26" t="n">
        <f aca="false">IF(B116="","",IF(ISNUMBER(DB_Colleges!AH110),DB_Colleges!AH110,"Check"))</f>
        <v>5</v>
      </c>
      <c r="P116" s="26" t="str">
        <f aca="false">IF(B116="","",DB_Colleges!W110&amp;"")</f>
        <v>Required</v>
      </c>
      <c r="Q116" s="30" t="n">
        <f aca="false">IF(OR(B116="",NOT(ISNUMBER(DB_Colleges!AF110))),"",DB_Colleges!AF110)</f>
        <v>0</v>
      </c>
      <c r="R116" s="28" t="n">
        <f aca="false">IF(OR(B116="",NOT(ISNUMBER(DB_Colleges!AG110))),"",DB_Colleges!AG110)</f>
        <v>0.93</v>
      </c>
      <c r="S116" s="26" t="str">
        <f aca="false">IF(B116="","",DB_Colleges!AK110&amp;"")</f>
        <v>Mixed</v>
      </c>
      <c r="T116" s="26" t="str">
        <f aca="false">IF(B116="","",DB_Colleges!AI110&amp;"")</f>
        <v>https://mitadmissions.org/apply/firstyear/deadlines-requirements/</v>
      </c>
      <c r="U116" s="1" t="n">
        <f aca="false">IF(AND(ISNUMBER($X$4),ISNUMBER(DB_Colleges!Z110),ISNUMBER(DB_Colleges!AA110)),IF($X$4&gt;=DB_Colleges!AA110,1,IF($X$4&lt;DB_Colleges!Z110,-1,0)),"")</f>
        <v>-1</v>
      </c>
      <c r="V116" s="1" t="str">
        <f aca="false">IF(AND(ISNUMBER($Y$4),ISNUMBER(DB_Colleges!AD110)),IF($Y$4&gt;=DB_Colleges!AD110+0.15,1,IF($Y$4&lt;DB_Colleges!AD110-0.2,-1,0)),"")</f>
        <v/>
      </c>
      <c r="W116" s="1" t="n">
        <f aca="false">IF(COUNT(U116:V116)=0,0,MIN(U116:V116))</f>
        <v>-1</v>
      </c>
    </row>
    <row r="117" customFormat="false" ht="15" hidden="false" customHeight="true" outlineLevel="0" collapsed="false">
      <c r="A117" s="26" t="str">
        <f aca="false">IF(B117="","",IF(COUNTIF('My Colleges'!$B$8:$B$27,B117)&gt;0,"On list",""))</f>
        <v/>
      </c>
      <c r="B117" s="27" t="str">
        <f aca="false">IF(DB_Colleges!A111="","",DB_Colleges!A111)</f>
        <v>Duke University</v>
      </c>
      <c r="C117" s="26" t="str">
        <f aca="false">IF(B117="","",DB_Colleges!B111)</f>
        <v>Highly Selective</v>
      </c>
      <c r="D117" s="26" t="str">
        <f aca="false">IF(B117="","",DB_Colleges!C111&amp;", "&amp;DB_Colleges!D111)</f>
        <v>Durham, NC</v>
      </c>
      <c r="E117" s="26" t="str">
        <f aca="false">IF(B117="","",IF(AND(NOT(ISNUMBER($X$4)),NOT(ISNUMBER($Y$4))),"Add scores",IF(NOT(ISNUMBER(DB_Colleges!Y111)),IF(OR(C117="Ivy League",C117="Highly Selective"),"Reach",IF(COUNT(U117:V117)=0,"No data",CHOOSE(W117+2,"Reach","Target","Likely"))),IF(DB_Colleges!Y111&lt;0.15,"Reach",IF(DB_Colleges!Y111&gt;=0.75,IF(W117&gt;=0,"Likely","Target"),IF(DB_Colleges!Y111&gt;=0.4,CHOOSE(W117+2,"Reach","Target","Likely"),IF(W117=1,"Target","Reach")))))))</f>
        <v>Reach</v>
      </c>
      <c r="F117" s="28" t="n">
        <f aca="false">IF(OR(B117="",NOT(ISNUMBER(DB_Colleges!Y111))),"",DB_Colleges!Y111)</f>
        <v>0.057</v>
      </c>
      <c r="G117" s="26" t="str">
        <f aca="false">IF(OR(B117="",NOT(ISNUMBER(DB_Colleges!Z111))),"",DB_Colleges!Z111&amp;"-"&amp;DB_Colleges!AA111)</f>
        <v>1500-1570</v>
      </c>
      <c r="H117" s="26" t="str">
        <f aca="false">IF(OR(B117="",NOT(ISNUMBER(DB_Colleges!AD111))),"",DB_Colleges!AD111)</f>
        <v/>
      </c>
      <c r="I117" s="29" t="n">
        <f aca="false">IF(B117="","",IF(COUNT(DB_Colleges!I111:O111)=0,IF(DB_Colleges!P111="Yes","Rolling","Check site"),MIN(DB_Colleges!I111:O111)))</f>
        <v>46328</v>
      </c>
      <c r="J117" s="26" t="str">
        <f aca="false">IF(OR(B117="",COUNT(DB_Colleges!I111:O111)=0),"",INDEX({"ED","ED II","EA","EA II","REA","RD","Priority"},MATCH(MIN(DB_Colleges!I111:O111),DB_Colleges!I111:O111,0)))</f>
        <v>ED</v>
      </c>
      <c r="K117" s="29" t="n">
        <f aca="false">IF(OR(B117="",NOT(ISNUMBER(DB_Colleges!N111))),"",DB_Colleges!N111)</f>
        <v>46391</v>
      </c>
      <c r="L117" s="26" t="str">
        <f aca="false">IF(B117="","",DB_Colleges!G111&amp;"")</f>
        <v>Common App; QuestBridge</v>
      </c>
      <c r="M117" s="30" t="n">
        <f aca="false">IF(OR(B117="",NOT(ISNUMBER(DB_Colleges!S111))),"",DB_Colleges!S111)</f>
        <v>85</v>
      </c>
      <c r="N117" s="26" t="str">
        <f aca="false">IF(B117="","",DB_Colleges!U111&amp;"")</f>
        <v>Optional</v>
      </c>
      <c r="O117" s="26" t="n">
        <f aca="false">IF(B117="","",IF(ISNUMBER(DB_Colleges!AH111),DB_Colleges!AH111,"Check"))</f>
        <v>2</v>
      </c>
      <c r="P117" s="26" t="str">
        <f aca="false">IF(B117="","",DB_Colleges!W111&amp;"")</f>
        <v>Required</v>
      </c>
      <c r="Q117" s="30" t="n">
        <f aca="false">IF(OR(B117="",NOT(ISNUMBER(DB_Colleges!AF111))),"",DB_Colleges!AF111)</f>
        <v>816</v>
      </c>
      <c r="R117" s="28" t="n">
        <f aca="false">IF(OR(B117="",NOT(ISNUMBER(DB_Colleges!AG111))),"",DB_Colleges!AG111)</f>
        <v>0.94</v>
      </c>
      <c r="S117" s="26" t="str">
        <f aca="false">IF(B117="","",DB_Colleges!AK111&amp;"")</f>
        <v>Official 2026-27</v>
      </c>
      <c r="T117" s="26" t="str">
        <f aca="false">IF(B117="","",DB_Colleges!AI111&amp;"")</f>
        <v>https://admissions.duke.edu/apply/</v>
      </c>
      <c r="U117" s="1" t="n">
        <f aca="false">IF(AND(ISNUMBER($X$4),ISNUMBER(DB_Colleges!Z111),ISNUMBER(DB_Colleges!AA111)),IF($X$4&gt;=DB_Colleges!AA111,1,IF($X$4&lt;DB_Colleges!Z111,-1,0)),"")</f>
        <v>-1</v>
      </c>
      <c r="V117" s="1" t="str">
        <f aca="false">IF(AND(ISNUMBER($Y$4),ISNUMBER(DB_Colleges!AD111)),IF($Y$4&gt;=DB_Colleges!AD111+0.15,1,IF($Y$4&lt;DB_Colleges!AD111-0.2,-1,0)),"")</f>
        <v/>
      </c>
      <c r="W117" s="1" t="n">
        <f aca="false">IF(COUNT(U117:V117)=0,0,MIN(U117:V117))</f>
        <v>-1</v>
      </c>
    </row>
    <row r="118" customFormat="false" ht="15" hidden="false" customHeight="true" outlineLevel="0" collapsed="false">
      <c r="A118" s="26" t="str">
        <f aca="false">IF(B118="","",IF(COUNTIF('My Colleges'!$B$8:$B$27,B118)&gt;0,"On list",""))</f>
        <v/>
      </c>
      <c r="B118" s="27" t="str">
        <f aca="false">IF(DB_Colleges!A112="","",DB_Colleges!A112)</f>
        <v>Vanderbilt University</v>
      </c>
      <c r="C118" s="26" t="str">
        <f aca="false">IF(B118="","",DB_Colleges!B112)</f>
        <v>Highly Selective</v>
      </c>
      <c r="D118" s="26" t="str">
        <f aca="false">IF(B118="","",DB_Colleges!C112&amp;", "&amp;DB_Colleges!D112)</f>
        <v>Nashville, TN</v>
      </c>
      <c r="E118" s="26" t="str">
        <f aca="false">IF(B118="","",IF(AND(NOT(ISNUMBER($X$4)),NOT(ISNUMBER($Y$4))),"Add scores",IF(NOT(ISNUMBER(DB_Colleges!Y112)),IF(OR(C118="Ivy League",C118="Highly Selective"),"Reach",IF(COUNT(U118:V118)=0,"No data",CHOOSE(W118+2,"Reach","Target","Likely"))),IF(DB_Colleges!Y112&lt;0.15,"Reach",IF(DB_Colleges!Y112&gt;=0.75,IF(W118&gt;=0,"Likely","Target"),IF(DB_Colleges!Y112&gt;=0.4,CHOOSE(W118+2,"Reach","Target","Likely"),IF(W118=1,"Target","Reach")))))))</f>
        <v>Reach</v>
      </c>
      <c r="F118" s="28" t="n">
        <f aca="false">IF(OR(B118="",NOT(ISNUMBER(DB_Colleges!Y112))),"",DB_Colleges!Y112)</f>
        <v>0.063</v>
      </c>
      <c r="G118" s="26" t="str">
        <f aca="false">IF(OR(B118="",NOT(ISNUMBER(DB_Colleges!Z112))),"",DB_Colleges!Z112&amp;"-"&amp;DB_Colleges!AA112)</f>
        <v>1510-1560</v>
      </c>
      <c r="H118" s="26" t="str">
        <f aca="false">IF(OR(B118="",NOT(ISNUMBER(DB_Colleges!AD112))),"",DB_Colleges!AD112)</f>
        <v/>
      </c>
      <c r="I118" s="29" t="n">
        <f aca="false">IF(B118="","",IF(COUNT(DB_Colleges!I112:O112)=0,IF(DB_Colleges!P112="Yes","Rolling","Check site"),MIN(DB_Colleges!I112:O112)))</f>
        <v>46327</v>
      </c>
      <c r="J118" s="26" t="str">
        <f aca="false">IF(OR(B118="",COUNT(DB_Colleges!I112:O112)=0),"",INDEX({"ED","ED II","EA","EA II","REA","RD","Priority"},MATCH(MIN(DB_Colleges!I112:O112),DB_Colleges!I112:O112,0)))</f>
        <v>ED</v>
      </c>
      <c r="K118" s="29" t="n">
        <f aca="false">IF(OR(B118="",NOT(ISNUMBER(DB_Colleges!N112))),"",DB_Colleges!N112)</f>
        <v>46388</v>
      </c>
      <c r="L118" s="26" t="str">
        <f aca="false">IF(B118="","",DB_Colleges!G112&amp;"")</f>
        <v>Common App; QuestBridge</v>
      </c>
      <c r="M118" s="30" t="str">
        <f aca="false">IF(OR(B118="",NOT(ISNUMBER(DB_Colleges!S112))),"",DB_Colleges!S112)</f>
        <v/>
      </c>
      <c r="N118" s="26" t="str">
        <f aca="false">IF(B118="","",DB_Colleges!U112&amp;"")</f>
        <v/>
      </c>
      <c r="O118" s="26" t="str">
        <f aca="false">IF(B118="","",IF(ISNUMBER(DB_Colleges!AH112),DB_Colleges!AH112,"Check"))</f>
        <v>Check</v>
      </c>
      <c r="P118" s="26" t="str">
        <f aca="false">IF(B118="","",DB_Colleges!W112&amp;"")</f>
        <v/>
      </c>
      <c r="Q118" s="30" t="n">
        <f aca="false">IF(OR(B118="",NOT(ISNUMBER(DB_Colleges!AF112))),"",DB_Colleges!AF112)</f>
        <v>3867</v>
      </c>
      <c r="R118" s="28" t="n">
        <f aca="false">IF(OR(B118="",NOT(ISNUMBER(DB_Colleges!AG112))),"",DB_Colleges!AG112)</f>
        <v>0.92</v>
      </c>
      <c r="S118" s="26" t="str">
        <f aca="false">IF(B118="","",DB_Colleges!AK112&amp;"")</f>
        <v>Typical dates, confirm</v>
      </c>
      <c r="T118" s="26" t="str">
        <f aca="false">IF(B118="","",DB_Colleges!AI112&amp;"")</f>
        <v/>
      </c>
      <c r="U118" s="1" t="n">
        <f aca="false">IF(AND(ISNUMBER($X$4),ISNUMBER(DB_Colleges!Z112),ISNUMBER(DB_Colleges!AA112)),IF($X$4&gt;=DB_Colleges!AA112,1,IF($X$4&lt;DB_Colleges!Z112,-1,0)),"")</f>
        <v>-1</v>
      </c>
      <c r="V118" s="1" t="str">
        <f aca="false">IF(AND(ISNUMBER($Y$4),ISNUMBER(DB_Colleges!AD112)),IF($Y$4&gt;=DB_Colleges!AD112+0.15,1,IF($Y$4&lt;DB_Colleges!AD112-0.2,-1,0)),"")</f>
        <v/>
      </c>
      <c r="W118" s="1" t="n">
        <f aca="false">IF(COUNT(U118:V118)=0,0,MIN(U118:V118))</f>
        <v>-1</v>
      </c>
    </row>
    <row r="119" customFormat="false" ht="15" hidden="false" customHeight="true" outlineLevel="0" collapsed="false">
      <c r="A119" s="26" t="str">
        <f aca="false">IF(B119="","",IF(COUNTIF('My Colleges'!$B$8:$B$27,B119)&gt;0,"On list",""))</f>
        <v/>
      </c>
      <c r="B119" s="27" t="str">
        <f aca="false">IF(DB_Colleges!A113="","",DB_Colleges!A113)</f>
        <v>Rice University</v>
      </c>
      <c r="C119" s="26" t="str">
        <f aca="false">IF(B119="","",DB_Colleges!B113)</f>
        <v>Highly Selective</v>
      </c>
      <c r="D119" s="26" t="str">
        <f aca="false">IF(B119="","",DB_Colleges!C113&amp;", "&amp;DB_Colleges!D113)</f>
        <v>Houston, TX</v>
      </c>
      <c r="E119" s="26" t="str">
        <f aca="false">IF(B119="","",IF(AND(NOT(ISNUMBER($X$4)),NOT(ISNUMBER($Y$4))),"Add scores",IF(NOT(ISNUMBER(DB_Colleges!Y113)),IF(OR(C119="Ivy League",C119="Highly Selective"),"Reach",IF(COUNT(U119:V119)=0,"No data",CHOOSE(W119+2,"Reach","Target","Likely"))),IF(DB_Colleges!Y113&lt;0.15,"Reach",IF(DB_Colleges!Y113&gt;=0.75,IF(W119&gt;=0,"Likely","Target"),IF(DB_Colleges!Y113&gt;=0.4,CHOOSE(W119+2,"Reach","Target","Likely"),IF(W119=1,"Target","Reach")))))))</f>
        <v>Reach</v>
      </c>
      <c r="F119" s="28" t="n">
        <f aca="false">IF(OR(B119="",NOT(ISNUMBER(DB_Colleges!Y113))),"",DB_Colleges!Y113)</f>
        <v>0.08</v>
      </c>
      <c r="G119" s="26" t="str">
        <f aca="false">IF(OR(B119="",NOT(ISNUMBER(DB_Colleges!Z113))),"",DB_Colleges!Z113&amp;"-"&amp;DB_Colleges!AA113)</f>
        <v>1510-1570</v>
      </c>
      <c r="H119" s="26" t="str">
        <f aca="false">IF(OR(B119="",NOT(ISNUMBER(DB_Colleges!AD113))),"",DB_Colleges!AD113)</f>
        <v/>
      </c>
      <c r="I119" s="29" t="n">
        <f aca="false">IF(B119="","",IF(COUNT(DB_Colleges!I113:O113)=0,IF(DB_Colleges!P113="Yes","Rolling","Check site"),MIN(DB_Colleges!I113:O113)))</f>
        <v>46327</v>
      </c>
      <c r="J119" s="26" t="str">
        <f aca="false">IF(OR(B119="",COUNT(DB_Colleges!I113:O113)=0),"",INDEX({"ED","ED II","EA","EA II","REA","RD","Priority"},MATCH(MIN(DB_Colleges!I113:O113),DB_Colleges!I113:O113,0)))</f>
        <v>ED</v>
      </c>
      <c r="K119" s="29" t="n">
        <f aca="false">IF(OR(B119="",NOT(ISNUMBER(DB_Colleges!N113))),"",DB_Colleges!N113)</f>
        <v>46391</v>
      </c>
      <c r="L119" s="26" t="str">
        <f aca="false">IF(B119="","",DB_Colleges!G113&amp;"")</f>
        <v>Common App; QuestBridge</v>
      </c>
      <c r="M119" s="30" t="str">
        <f aca="false">IF(OR(B119="",NOT(ISNUMBER(DB_Colleges!S113))),"",DB_Colleges!S113)</f>
        <v/>
      </c>
      <c r="N119" s="26" t="str">
        <f aca="false">IF(B119="","",DB_Colleges!U113&amp;"")</f>
        <v/>
      </c>
      <c r="O119" s="26" t="str">
        <f aca="false">IF(B119="","",IF(ISNUMBER(DB_Colleges!AH113),DB_Colleges!AH113,"Check"))</f>
        <v>Check</v>
      </c>
      <c r="P119" s="26" t="str">
        <f aca="false">IF(B119="","",DB_Colleges!W113&amp;"")</f>
        <v/>
      </c>
      <c r="Q119" s="30" t="n">
        <f aca="false">IF(OR(B119="",NOT(ISNUMBER(DB_Colleges!AF113))),"",DB_Colleges!AF113)</f>
        <v>7088</v>
      </c>
      <c r="R119" s="28" t="n">
        <f aca="false">IF(OR(B119="",NOT(ISNUMBER(DB_Colleges!AG113))),"",DB_Colleges!AG113)</f>
        <v>0.92</v>
      </c>
      <c r="S119" s="26" t="str">
        <f aca="false">IF(B119="","",DB_Colleges!AK113&amp;"")</f>
        <v>Typical dates, confirm</v>
      </c>
      <c r="T119" s="26" t="str">
        <f aca="false">IF(B119="","",DB_Colleges!AI113&amp;"")</f>
        <v/>
      </c>
      <c r="U119" s="1" t="n">
        <f aca="false">IF(AND(ISNUMBER($X$4),ISNUMBER(DB_Colleges!Z113),ISNUMBER(DB_Colleges!AA113)),IF($X$4&gt;=DB_Colleges!AA113,1,IF($X$4&lt;DB_Colleges!Z113,-1,0)),"")</f>
        <v>-1</v>
      </c>
      <c r="V119" s="1" t="str">
        <f aca="false">IF(AND(ISNUMBER($Y$4),ISNUMBER(DB_Colleges!AD113)),IF($Y$4&gt;=DB_Colleges!AD113+0.15,1,IF($Y$4&lt;DB_Colleges!AD113-0.2,-1,0)),"")</f>
        <v/>
      </c>
      <c r="W119" s="1" t="n">
        <f aca="false">IF(COUNT(U119:V119)=0,0,MIN(U119:V119))</f>
        <v>-1</v>
      </c>
    </row>
    <row r="120" customFormat="false" ht="15" hidden="false" customHeight="true" outlineLevel="0" collapsed="false">
      <c r="A120" s="26" t="str">
        <f aca="false">IF(B120="","",IF(COUNTIF('My Colleges'!$B$8:$B$27,B120)&gt;0,"On list",""))</f>
        <v/>
      </c>
      <c r="B120" s="27" t="str">
        <f aca="false">IF(DB_Colleges!A114="","",DB_Colleges!A114)</f>
        <v>Northwestern University</v>
      </c>
      <c r="C120" s="26" t="str">
        <f aca="false">IF(B120="","",DB_Colleges!B114)</f>
        <v>Highly Selective</v>
      </c>
      <c r="D120" s="26" t="str">
        <f aca="false">IF(B120="","",DB_Colleges!C114&amp;", "&amp;DB_Colleges!D114)</f>
        <v>Evanston, IL</v>
      </c>
      <c r="E120" s="26" t="str">
        <f aca="false">IF(B120="","",IF(AND(NOT(ISNUMBER($X$4)),NOT(ISNUMBER($Y$4))),"Add scores",IF(NOT(ISNUMBER(DB_Colleges!Y114)),IF(OR(C120="Ivy League",C120="Highly Selective"),"Reach",IF(COUNT(U120:V120)=0,"No data",CHOOSE(W120+2,"Reach","Target","Likely"))),IF(DB_Colleges!Y114&lt;0.15,"Reach",IF(DB_Colleges!Y114&gt;=0.75,IF(W120&gt;=0,"Likely","Target"),IF(DB_Colleges!Y114&gt;=0.4,CHOOSE(W120+2,"Reach","Target","Likely"),IF(W120=1,"Target","Reach")))))))</f>
        <v>Reach</v>
      </c>
      <c r="F120" s="28" t="n">
        <f aca="false">IF(OR(B120="",NOT(ISNUMBER(DB_Colleges!Y114))),"",DB_Colleges!Y114)</f>
        <v>0.077</v>
      </c>
      <c r="G120" s="26" t="str">
        <f aca="false">IF(OR(B120="",NOT(ISNUMBER(DB_Colleges!Z114))),"",DB_Colleges!Z114&amp;"-"&amp;DB_Colleges!AA114)</f>
        <v>1510-1570</v>
      </c>
      <c r="H120" s="26" t="str">
        <f aca="false">IF(OR(B120="",NOT(ISNUMBER(DB_Colleges!AD114))),"",DB_Colleges!AD114)</f>
        <v/>
      </c>
      <c r="I120" s="29" t="n">
        <f aca="false">IF(B120="","",IF(COUNT(DB_Colleges!I114:O114)=0,IF(DB_Colleges!P114="Yes","Rolling","Check site"),MIN(DB_Colleges!I114:O114)))</f>
        <v>46327</v>
      </c>
      <c r="J120" s="26" t="str">
        <f aca="false">IF(OR(B120="",COUNT(DB_Colleges!I114:O114)=0),"",INDEX({"ED","ED II","EA","EA II","REA","RD","Priority"},MATCH(MIN(DB_Colleges!I114:O114),DB_Colleges!I114:O114,0)))</f>
        <v>ED</v>
      </c>
      <c r="K120" s="29" t="n">
        <f aca="false">IF(OR(B120="",NOT(ISNUMBER(DB_Colleges!N114))),"",DB_Colleges!N114)</f>
        <v>46389</v>
      </c>
      <c r="L120" s="26" t="str">
        <f aca="false">IF(B120="","",DB_Colleges!G114&amp;"")</f>
        <v>Common App; QuestBridge</v>
      </c>
      <c r="M120" s="30" t="str">
        <f aca="false">IF(OR(B120="",NOT(ISNUMBER(DB_Colleges!S114))),"",DB_Colleges!S114)</f>
        <v/>
      </c>
      <c r="N120" s="26" t="str">
        <f aca="false">IF(B120="","",DB_Colleges!U114&amp;"")</f>
        <v/>
      </c>
      <c r="O120" s="26" t="str">
        <f aca="false">IF(B120="","",IF(ISNUMBER(DB_Colleges!AH114),DB_Colleges!AH114,"Check"))</f>
        <v>Check</v>
      </c>
      <c r="P120" s="26" t="str">
        <f aca="false">IF(B120="","",DB_Colleges!W114&amp;"")</f>
        <v/>
      </c>
      <c r="Q120" s="30" t="n">
        <f aca="false">IF(OR(B120="",NOT(ISNUMBER(DB_Colleges!AF114))),"",DB_Colleges!AF114)</f>
        <v>1961</v>
      </c>
      <c r="R120" s="28" t="n">
        <f aca="false">IF(OR(B120="",NOT(ISNUMBER(DB_Colleges!AG114))),"",DB_Colleges!AG114)</f>
        <v>0.94</v>
      </c>
      <c r="S120" s="26" t="str">
        <f aca="false">IF(B120="","",DB_Colleges!AK114&amp;"")</f>
        <v>Typical dates, confirm</v>
      </c>
      <c r="T120" s="26" t="str">
        <f aca="false">IF(B120="","",DB_Colleges!AI114&amp;"")</f>
        <v/>
      </c>
      <c r="U120" s="1" t="n">
        <f aca="false">IF(AND(ISNUMBER($X$4),ISNUMBER(DB_Colleges!Z114),ISNUMBER(DB_Colleges!AA114)),IF($X$4&gt;=DB_Colleges!AA114,1,IF($X$4&lt;DB_Colleges!Z114,-1,0)),"")</f>
        <v>-1</v>
      </c>
      <c r="V120" s="1" t="str">
        <f aca="false">IF(AND(ISNUMBER($Y$4),ISNUMBER(DB_Colleges!AD114)),IF($Y$4&gt;=DB_Colleges!AD114+0.15,1,IF($Y$4&lt;DB_Colleges!AD114-0.2,-1,0)),"")</f>
        <v/>
      </c>
      <c r="W120" s="1" t="n">
        <f aca="false">IF(COUNT(U120:V120)=0,0,MIN(U120:V120))</f>
        <v>-1</v>
      </c>
    </row>
    <row r="121" customFormat="false" ht="15" hidden="false" customHeight="true" outlineLevel="0" collapsed="false">
      <c r="A121" s="26" t="str">
        <f aca="false">IF(B121="","",IF(COUNTIF('My Colleges'!$B$8:$B$27,B121)&gt;0,"On list",""))</f>
        <v/>
      </c>
      <c r="B121" s="27" t="str">
        <f aca="false">IF(DB_Colleges!A115="","",DB_Colleges!A115)</f>
        <v>University of Chicago</v>
      </c>
      <c r="C121" s="26" t="str">
        <f aca="false">IF(B121="","",DB_Colleges!B115)</f>
        <v>Highly Selective</v>
      </c>
      <c r="D121" s="26" t="str">
        <f aca="false">IF(B121="","",DB_Colleges!C115&amp;", "&amp;DB_Colleges!D115)</f>
        <v>Chicago, IL</v>
      </c>
      <c r="E121" s="26" t="str">
        <f aca="false">IF(B121="","",IF(AND(NOT(ISNUMBER($X$4)),NOT(ISNUMBER($Y$4))),"Add scores",IF(NOT(ISNUMBER(DB_Colleges!Y115)),IF(OR(C121="Ivy League",C121="Highly Selective"),"Reach",IF(COUNT(U121:V121)=0,"No data",CHOOSE(W121+2,"Reach","Target","Likely"))),IF(DB_Colleges!Y115&lt;0.15,"Reach",IF(DB_Colleges!Y115&gt;=0.75,IF(W121&gt;=0,"Likely","Target"),IF(DB_Colleges!Y115&gt;=0.4,CHOOSE(W121+2,"Reach","Target","Likely"),IF(W121=1,"Target","Reach")))))))</f>
        <v>Reach</v>
      </c>
      <c r="F121" s="28" t="n">
        <f aca="false">IF(OR(B121="",NOT(ISNUMBER(DB_Colleges!Y115))),"",DB_Colleges!Y115)</f>
        <v>0.045</v>
      </c>
      <c r="G121" s="26" t="str">
        <f aca="false">IF(OR(B121="",NOT(ISNUMBER(DB_Colleges!Z115))),"",DB_Colleges!Z115&amp;"-"&amp;DB_Colleges!AA115)</f>
        <v>1510-1580</v>
      </c>
      <c r="H121" s="26" t="str">
        <f aca="false">IF(OR(B121="",NOT(ISNUMBER(DB_Colleges!AD115))),"",DB_Colleges!AD115)</f>
        <v/>
      </c>
      <c r="I121" s="29" t="n">
        <f aca="false">IF(B121="","",IF(COUNT(DB_Colleges!I115:O115)=0,IF(DB_Colleges!P115="Yes","Rolling","Check site"),MIN(DB_Colleges!I115:O115)))</f>
        <v>46327</v>
      </c>
      <c r="J121" s="26" t="str">
        <f aca="false">IF(OR(B121="",COUNT(DB_Colleges!I115:O115)=0),"",INDEX({"ED","ED II","EA","EA II","REA","RD","Priority"},MATCH(MIN(DB_Colleges!I115:O115),DB_Colleges!I115:O115,0)))</f>
        <v>ED</v>
      </c>
      <c r="K121" s="29" t="n">
        <f aca="false">IF(OR(B121="",NOT(ISNUMBER(DB_Colleges!N115))),"",DB_Colleges!N115)</f>
        <v>46389</v>
      </c>
      <c r="L121" s="26" t="str">
        <f aca="false">IF(B121="","",DB_Colleges!G115&amp;"")</f>
        <v>Common App; QuestBridge</v>
      </c>
      <c r="M121" s="30" t="str">
        <f aca="false">IF(OR(B121="",NOT(ISNUMBER(DB_Colleges!S115))),"",DB_Colleges!S115)</f>
        <v/>
      </c>
      <c r="N121" s="26" t="str">
        <f aca="false">IF(B121="","",DB_Colleges!U115&amp;"")</f>
        <v/>
      </c>
      <c r="O121" s="26" t="str">
        <f aca="false">IF(B121="","",IF(ISNUMBER(DB_Colleges!AH115),DB_Colleges!AH115,"Check"))</f>
        <v>Check</v>
      </c>
      <c r="P121" s="26" t="str">
        <f aca="false">IF(B121="","",DB_Colleges!W115&amp;"")</f>
        <v/>
      </c>
      <c r="Q121" s="30" t="n">
        <f aca="false">IF(OR(B121="",NOT(ISNUMBER(DB_Colleges!AF115))),"",DB_Colleges!AF115)</f>
        <v>0</v>
      </c>
      <c r="R121" s="28" t="n">
        <f aca="false">IF(OR(B121="",NOT(ISNUMBER(DB_Colleges!AG115))),"",DB_Colleges!AG115)</f>
        <v>0.92</v>
      </c>
      <c r="S121" s="26" t="str">
        <f aca="false">IF(B121="","",DB_Colleges!AK115&amp;"")</f>
        <v>Typical dates, confirm</v>
      </c>
      <c r="T121" s="26" t="str">
        <f aca="false">IF(B121="","",DB_Colleges!AI115&amp;"")</f>
        <v/>
      </c>
      <c r="U121" s="1" t="n">
        <f aca="false">IF(AND(ISNUMBER($X$4),ISNUMBER(DB_Colleges!Z115),ISNUMBER(DB_Colleges!AA115)),IF($X$4&gt;=DB_Colleges!AA115,1,IF($X$4&lt;DB_Colleges!Z115,-1,0)),"")</f>
        <v>-1</v>
      </c>
      <c r="V121" s="1" t="str">
        <f aca="false">IF(AND(ISNUMBER($Y$4),ISNUMBER(DB_Colleges!AD115)),IF($Y$4&gt;=DB_Colleges!AD115+0.15,1,IF($Y$4&lt;DB_Colleges!AD115-0.2,-1,0)),"")</f>
        <v/>
      </c>
      <c r="W121" s="1" t="n">
        <f aca="false">IF(COUNT(U121:V121)=0,0,MIN(U121:V121))</f>
        <v>-1</v>
      </c>
    </row>
    <row r="122" customFormat="false" ht="15" hidden="false" customHeight="true" outlineLevel="0" collapsed="false">
      <c r="A122" s="26" t="str">
        <f aca="false">IF(B122="","",IF(COUNTIF('My Colleges'!$B$8:$B$27,B122)&gt;0,"On list",""))</f>
        <v/>
      </c>
      <c r="B122" s="27" t="str">
        <f aca="false">IF(DB_Colleges!A116="","",DB_Colleges!A116)</f>
        <v>Johns Hopkins University</v>
      </c>
      <c r="C122" s="26" t="str">
        <f aca="false">IF(B122="","",DB_Colleges!B116)</f>
        <v>Highly Selective</v>
      </c>
      <c r="D122" s="26" t="str">
        <f aca="false">IF(B122="","",DB_Colleges!C116&amp;", "&amp;DB_Colleges!D116)</f>
        <v>Baltimore, MD</v>
      </c>
      <c r="E122" s="26" t="str">
        <f aca="false">IF(B122="","",IF(AND(NOT(ISNUMBER($X$4)),NOT(ISNUMBER($Y$4))),"Add scores",IF(NOT(ISNUMBER(DB_Colleges!Y116)),IF(OR(C122="Ivy League",C122="Highly Selective"),"Reach",IF(COUNT(U122:V122)=0,"No data",CHOOSE(W122+2,"Reach","Target","Likely"))),IF(DB_Colleges!Y116&lt;0.15,"Reach",IF(DB_Colleges!Y116&gt;=0.75,IF(W122&gt;=0,"Likely","Target"),IF(DB_Colleges!Y116&gt;=0.4,CHOOSE(W122+2,"Reach","Target","Likely"),IF(W122=1,"Target","Reach")))))))</f>
        <v>Reach</v>
      </c>
      <c r="F122" s="28" t="n">
        <f aca="false">IF(OR(B122="",NOT(ISNUMBER(DB_Colleges!Y116))),"",DB_Colleges!Y116)</f>
        <v>0.064</v>
      </c>
      <c r="G122" s="26" t="str">
        <f aca="false">IF(OR(B122="",NOT(ISNUMBER(DB_Colleges!Z116))),"",DB_Colleges!Z116&amp;"-"&amp;DB_Colleges!AA116)</f>
        <v>1520-1570</v>
      </c>
      <c r="H122" s="26" t="str">
        <f aca="false">IF(OR(B122="",NOT(ISNUMBER(DB_Colleges!AD116))),"",DB_Colleges!AD116)</f>
        <v/>
      </c>
      <c r="I122" s="29" t="n">
        <f aca="false">IF(B122="","",IF(COUNT(DB_Colleges!I116:O116)=0,IF(DB_Colleges!P116="Yes","Rolling","Check site"),MIN(DB_Colleges!I116:O116)))</f>
        <v>46327</v>
      </c>
      <c r="J122" s="26" t="str">
        <f aca="false">IF(OR(B122="",COUNT(DB_Colleges!I116:O116)=0),"",INDEX({"ED","ED II","EA","EA II","REA","RD","Priority"},MATCH(MIN(DB_Colleges!I116:O116),DB_Colleges!I116:O116,0)))</f>
        <v>ED</v>
      </c>
      <c r="K122" s="29" t="n">
        <f aca="false">IF(OR(B122="",NOT(ISNUMBER(DB_Colleges!N116))),"",DB_Colleges!N116)</f>
        <v>46389</v>
      </c>
      <c r="L122" s="26" t="str">
        <f aca="false">IF(B122="","",DB_Colleges!G116&amp;"")</f>
        <v>Common App; QuestBridge</v>
      </c>
      <c r="M122" s="30" t="str">
        <f aca="false">IF(OR(B122="",NOT(ISNUMBER(DB_Colleges!S116))),"",DB_Colleges!S116)</f>
        <v/>
      </c>
      <c r="N122" s="26" t="str">
        <f aca="false">IF(B122="","",DB_Colleges!U116&amp;"")</f>
        <v/>
      </c>
      <c r="O122" s="26" t="str">
        <f aca="false">IF(B122="","",IF(ISNUMBER(DB_Colleges!AH116),DB_Colleges!AH116,"Check"))</f>
        <v>Check</v>
      </c>
      <c r="P122" s="26" t="str">
        <f aca="false">IF(B122="","",DB_Colleges!W116&amp;"")</f>
        <v/>
      </c>
      <c r="Q122" s="30" t="n">
        <f aca="false">IF(OR(B122="",NOT(ISNUMBER(DB_Colleges!AF116))),"",DB_Colleges!AF116)</f>
        <v>470</v>
      </c>
      <c r="R122" s="28" t="n">
        <f aca="false">IF(OR(B122="",NOT(ISNUMBER(DB_Colleges!AG116))),"",DB_Colleges!AG116)</f>
        <v>0.91</v>
      </c>
      <c r="S122" s="26" t="str">
        <f aca="false">IF(B122="","",DB_Colleges!AK116&amp;"")</f>
        <v>Typical dates, confirm</v>
      </c>
      <c r="T122" s="26" t="str">
        <f aca="false">IF(B122="","",DB_Colleges!AI116&amp;"")</f>
        <v/>
      </c>
      <c r="U122" s="1" t="n">
        <f aca="false">IF(AND(ISNUMBER($X$4),ISNUMBER(DB_Colleges!Z116),ISNUMBER(DB_Colleges!AA116)),IF($X$4&gt;=DB_Colleges!AA116,1,IF($X$4&lt;DB_Colleges!Z116,-1,0)),"")</f>
        <v>-1</v>
      </c>
      <c r="V122" s="1" t="str">
        <f aca="false">IF(AND(ISNUMBER($Y$4),ISNUMBER(DB_Colleges!AD116)),IF($Y$4&gt;=DB_Colleges!AD116+0.15,1,IF($Y$4&lt;DB_Colleges!AD116-0.2,-1,0)),"")</f>
        <v/>
      </c>
      <c r="W122" s="1" t="n">
        <f aca="false">IF(COUNT(U122:V122)=0,0,MIN(U122:V122))</f>
        <v>-1</v>
      </c>
    </row>
    <row r="123" customFormat="false" ht="15" hidden="false" customHeight="true" outlineLevel="0" collapsed="false">
      <c r="A123" s="26" t="str">
        <f aca="false">IF(B123="","",IF(COUNTIF('My Colleges'!$B$8:$B$27,B123)&gt;0,"On list",""))</f>
        <v/>
      </c>
      <c r="B123" s="27" t="str">
        <f aca="false">IF(DB_Colleges!A117="","",DB_Colleges!A117)</f>
        <v>Washington University in St. Louis</v>
      </c>
      <c r="C123" s="26" t="str">
        <f aca="false">IF(B123="","",DB_Colleges!B117)</f>
        <v>Highly Selective</v>
      </c>
      <c r="D123" s="26" t="str">
        <f aca="false">IF(B123="","",DB_Colleges!C117&amp;", "&amp;DB_Colleges!D117)</f>
        <v>St. Louis, MO</v>
      </c>
      <c r="E123" s="26" t="str">
        <f aca="false">IF(B123="","",IF(AND(NOT(ISNUMBER($X$4)),NOT(ISNUMBER($Y$4))),"Add scores",IF(NOT(ISNUMBER(DB_Colleges!Y117)),IF(OR(C123="Ivy League",C123="Highly Selective"),"Reach",IF(COUNT(U123:V123)=0,"No data",CHOOSE(W123+2,"Reach","Target","Likely"))),IF(DB_Colleges!Y117&lt;0.15,"Reach",IF(DB_Colleges!Y117&gt;=0.75,IF(W123&gt;=0,"Likely","Target"),IF(DB_Colleges!Y117&gt;=0.4,CHOOSE(W123+2,"Reach","Target","Likely"),IF(W123=1,"Target","Reach")))))))</f>
        <v>Reach</v>
      </c>
      <c r="F123" s="28" t="n">
        <f aca="false">IF(OR(B123="",NOT(ISNUMBER(DB_Colleges!Y117))),"",DB_Colleges!Y117)</f>
        <v>0.121</v>
      </c>
      <c r="G123" s="26" t="str">
        <f aca="false">IF(OR(B123="",NOT(ISNUMBER(DB_Colleges!Z117))),"",DB_Colleges!Z117&amp;"-"&amp;DB_Colleges!AA117)</f>
        <v>1500-1570</v>
      </c>
      <c r="H123" s="26" t="str">
        <f aca="false">IF(OR(B123="",NOT(ISNUMBER(DB_Colleges!AD117))),"",DB_Colleges!AD117)</f>
        <v/>
      </c>
      <c r="I123" s="29" t="n">
        <f aca="false">IF(B123="","",IF(COUNT(DB_Colleges!I117:O117)=0,IF(DB_Colleges!P117="Yes","Rolling","Check site"),MIN(DB_Colleges!I117:O117)))</f>
        <v>46327</v>
      </c>
      <c r="J123" s="26" t="str">
        <f aca="false">IF(OR(B123="",COUNT(DB_Colleges!I117:O117)=0),"",INDEX({"ED","ED II","EA","EA II","REA","RD","Priority"},MATCH(MIN(DB_Colleges!I117:O117),DB_Colleges!I117:O117,0)))</f>
        <v>ED</v>
      </c>
      <c r="K123" s="29" t="n">
        <f aca="false">IF(OR(B123="",NOT(ISNUMBER(DB_Colleges!N117))),"",DB_Colleges!N117)</f>
        <v>46389</v>
      </c>
      <c r="L123" s="26" t="str">
        <f aca="false">IF(B123="","",DB_Colleges!G117&amp;"")</f>
        <v>Common App; QuestBridge</v>
      </c>
      <c r="M123" s="30" t="str">
        <f aca="false">IF(OR(B123="",NOT(ISNUMBER(DB_Colleges!S117))),"",DB_Colleges!S117)</f>
        <v/>
      </c>
      <c r="N123" s="26" t="str">
        <f aca="false">IF(B123="","",DB_Colleges!U117&amp;"")</f>
        <v/>
      </c>
      <c r="O123" s="26" t="str">
        <f aca="false">IF(B123="","",IF(ISNUMBER(DB_Colleges!AH117),DB_Colleges!AH117,"Check"))</f>
        <v>Check</v>
      </c>
      <c r="P123" s="26" t="str">
        <f aca="false">IF(B123="","",DB_Colleges!W117&amp;"")</f>
        <v/>
      </c>
      <c r="Q123" s="30" t="n">
        <f aca="false">IF(OR(B123="",NOT(ISNUMBER(DB_Colleges!AF117))),"",DB_Colleges!AF117)</f>
        <v>1906</v>
      </c>
      <c r="R123" s="28" t="n">
        <f aca="false">IF(OR(B123="",NOT(ISNUMBER(DB_Colleges!AG117))),"",DB_Colleges!AG117)</f>
        <v>0.93</v>
      </c>
      <c r="S123" s="26" t="str">
        <f aca="false">IF(B123="","",DB_Colleges!AK117&amp;"")</f>
        <v>Typical dates, confirm</v>
      </c>
      <c r="T123" s="26" t="str">
        <f aca="false">IF(B123="","",DB_Colleges!AI117&amp;"")</f>
        <v/>
      </c>
      <c r="U123" s="1" t="n">
        <f aca="false">IF(AND(ISNUMBER($X$4),ISNUMBER(DB_Colleges!Z117),ISNUMBER(DB_Colleges!AA117)),IF($X$4&gt;=DB_Colleges!AA117,1,IF($X$4&lt;DB_Colleges!Z117,-1,0)),"")</f>
        <v>-1</v>
      </c>
      <c r="V123" s="1" t="str">
        <f aca="false">IF(AND(ISNUMBER($Y$4),ISNUMBER(DB_Colleges!AD117)),IF($Y$4&gt;=DB_Colleges!AD117+0.15,1,IF($Y$4&lt;DB_Colleges!AD117-0.2,-1,0)),"")</f>
        <v/>
      </c>
      <c r="W123" s="1" t="n">
        <f aca="false">IF(COUNT(U123:V123)=0,0,MIN(U123:V123))</f>
        <v>-1</v>
      </c>
    </row>
    <row r="124" customFormat="false" ht="15" hidden="false" customHeight="true" outlineLevel="0" collapsed="false">
      <c r="A124" s="26" t="str">
        <f aca="false">IF(B124="","",IF(COUNTIF('My Colleges'!$B$8:$B$27,B124)&gt;0,"On list",""))</f>
        <v/>
      </c>
      <c r="B124" s="27" t="str">
        <f aca="false">IF(DB_Colleges!A118="","",DB_Colleges!A118)</f>
        <v>University of Notre Dame</v>
      </c>
      <c r="C124" s="26" t="str">
        <f aca="false">IF(B124="","",DB_Colleges!B118)</f>
        <v>Highly Selective</v>
      </c>
      <c r="D124" s="26" t="str">
        <f aca="false">IF(B124="","",DB_Colleges!C118&amp;", "&amp;DB_Colleges!D118)</f>
        <v>Notre Dame, IN</v>
      </c>
      <c r="E124" s="26" t="str">
        <f aca="false">IF(B124="","",IF(AND(NOT(ISNUMBER($X$4)),NOT(ISNUMBER($Y$4))),"Add scores",IF(NOT(ISNUMBER(DB_Colleges!Y118)),IF(OR(C124="Ivy League",C124="Highly Selective"),"Reach",IF(COUNT(U124:V124)=0,"No data",CHOOSE(W124+2,"Reach","Target","Likely"))),IF(DB_Colleges!Y118&lt;0.15,"Reach",IF(DB_Colleges!Y118&gt;=0.75,IF(W124&gt;=0,"Likely","Target"),IF(DB_Colleges!Y118&gt;=0.4,CHOOSE(W124+2,"Reach","Target","Likely"),IF(W124=1,"Target","Reach")))))))</f>
        <v>Reach</v>
      </c>
      <c r="F124" s="28" t="n">
        <f aca="false">IF(OR(B124="",NOT(ISNUMBER(DB_Colleges!Y118))),"",DB_Colleges!Y118)</f>
        <v>0.113</v>
      </c>
      <c r="G124" s="26" t="str">
        <f aca="false">IF(OR(B124="",NOT(ISNUMBER(DB_Colleges!Z118))),"",DB_Colleges!Z118&amp;"-"&amp;DB_Colleges!AA118)</f>
        <v>1455-1560</v>
      </c>
      <c r="H124" s="26" t="str">
        <f aca="false">IF(OR(B124="",NOT(ISNUMBER(DB_Colleges!AD118))),"",DB_Colleges!AD118)</f>
        <v/>
      </c>
      <c r="I124" s="29" t="n">
        <f aca="false">IF(B124="","",IF(COUNT(DB_Colleges!I118:O118)=0,IF(DB_Colleges!P118="Yes","Rolling","Check site"),MIN(DB_Colleges!I118:O118)))</f>
        <v>46327</v>
      </c>
      <c r="J124" s="26" t="str">
        <f aca="false">IF(OR(B124="",COUNT(DB_Colleges!I118:O118)=0),"",INDEX({"ED","ED II","EA","EA II","REA","RD","Priority"},MATCH(MIN(DB_Colleges!I118:O118),DB_Colleges!I118:O118,0)))</f>
        <v>REA</v>
      </c>
      <c r="K124" s="29" t="n">
        <f aca="false">IF(OR(B124="",NOT(ISNUMBER(DB_Colleges!N118))),"",DB_Colleges!N118)</f>
        <v>46388</v>
      </c>
      <c r="L124" s="26" t="str">
        <f aca="false">IF(B124="","",DB_Colleges!G118&amp;"")</f>
        <v>Common App; QuestBridge</v>
      </c>
      <c r="M124" s="30" t="str">
        <f aca="false">IF(OR(B124="",NOT(ISNUMBER(DB_Colleges!S118))),"",DB_Colleges!S118)</f>
        <v/>
      </c>
      <c r="N124" s="26" t="str">
        <f aca="false">IF(B124="","",DB_Colleges!U118&amp;"")</f>
        <v/>
      </c>
      <c r="O124" s="26" t="str">
        <f aca="false">IF(B124="","",IF(ISNUMBER(DB_Colleges!AH118),DB_Colleges!AH118,"Check"))</f>
        <v>Check</v>
      </c>
      <c r="P124" s="26" t="str">
        <f aca="false">IF(B124="","",DB_Colleges!W118&amp;"")</f>
        <v/>
      </c>
      <c r="Q124" s="30" t="n">
        <f aca="false">IF(OR(B124="",NOT(ISNUMBER(DB_Colleges!AF118))),"",DB_Colleges!AF118)</f>
        <v>7943</v>
      </c>
      <c r="R124" s="28" t="n">
        <f aca="false">IF(OR(B124="",NOT(ISNUMBER(DB_Colleges!AG118))),"",DB_Colleges!AG118)</f>
        <v>0.96</v>
      </c>
      <c r="S124" s="26" t="str">
        <f aca="false">IF(B124="","",DB_Colleges!AK118&amp;"")</f>
        <v>Typical dates, confirm</v>
      </c>
      <c r="T124" s="26" t="str">
        <f aca="false">IF(B124="","",DB_Colleges!AI118&amp;"")</f>
        <v/>
      </c>
      <c r="U124" s="1" t="n">
        <f aca="false">IF(AND(ISNUMBER($X$4),ISNUMBER(DB_Colleges!Z118),ISNUMBER(DB_Colleges!AA118)),IF($X$4&gt;=DB_Colleges!AA118,1,IF($X$4&lt;DB_Colleges!Z118,-1,0)),"")</f>
        <v>-1</v>
      </c>
      <c r="V124" s="1" t="str">
        <f aca="false">IF(AND(ISNUMBER($Y$4),ISNUMBER(DB_Colleges!AD118)),IF($Y$4&gt;=DB_Colleges!AD118+0.15,1,IF($Y$4&lt;DB_Colleges!AD118-0.2,-1,0)),"")</f>
        <v/>
      </c>
      <c r="W124" s="1" t="n">
        <f aca="false">IF(COUNT(U124:V124)=0,0,MIN(U124:V124))</f>
        <v>-1</v>
      </c>
    </row>
    <row r="125" customFormat="false" ht="15" hidden="false" customHeight="true" outlineLevel="0" collapsed="false">
      <c r="A125" s="26" t="str">
        <f aca="false">IF(B125="","",IF(COUNTIF('My Colleges'!$B$8:$B$27,B125)&gt;0,"On list",""))</f>
        <v/>
      </c>
      <c r="B125" s="27" t="str">
        <f aca="false">IF(DB_Colleges!A119="","",DB_Colleges!A119)</f>
        <v>Georgetown University</v>
      </c>
      <c r="C125" s="26" t="str">
        <f aca="false">IF(B125="","",DB_Colleges!B119)</f>
        <v>Highly Selective</v>
      </c>
      <c r="D125" s="26" t="str">
        <f aca="false">IF(B125="","",DB_Colleges!C119&amp;", "&amp;DB_Colleges!D119)</f>
        <v>Washington, DC</v>
      </c>
      <c r="E125" s="26" t="str">
        <f aca="false">IF(B125="","",IF(AND(NOT(ISNUMBER($X$4)),NOT(ISNUMBER($Y$4))),"Add scores",IF(NOT(ISNUMBER(DB_Colleges!Y119)),IF(OR(C125="Ivy League",C125="Highly Selective"),"Reach",IF(COUNT(U125:V125)=0,"No data",CHOOSE(W125+2,"Reach","Target","Likely"))),IF(DB_Colleges!Y119&lt;0.15,"Reach",IF(DB_Colleges!Y119&gt;=0.75,IF(W125&gt;=0,"Likely","Target"),IF(DB_Colleges!Y119&gt;=0.4,CHOOSE(W125+2,"Reach","Target","Likely"),IF(W125=1,"Target","Reach")))))))</f>
        <v>Reach</v>
      </c>
      <c r="F125" s="28" t="n">
        <f aca="false">IF(OR(B125="",NOT(ISNUMBER(DB_Colleges!Y119))),"",DB_Colleges!Y119)</f>
        <v>0.129</v>
      </c>
      <c r="G125" s="26" t="str">
        <f aca="false">IF(OR(B125="",NOT(ISNUMBER(DB_Colleges!Z119))),"",DB_Colleges!Z119&amp;"-"&amp;DB_Colleges!AA119)</f>
        <v>1390-1550</v>
      </c>
      <c r="H125" s="26" t="str">
        <f aca="false">IF(OR(B125="",NOT(ISNUMBER(DB_Colleges!AD119))),"",DB_Colleges!AD119)</f>
        <v/>
      </c>
      <c r="I125" s="29" t="n">
        <f aca="false">IF(B125="","",IF(COUNT(DB_Colleges!I119:O119)=0,IF(DB_Colleges!P119="Yes","Rolling","Check site"),MIN(DB_Colleges!I119:O119)))</f>
        <v>46327</v>
      </c>
      <c r="J125" s="26" t="str">
        <f aca="false">IF(OR(B125="",COUNT(DB_Colleges!I119:O119)=0),"",INDEX({"ED","ED II","EA","EA II","REA","RD","Priority"},MATCH(MIN(DB_Colleges!I119:O119),DB_Colleges!I119:O119,0)))</f>
        <v>EA</v>
      </c>
      <c r="K125" s="29" t="n">
        <f aca="false">IF(OR(B125="",NOT(ISNUMBER(DB_Colleges!N119))),"",DB_Colleges!N119)</f>
        <v>46397</v>
      </c>
      <c r="L125" s="26" t="str">
        <f aca="false">IF(B125="","",DB_Colleges!G119&amp;"")</f>
        <v>Georgetown application (not Common App)</v>
      </c>
      <c r="M125" s="30" t="str">
        <f aca="false">IF(OR(B125="",NOT(ISNUMBER(DB_Colleges!S119))),"",DB_Colleges!S119)</f>
        <v/>
      </c>
      <c r="N125" s="26" t="str">
        <f aca="false">IF(B125="","",DB_Colleges!U119&amp;"")</f>
        <v/>
      </c>
      <c r="O125" s="26" t="str">
        <f aca="false">IF(B125="","",IF(ISNUMBER(DB_Colleges!AH119),DB_Colleges!AH119,"Check"))</f>
        <v>Check</v>
      </c>
      <c r="P125" s="26" t="str">
        <f aca="false">IF(B125="","",DB_Colleges!W119&amp;"")</f>
        <v/>
      </c>
      <c r="Q125" s="30" t="n">
        <f aca="false">IF(OR(B125="",NOT(ISNUMBER(DB_Colleges!AF119))),"",DB_Colleges!AF119)</f>
        <v>5640</v>
      </c>
      <c r="R125" s="28" t="n">
        <f aca="false">IF(OR(B125="",NOT(ISNUMBER(DB_Colleges!AG119))),"",DB_Colleges!AG119)</f>
        <v>0.94</v>
      </c>
      <c r="S125" s="26" t="str">
        <f aca="false">IF(B125="","",DB_Colleges!AK119&amp;"")</f>
        <v>Typical dates, confirm</v>
      </c>
      <c r="T125" s="26" t="str">
        <f aca="false">IF(B125="","",DB_Colleges!AI119&amp;"")</f>
        <v/>
      </c>
      <c r="U125" s="1" t="n">
        <f aca="false">IF(AND(ISNUMBER($X$4),ISNUMBER(DB_Colleges!Z119),ISNUMBER(DB_Colleges!AA119)),IF($X$4&gt;=DB_Colleges!AA119,1,IF($X$4&lt;DB_Colleges!Z119,-1,0)),"")</f>
        <v>-1</v>
      </c>
      <c r="V125" s="1" t="str">
        <f aca="false">IF(AND(ISNUMBER($Y$4),ISNUMBER(DB_Colleges!AD119)),IF($Y$4&gt;=DB_Colleges!AD119+0.15,1,IF($Y$4&lt;DB_Colleges!AD119-0.2,-1,0)),"")</f>
        <v/>
      </c>
      <c r="W125" s="1" t="n">
        <f aca="false">IF(COUNT(U125:V125)=0,0,MIN(U125:V125))</f>
        <v>-1</v>
      </c>
    </row>
    <row r="126" customFormat="false" ht="15" hidden="false" customHeight="true" outlineLevel="0" collapsed="false">
      <c r="A126" s="26" t="str">
        <f aca="false">IF(B126="","",IF(COUNTIF('My Colleges'!$B$8:$B$27,B126)&gt;0,"On list",""))</f>
        <v/>
      </c>
      <c r="B126" s="27" t="str">
        <f aca="false">IF(DB_Colleges!A120="","",DB_Colleges!A120)</f>
        <v>Tufts University</v>
      </c>
      <c r="C126" s="26" t="str">
        <f aca="false">IF(B126="","",DB_Colleges!B120)</f>
        <v>Highly Selective</v>
      </c>
      <c r="D126" s="26" t="str">
        <f aca="false">IF(B126="","",DB_Colleges!C120&amp;", "&amp;DB_Colleges!D120)</f>
        <v>Medford, MA</v>
      </c>
      <c r="E126" s="26" t="str">
        <f aca="false">IF(B126="","",IF(AND(NOT(ISNUMBER($X$4)),NOT(ISNUMBER($Y$4))),"Add scores",IF(NOT(ISNUMBER(DB_Colleges!Y120)),IF(OR(C126="Ivy League",C126="Highly Selective"),"Reach",IF(COUNT(U126:V126)=0,"No data",CHOOSE(W126+2,"Reach","Target","Likely"))),IF(DB_Colleges!Y120&lt;0.15,"Reach",IF(DB_Colleges!Y120&gt;=0.75,IF(W126&gt;=0,"Likely","Target"),IF(DB_Colleges!Y120&gt;=0.4,CHOOSE(W126+2,"Reach","Target","Likely"),IF(W126=1,"Target","Reach")))))))</f>
        <v>Reach</v>
      </c>
      <c r="F126" s="28" t="n">
        <f aca="false">IF(OR(B126="",NOT(ISNUMBER(DB_Colleges!Y120))),"",DB_Colleges!Y120)</f>
        <v>0.115</v>
      </c>
      <c r="G126" s="26" t="str">
        <f aca="false">IF(OR(B126="",NOT(ISNUMBER(DB_Colleges!Z120))),"",DB_Colleges!Z120&amp;"-"&amp;DB_Colleges!AA120)</f>
        <v>1470-1560</v>
      </c>
      <c r="H126" s="26" t="str">
        <f aca="false">IF(OR(B126="",NOT(ISNUMBER(DB_Colleges!AD120))),"",DB_Colleges!AD120)</f>
        <v/>
      </c>
      <c r="I126" s="29" t="n">
        <f aca="false">IF(B126="","",IF(COUNT(DB_Colleges!I120:O120)=0,IF(DB_Colleges!P120="Yes","Rolling","Check site"),MIN(DB_Colleges!I120:O120)))</f>
        <v>46327</v>
      </c>
      <c r="J126" s="26" t="str">
        <f aca="false">IF(OR(B126="",COUNT(DB_Colleges!I120:O120)=0),"",INDEX({"ED","ED II","EA","EA II","REA","RD","Priority"},MATCH(MIN(DB_Colleges!I120:O120),DB_Colleges!I120:O120,0)))</f>
        <v>ED</v>
      </c>
      <c r="K126" s="29" t="n">
        <f aca="false">IF(OR(B126="",NOT(ISNUMBER(DB_Colleges!N120))),"",DB_Colleges!N120)</f>
        <v>46391</v>
      </c>
      <c r="L126" s="26" t="str">
        <f aca="false">IF(B126="","",DB_Colleges!G120&amp;"")</f>
        <v>Common App; QuestBridge</v>
      </c>
      <c r="M126" s="30" t="str">
        <f aca="false">IF(OR(B126="",NOT(ISNUMBER(DB_Colleges!S120))),"",DB_Colleges!S120)</f>
        <v/>
      </c>
      <c r="N126" s="26" t="str">
        <f aca="false">IF(B126="","",DB_Colleges!U120&amp;"")</f>
        <v/>
      </c>
      <c r="O126" s="26" t="str">
        <f aca="false">IF(B126="","",IF(ISNUMBER(DB_Colleges!AH120),DB_Colleges!AH120,"Check"))</f>
        <v>Check</v>
      </c>
      <c r="P126" s="26" t="str">
        <f aca="false">IF(B126="","",DB_Colleges!W120&amp;"")</f>
        <v/>
      </c>
      <c r="Q126" s="30" t="n">
        <f aca="false">IF(OR(B126="",NOT(ISNUMBER(DB_Colleges!AF120))),"",DB_Colleges!AF120)</f>
        <v>12594</v>
      </c>
      <c r="R126" s="28" t="n">
        <f aca="false">IF(OR(B126="",NOT(ISNUMBER(DB_Colleges!AG120))),"",DB_Colleges!AG120)</f>
        <v>0.9</v>
      </c>
      <c r="S126" s="26" t="str">
        <f aca="false">IF(B126="","",DB_Colleges!AK120&amp;"")</f>
        <v>Typical dates, confirm</v>
      </c>
      <c r="T126" s="26" t="str">
        <f aca="false">IF(B126="","",DB_Colleges!AI120&amp;"")</f>
        <v/>
      </c>
      <c r="U126" s="1" t="n">
        <f aca="false">IF(AND(ISNUMBER($X$4),ISNUMBER(DB_Colleges!Z120),ISNUMBER(DB_Colleges!AA120)),IF($X$4&gt;=DB_Colleges!AA120,1,IF($X$4&lt;DB_Colleges!Z120,-1,0)),"")</f>
        <v>-1</v>
      </c>
      <c r="V126" s="1" t="str">
        <f aca="false">IF(AND(ISNUMBER($Y$4),ISNUMBER(DB_Colleges!AD120)),IF($Y$4&gt;=DB_Colleges!AD120+0.15,1,IF($Y$4&lt;DB_Colleges!AD120-0.2,-1,0)),"")</f>
        <v/>
      </c>
      <c r="W126" s="1" t="n">
        <f aca="false">IF(COUNT(U126:V126)=0,0,MIN(U126:V126))</f>
        <v>-1</v>
      </c>
    </row>
    <row r="127" customFormat="false" ht="15" hidden="false" customHeight="true" outlineLevel="0" collapsed="false">
      <c r="A127" s="26" t="str">
        <f aca="false">IF(B127="","",IF(COUNTIF('My Colleges'!$B$8:$B$27,B127)&gt;0,"On list",""))</f>
        <v/>
      </c>
      <c r="B127" s="27" t="str">
        <f aca="false">IF(DB_Colleges!A121="","",DB_Colleges!A121)</f>
        <v>Wake Forest University</v>
      </c>
      <c r="C127" s="26" t="str">
        <f aca="false">IF(B127="","",DB_Colleges!B121)</f>
        <v>Highly Selective</v>
      </c>
      <c r="D127" s="26" t="str">
        <f aca="false">IF(B127="","",DB_Colleges!C121&amp;", "&amp;DB_Colleges!D121)</f>
        <v>Winston-Salem, NC</v>
      </c>
      <c r="E127" s="26" t="str">
        <f aca="false">IF(B127="","",IF(AND(NOT(ISNUMBER($X$4)),NOT(ISNUMBER($Y$4))),"Add scores",IF(NOT(ISNUMBER(DB_Colleges!Y121)),IF(OR(C127="Ivy League",C127="Highly Selective"),"Reach",IF(COUNT(U127:V127)=0,"No data",CHOOSE(W127+2,"Reach","Target","Likely"))),IF(DB_Colleges!Y121&lt;0.15,"Reach",IF(DB_Colleges!Y121&gt;=0.75,IF(W127&gt;=0,"Likely","Target"),IF(DB_Colleges!Y121&gt;=0.4,CHOOSE(W127+2,"Reach","Target","Likely"),IF(W127=1,"Target","Reach")))))))</f>
        <v>Reach</v>
      </c>
      <c r="F127" s="28" t="n">
        <f aca="false">IF(OR(B127="",NOT(ISNUMBER(DB_Colleges!Y121))),"",DB_Colleges!Y121)</f>
        <v>0.217</v>
      </c>
      <c r="G127" s="26" t="str">
        <f aca="false">IF(OR(B127="",NOT(ISNUMBER(DB_Colleges!Z121))),"",DB_Colleges!Z121&amp;"-"&amp;DB_Colleges!AA121)</f>
        <v>1410-1520</v>
      </c>
      <c r="H127" s="26" t="str">
        <f aca="false">IF(OR(B127="",NOT(ISNUMBER(DB_Colleges!AD121))),"",DB_Colleges!AD121)</f>
        <v/>
      </c>
      <c r="I127" s="29" t="n">
        <f aca="false">IF(B127="","",IF(COUNT(DB_Colleges!I121:O121)=0,IF(DB_Colleges!P121="Yes","Rolling","Check site"),MIN(DB_Colleges!I121:O121)))</f>
        <v>46341</v>
      </c>
      <c r="J127" s="26" t="str">
        <f aca="false">IF(OR(B127="",COUNT(DB_Colleges!I121:O121)=0),"",INDEX({"ED","ED II","EA","EA II","REA","RD","Priority"},MATCH(MIN(DB_Colleges!I121:O121),DB_Colleges!I121:O121,0)))</f>
        <v>ED</v>
      </c>
      <c r="K127" s="29" t="n">
        <f aca="false">IF(OR(B127="",NOT(ISNUMBER(DB_Colleges!N121))),"",DB_Colleges!N121)</f>
        <v>46388</v>
      </c>
      <c r="L127" s="26" t="str">
        <f aca="false">IF(B127="","",DB_Colleges!G121&amp;"")</f>
        <v>Common App</v>
      </c>
      <c r="M127" s="30" t="str">
        <f aca="false">IF(OR(B127="",NOT(ISNUMBER(DB_Colleges!S121))),"",DB_Colleges!S121)</f>
        <v/>
      </c>
      <c r="N127" s="26" t="str">
        <f aca="false">IF(B127="","",DB_Colleges!U121&amp;"")</f>
        <v/>
      </c>
      <c r="O127" s="26" t="str">
        <f aca="false">IF(B127="","",IF(ISNUMBER(DB_Colleges!AH121),DB_Colleges!AH121,"Check"))</f>
        <v>Check</v>
      </c>
      <c r="P127" s="26" t="str">
        <f aca="false">IF(B127="","",DB_Colleges!W121&amp;"")</f>
        <v/>
      </c>
      <c r="Q127" s="30" t="n">
        <f aca="false">IF(OR(B127="",NOT(ISNUMBER(DB_Colleges!AF121))),"",DB_Colleges!AF121)</f>
        <v>7279</v>
      </c>
      <c r="R127" s="28" t="n">
        <f aca="false">IF(OR(B127="",NOT(ISNUMBER(DB_Colleges!AG121))),"",DB_Colleges!AG121)</f>
        <v>0.88</v>
      </c>
      <c r="S127" s="26" t="str">
        <f aca="false">IF(B127="","",DB_Colleges!AK121&amp;"")</f>
        <v>Typical dates, confirm</v>
      </c>
      <c r="T127" s="26" t="str">
        <f aca="false">IF(B127="","",DB_Colleges!AI121&amp;"")</f>
        <v/>
      </c>
      <c r="U127" s="1" t="n">
        <f aca="false">IF(AND(ISNUMBER($X$4),ISNUMBER(DB_Colleges!Z121),ISNUMBER(DB_Colleges!AA121)),IF($X$4&gt;=DB_Colleges!AA121,1,IF($X$4&lt;DB_Colleges!Z121,-1,0)),"")</f>
        <v>-1</v>
      </c>
      <c r="V127" s="1" t="str">
        <f aca="false">IF(AND(ISNUMBER($Y$4),ISNUMBER(DB_Colleges!AD121)),IF($Y$4&gt;=DB_Colleges!AD121+0.15,1,IF($Y$4&lt;DB_Colleges!AD121-0.2,-1,0)),"")</f>
        <v/>
      </c>
      <c r="W127" s="1" t="n">
        <f aca="false">IF(COUNT(U127:V127)=0,0,MIN(U127:V127))</f>
        <v>-1</v>
      </c>
    </row>
    <row r="128" customFormat="false" ht="15" hidden="false" customHeight="true" outlineLevel="0" collapsed="false">
      <c r="A128" s="26" t="str">
        <f aca="false">IF(B128="","",IF(COUNTIF('My Colleges'!$B$8:$B$27,B128)&gt;0,"On list",""))</f>
        <v/>
      </c>
      <c r="B128" s="27" t="str">
        <f aca="false">IF(DB_Colleges!A122="","",DB_Colleges!A122)</f>
        <v>Davidson College</v>
      </c>
      <c r="C128" s="26" t="str">
        <f aca="false">IF(B128="","",DB_Colleges!B122)</f>
        <v>Highly Selective</v>
      </c>
      <c r="D128" s="26" t="str">
        <f aca="false">IF(B128="","",DB_Colleges!C122&amp;", "&amp;DB_Colleges!D122)</f>
        <v>Davidson, NC</v>
      </c>
      <c r="E128" s="26" t="str">
        <f aca="false">IF(B128="","",IF(AND(NOT(ISNUMBER($X$4)),NOT(ISNUMBER($Y$4))),"Add scores",IF(NOT(ISNUMBER(DB_Colleges!Y122)),IF(OR(C128="Ivy League",C128="Highly Selective"),"Reach",IF(COUNT(U128:V128)=0,"No data",CHOOSE(W128+2,"Reach","Target","Likely"))),IF(DB_Colleges!Y122&lt;0.15,"Reach",IF(DB_Colleges!Y122&gt;=0.75,IF(W128&gt;=0,"Likely","Target"),IF(DB_Colleges!Y122&gt;=0.4,CHOOSE(W128+2,"Reach","Target","Likely"),IF(W128=1,"Target","Reach")))))))</f>
        <v>Reach</v>
      </c>
      <c r="F128" s="28" t="n">
        <f aca="false">IF(OR(B128="",NOT(ISNUMBER(DB_Colleges!Y122))),"",DB_Colleges!Y122)</f>
        <v>0.1337</v>
      </c>
      <c r="G128" s="26" t="str">
        <f aca="false">IF(OR(B128="",NOT(ISNUMBER(DB_Colleges!Z122))),"",DB_Colleges!Z122&amp;"-"&amp;DB_Colleges!AA122)</f>
        <v>1400-1530</v>
      </c>
      <c r="H128" s="26" t="str">
        <f aca="false">IF(OR(B128="",NOT(ISNUMBER(DB_Colleges!AD122))),"",DB_Colleges!AD122)</f>
        <v/>
      </c>
      <c r="I128" s="29" t="n">
        <f aca="false">IF(B128="","",IF(COUNT(DB_Colleges!I122:O122)=0,IF(DB_Colleges!P122="Yes","Rolling","Check site"),MIN(DB_Colleges!I122:O122)))</f>
        <v>46341</v>
      </c>
      <c r="J128" s="26" t="str">
        <f aca="false">IF(OR(B128="",COUNT(DB_Colleges!I122:O122)=0),"",INDEX({"ED","ED II","EA","EA II","REA","RD","Priority"},MATCH(MIN(DB_Colleges!I122:O122),DB_Colleges!I122:O122,0)))</f>
        <v>ED</v>
      </c>
      <c r="K128" s="29" t="n">
        <f aca="false">IF(OR(B128="",NOT(ISNUMBER(DB_Colleges!N122))),"",DB_Colleges!N122)</f>
        <v>46398</v>
      </c>
      <c r="L128" s="26" t="str">
        <f aca="false">IF(B128="","",DB_Colleges!G122&amp;"")</f>
        <v>Common App; Coalition (Scoir); QuestBridge</v>
      </c>
      <c r="M128" s="30" t="n">
        <f aca="false">IF(OR(B128="",NOT(ISNUMBER(DB_Colleges!S122))),"",DB_Colleges!S122)</f>
        <v>0</v>
      </c>
      <c r="N128" s="26" t="str">
        <f aca="false">IF(B128="","",DB_Colleges!U122&amp;"")</f>
        <v>Optional</v>
      </c>
      <c r="O128" s="26" t="n">
        <f aca="false">IF(B128="","",IF(ISNUMBER(DB_Colleges!AH122),DB_Colleges!AH122,"Check"))</f>
        <v>2</v>
      </c>
      <c r="P128" s="26" t="str">
        <f aca="false">IF(B128="","",DB_Colleges!W122&amp;"")</f>
        <v>Required</v>
      </c>
      <c r="Q128" s="30" t="n">
        <f aca="false">IF(OR(B128="",NOT(ISNUMBER(DB_Colleges!AF122))),"",DB_Colleges!AF122)</f>
        <v>6645</v>
      </c>
      <c r="R128" s="28" t="n">
        <f aca="false">IF(OR(B128="",NOT(ISNUMBER(DB_Colleges!AG122))),"",DB_Colleges!AG122)</f>
        <v>0.91</v>
      </c>
      <c r="S128" s="26" t="str">
        <f aca="false">IF(B128="","",DB_Colleges!AK122&amp;"")</f>
        <v>Mixed</v>
      </c>
      <c r="T128" s="26" t="str">
        <f aca="false">IF(B128="","",DB_Colleges!AI122&amp;"")</f>
        <v>https://www.davidson.edu/admission-and-financial-aid/apply/first-year-applicants</v>
      </c>
      <c r="U128" s="1" t="n">
        <f aca="false">IF(AND(ISNUMBER($X$4),ISNUMBER(DB_Colleges!Z122),ISNUMBER(DB_Colleges!AA122)),IF($X$4&gt;=DB_Colleges!AA122,1,IF($X$4&lt;DB_Colleges!Z122,-1,0)),"")</f>
        <v>-1</v>
      </c>
      <c r="V128" s="1" t="str">
        <f aca="false">IF(AND(ISNUMBER($Y$4),ISNUMBER(DB_Colleges!AD122)),IF($Y$4&gt;=DB_Colleges!AD122+0.15,1,IF($Y$4&lt;DB_Colleges!AD122-0.2,-1,0)),"")</f>
        <v/>
      </c>
      <c r="W128" s="1" t="n">
        <f aca="false">IF(COUNT(U128:V128)=0,0,MIN(U128:V128))</f>
        <v>-1</v>
      </c>
    </row>
    <row r="129" customFormat="false" ht="15" hidden="false" customHeight="true" outlineLevel="0" collapsed="false">
      <c r="A129" s="26" t="str">
        <f aca="false">IF(B129="","",IF(COUNTIF('My Colleges'!$B$8:$B$27,B129)&gt;0,"On list",""))</f>
        <v/>
      </c>
      <c r="B129" s="27" t="str">
        <f aca="false">IF(DB_Colleges!A123="","",DB_Colleges!A123)</f>
        <v>Amherst College</v>
      </c>
      <c r="C129" s="26" t="str">
        <f aca="false">IF(B129="","",DB_Colleges!B123)</f>
        <v>Highly Selective</v>
      </c>
      <c r="D129" s="26" t="str">
        <f aca="false">IF(B129="","",DB_Colleges!C123&amp;", "&amp;DB_Colleges!D123)</f>
        <v>Amherst, MA</v>
      </c>
      <c r="E129" s="26" t="str">
        <f aca="false">IF(B129="","",IF(AND(NOT(ISNUMBER($X$4)),NOT(ISNUMBER($Y$4))),"Add scores",IF(NOT(ISNUMBER(DB_Colleges!Y123)),IF(OR(C129="Ivy League",C129="Highly Selective"),"Reach",IF(COUNT(U129:V129)=0,"No data",CHOOSE(W129+2,"Reach","Target","Likely"))),IF(DB_Colleges!Y123&lt;0.15,"Reach",IF(DB_Colleges!Y123&gt;=0.75,IF(W129&gt;=0,"Likely","Target"),IF(DB_Colleges!Y123&gt;=0.4,CHOOSE(W129+2,"Reach","Target","Likely"),IF(W129=1,"Target","Reach")))))))</f>
        <v>Reach</v>
      </c>
      <c r="F129" s="28" t="n">
        <f aca="false">IF(OR(B129="",NOT(ISNUMBER(DB_Colleges!Y123))),"",DB_Colleges!Y123)</f>
        <v>0.0901</v>
      </c>
      <c r="G129" s="26" t="str">
        <f aca="false">IF(OR(B129="",NOT(ISNUMBER(DB_Colleges!Z123))),"",DB_Colleges!Z123&amp;"-"&amp;DB_Colleges!AA123)</f>
        <v>1490-1580</v>
      </c>
      <c r="H129" s="26" t="str">
        <f aca="false">IF(OR(B129="",NOT(ISNUMBER(DB_Colleges!AD123))),"",DB_Colleges!AD123)</f>
        <v/>
      </c>
      <c r="I129" s="29" t="n">
        <f aca="false">IF(B129="","",IF(COUNT(DB_Colleges!I123:O123)=0,IF(DB_Colleges!P123="Yes","Rolling","Check site"),MIN(DB_Colleges!I123:O123)))</f>
        <v>46335</v>
      </c>
      <c r="J129" s="26" t="str">
        <f aca="false">IF(OR(B129="",COUNT(DB_Colleges!I123:O123)=0),"",INDEX({"ED","ED II","EA","EA II","REA","RD","Priority"},MATCH(MIN(DB_Colleges!I123:O123),DB_Colleges!I123:O123,0)))</f>
        <v>ED</v>
      </c>
      <c r="K129" s="29" t="n">
        <f aca="false">IF(OR(B129="",NOT(ISNUMBER(DB_Colleges!N123))),"",DB_Colleges!N123)</f>
        <v>46392</v>
      </c>
      <c r="L129" s="26" t="str">
        <f aca="false">IF(B129="","",DB_Colleges!G123&amp;"")</f>
        <v>Common App; Coalition (Scoir); QuestBridge</v>
      </c>
      <c r="M129" s="30" t="n">
        <f aca="false">IF(OR(B129="",NOT(ISNUMBER(DB_Colleges!S123))),"",DB_Colleges!S123)</f>
        <v>75</v>
      </c>
      <c r="N129" s="26" t="str">
        <f aca="false">IF(B129="","",DB_Colleges!U123&amp;"")</f>
        <v>Optional</v>
      </c>
      <c r="O129" s="26" t="n">
        <f aca="false">IF(B129="","",IF(ISNUMBER(DB_Colleges!AH123),DB_Colleges!AH123,"Check"))</f>
        <v>1</v>
      </c>
      <c r="P129" s="26" t="str">
        <f aca="false">IF(B129="","",DB_Colleges!W123&amp;"")</f>
        <v/>
      </c>
      <c r="Q129" s="30" t="n">
        <f aca="false">IF(OR(B129="",NOT(ISNUMBER(DB_Colleges!AF123))),"",DB_Colleges!AF123)</f>
        <v>6079</v>
      </c>
      <c r="R129" s="28" t="n">
        <f aca="false">IF(OR(B129="",NOT(ISNUMBER(DB_Colleges!AG123))),"",DB_Colleges!AG123)</f>
        <v>0.94</v>
      </c>
      <c r="S129" s="26" t="str">
        <f aca="false">IF(B129="","",DB_Colleges!AK123&amp;"")</f>
        <v>Mixed</v>
      </c>
      <c r="T129" s="26" t="str">
        <f aca="false">IF(B129="","",DB_Colleges!AI123&amp;"")</f>
        <v>https://www.amherst.edu/admission/apply/firstyear</v>
      </c>
      <c r="U129" s="1" t="n">
        <f aca="false">IF(AND(ISNUMBER($X$4),ISNUMBER(DB_Colleges!Z123),ISNUMBER(DB_Colleges!AA123)),IF($X$4&gt;=DB_Colleges!AA123,1,IF($X$4&lt;DB_Colleges!Z123,-1,0)),"")</f>
        <v>-1</v>
      </c>
      <c r="V129" s="1" t="str">
        <f aca="false">IF(AND(ISNUMBER($Y$4),ISNUMBER(DB_Colleges!AD123)),IF($Y$4&gt;=DB_Colleges!AD123+0.15,1,IF($Y$4&lt;DB_Colleges!AD123-0.2,-1,0)),"")</f>
        <v/>
      </c>
      <c r="W129" s="1" t="n">
        <f aca="false">IF(COUNT(U129:V129)=0,0,MIN(U129:V129))</f>
        <v>-1</v>
      </c>
    </row>
    <row r="130" customFormat="false" ht="15" hidden="false" customHeight="true" outlineLevel="0" collapsed="false">
      <c r="A130" s="26" t="str">
        <f aca="false">IF(B130="","",IF(COUNTIF('My Colleges'!$B$8:$B$27,B130)&gt;0,"On list",""))</f>
        <v/>
      </c>
      <c r="B130" s="27" t="str">
        <f aca="false">IF(DB_Colleges!A124="","",DB_Colleges!A124)</f>
        <v>Williams College</v>
      </c>
      <c r="C130" s="26" t="str">
        <f aca="false">IF(B130="","",DB_Colleges!B124)</f>
        <v>Highly Selective</v>
      </c>
      <c r="D130" s="26" t="str">
        <f aca="false">IF(B130="","",DB_Colleges!C124&amp;", "&amp;DB_Colleges!D124)</f>
        <v>Williamstown, MA</v>
      </c>
      <c r="E130" s="26" t="str">
        <f aca="false">IF(B130="","",IF(AND(NOT(ISNUMBER($X$4)),NOT(ISNUMBER($Y$4))),"Add scores",IF(NOT(ISNUMBER(DB_Colleges!Y124)),IF(OR(C130="Ivy League",C130="Highly Selective"),"Reach",IF(COUNT(U130:V130)=0,"No data",CHOOSE(W130+2,"Reach","Target","Likely"))),IF(DB_Colleges!Y124&lt;0.15,"Reach",IF(DB_Colleges!Y124&gt;=0.75,IF(W130&gt;=0,"Likely","Target"),IF(DB_Colleges!Y124&gt;=0.4,CHOOSE(W130+2,"Reach","Target","Likely"),IF(W130=1,"Target","Reach")))))))</f>
        <v>Reach</v>
      </c>
      <c r="F130" s="28" t="n">
        <f aca="false">IF(OR(B130="",NOT(ISNUMBER(DB_Colleges!Y124))),"",DB_Colleges!Y124)</f>
        <v>0.0825</v>
      </c>
      <c r="G130" s="26" t="str">
        <f aca="false">IF(OR(B130="",NOT(ISNUMBER(DB_Colleges!Z124))),"",DB_Colleges!Z124&amp;"-"&amp;DB_Colleges!AA124)</f>
        <v/>
      </c>
      <c r="H130" s="26" t="str">
        <f aca="false">IF(OR(B130="",NOT(ISNUMBER(DB_Colleges!AD124))),"",DB_Colleges!AD124)</f>
        <v/>
      </c>
      <c r="I130" s="29" t="n">
        <f aca="false">IF(B130="","",IF(COUNT(DB_Colleges!I124:O124)=0,IF(DB_Colleges!P124="Yes","Rolling","Check site"),MIN(DB_Colleges!I124:O124)))</f>
        <v>46341</v>
      </c>
      <c r="J130" s="26" t="str">
        <f aca="false">IF(OR(B130="",COUNT(DB_Colleges!I124:O124)=0),"",INDEX({"ED","ED II","EA","EA II","REA","RD","Priority"},MATCH(MIN(DB_Colleges!I124:O124),DB_Colleges!I124:O124,0)))</f>
        <v>ED</v>
      </c>
      <c r="K130" s="29" t="n">
        <f aca="false">IF(OR(B130="",NOT(ISNUMBER(DB_Colleges!N124))),"",DB_Colleges!N124)</f>
        <v>46391</v>
      </c>
      <c r="L130" s="26" t="str">
        <f aca="false">IF(B130="","",DB_Colleges!G124&amp;"")</f>
        <v>Common App; Coalition (Scoir); QuestBridge</v>
      </c>
      <c r="M130" s="30" t="n">
        <f aca="false">IF(OR(B130="",NOT(ISNUMBER(DB_Colleges!S124))),"",DB_Colleges!S124)</f>
        <v>65</v>
      </c>
      <c r="N130" s="26" t="str">
        <f aca="false">IF(B130="","",DB_Colleges!U124&amp;"")</f>
        <v>Optional</v>
      </c>
      <c r="O130" s="26" t="n">
        <f aca="false">IF(B130="","",IF(ISNUMBER(DB_Colleges!AH124),DB_Colleges!AH124,"Check"))</f>
        <v>0</v>
      </c>
      <c r="P130" s="26" t="str">
        <f aca="false">IF(B130="","",DB_Colleges!W124&amp;"")</f>
        <v/>
      </c>
      <c r="Q130" s="30" t="n">
        <f aca="false">IF(OR(B130="",NOT(ISNUMBER(DB_Colleges!AF124))),"",DB_Colleges!AF124)</f>
        <v>2498</v>
      </c>
      <c r="R130" s="28" t="n">
        <f aca="false">IF(OR(B130="",NOT(ISNUMBER(DB_Colleges!AG124))),"",DB_Colleges!AG124)</f>
        <v>0.94</v>
      </c>
      <c r="S130" s="26" t="str">
        <f aca="false">IF(B130="","",DB_Colleges!AK124&amp;"")</f>
        <v>Official 2026-27</v>
      </c>
      <c r="T130" s="26" t="str">
        <f aca="false">IF(B130="","",DB_Colleges!AI124&amp;"")</f>
        <v>https://www.williams.edu/admission-aid/how-to-apply/first-year/</v>
      </c>
      <c r="U130" s="1" t="str">
        <f aca="false">IF(AND(ISNUMBER($X$4),ISNUMBER(DB_Colleges!Z124),ISNUMBER(DB_Colleges!AA124)),IF($X$4&gt;=DB_Colleges!AA124,1,IF($X$4&lt;DB_Colleges!Z124,-1,0)),"")</f>
        <v/>
      </c>
      <c r="V130" s="1" t="str">
        <f aca="false">IF(AND(ISNUMBER($Y$4),ISNUMBER(DB_Colleges!AD124)),IF($Y$4&gt;=DB_Colleges!AD124+0.15,1,IF($Y$4&lt;DB_Colleges!AD124-0.2,-1,0)),"")</f>
        <v/>
      </c>
      <c r="W130" s="1" t="n">
        <f aca="false">IF(COUNT(U130:V130)=0,0,MIN(U130:V130))</f>
        <v>0</v>
      </c>
    </row>
    <row r="131" customFormat="false" ht="15" hidden="false" customHeight="true" outlineLevel="0" collapsed="false">
      <c r="A131" s="26" t="str">
        <f aca="false">IF(B131="","",IF(COUNTIF('My Colleges'!$B$8:$B$27,B131)&gt;0,"On list",""))</f>
        <v/>
      </c>
      <c r="B131" s="27" t="str">
        <f aca="false">IF(DB_Colleges!A125="","",DB_Colleges!A125)</f>
        <v>Swarthmore College</v>
      </c>
      <c r="C131" s="26" t="str">
        <f aca="false">IF(B131="","",DB_Colleges!B125)</f>
        <v>Highly Selective</v>
      </c>
      <c r="D131" s="26" t="str">
        <f aca="false">IF(B131="","",DB_Colleges!C125&amp;", "&amp;DB_Colleges!D125)</f>
        <v>Swarthmore, PA</v>
      </c>
      <c r="E131" s="26" t="str">
        <f aca="false">IF(B131="","",IF(AND(NOT(ISNUMBER($X$4)),NOT(ISNUMBER($Y$4))),"Add scores",IF(NOT(ISNUMBER(DB_Colleges!Y125)),IF(OR(C131="Ivy League",C131="Highly Selective"),"Reach",IF(COUNT(U131:V131)=0,"No data",CHOOSE(W131+2,"Reach","Target","Likely"))),IF(DB_Colleges!Y125&lt;0.15,"Reach",IF(DB_Colleges!Y125&gt;=0.75,IF(W131&gt;=0,"Likely","Target"),IF(DB_Colleges!Y125&gt;=0.4,CHOOSE(W131+2,"Reach","Target","Likely"),IF(W131=1,"Target","Reach")))))))</f>
        <v>Reach</v>
      </c>
      <c r="F131" s="28" t="n">
        <f aca="false">IF(OR(B131="",NOT(ISNUMBER(DB_Colleges!Y125))),"",DB_Colleges!Y125)</f>
        <v>0.0746</v>
      </c>
      <c r="G131" s="26" t="str">
        <f aca="false">IF(OR(B131="",NOT(ISNUMBER(DB_Colleges!Z125))),"",DB_Colleges!Z125&amp;"-"&amp;DB_Colleges!AA125)</f>
        <v>1490-1560</v>
      </c>
      <c r="H131" s="26" t="str">
        <f aca="false">IF(OR(B131="",NOT(ISNUMBER(DB_Colleges!AD125))),"",DB_Colleges!AD125)</f>
        <v/>
      </c>
      <c r="I131" s="29" t="n">
        <f aca="false">IF(B131="","",IF(COUNT(DB_Colleges!I125:O125)=0,IF(DB_Colleges!P125="Yes","Rolling","Check site"),MIN(DB_Colleges!I125:O125)))</f>
        <v>46341</v>
      </c>
      <c r="J131" s="26" t="str">
        <f aca="false">IF(OR(B131="",COUNT(DB_Colleges!I125:O125)=0),"",INDEX({"ED","ED II","EA","EA II","REA","RD","Priority"},MATCH(MIN(DB_Colleges!I125:O125),DB_Colleges!I125:O125,0)))</f>
        <v>ED</v>
      </c>
      <c r="K131" s="29" t="n">
        <f aca="false">IF(OR(B131="",NOT(ISNUMBER(DB_Colleges!N125))),"",DB_Colleges!N125)</f>
        <v>46391</v>
      </c>
      <c r="L131" s="26" t="str">
        <f aca="false">IF(B131="","",DB_Colleges!G125&amp;"")</f>
        <v>Common App; Coalition (Scoir); QuestBridge</v>
      </c>
      <c r="M131" s="30" t="n">
        <f aca="false">IF(OR(B131="",NOT(ISNUMBER(DB_Colleges!S125))),"",DB_Colleges!S125)</f>
        <v>60</v>
      </c>
      <c r="N131" s="26" t="str">
        <f aca="false">IF(B131="","",DB_Colleges!U125&amp;"")</f>
        <v>Optional</v>
      </c>
      <c r="O131" s="26" t="n">
        <f aca="false">IF(B131="","",IF(ISNUMBER(DB_Colleges!AH125),DB_Colleges!AH125,"Check"))</f>
        <v>2</v>
      </c>
      <c r="P131" s="26" t="str">
        <f aca="false">IF(B131="","",DB_Colleges!W125&amp;"")</f>
        <v/>
      </c>
      <c r="Q131" s="30" t="n">
        <f aca="false">IF(OR(B131="",NOT(ISNUMBER(DB_Colleges!AF125))),"",DB_Colleges!AF125)</f>
        <v>5860</v>
      </c>
      <c r="R131" s="28" t="n">
        <f aca="false">IF(OR(B131="",NOT(ISNUMBER(DB_Colleges!AG125))),"",DB_Colleges!AG125)</f>
        <v>0.92</v>
      </c>
      <c r="S131" s="26" t="str">
        <f aca="false">IF(B131="","",DB_Colleges!AK125&amp;"")</f>
        <v>Official 2026-27</v>
      </c>
      <c r="T131" s="26" t="str">
        <f aca="false">IF(B131="","",DB_Colleges!AI125&amp;"")</f>
        <v>https://www.swarthmore.edu/admissions-aid/application-materials-deadlines</v>
      </c>
      <c r="U131" s="1" t="n">
        <f aca="false">IF(AND(ISNUMBER($X$4),ISNUMBER(DB_Colleges!Z125),ISNUMBER(DB_Colleges!AA125)),IF($X$4&gt;=DB_Colleges!AA125,1,IF($X$4&lt;DB_Colleges!Z125,-1,0)),"")</f>
        <v>-1</v>
      </c>
      <c r="V131" s="1" t="str">
        <f aca="false">IF(AND(ISNUMBER($Y$4),ISNUMBER(DB_Colleges!AD125)),IF($Y$4&gt;=DB_Colleges!AD125+0.15,1,IF($Y$4&lt;DB_Colleges!AD125-0.2,-1,0)),"")</f>
        <v/>
      </c>
      <c r="W131" s="1" t="n">
        <f aca="false">IF(COUNT(U131:V131)=0,0,MIN(U131:V131))</f>
        <v>-1</v>
      </c>
    </row>
    <row r="132" customFormat="false" ht="15" hidden="false" customHeight="true" outlineLevel="0" collapsed="false">
      <c r="A132" s="26" t="str">
        <f aca="false">IF(B132="","",IF(COUNTIF('My Colleges'!$B$8:$B$27,B132)&gt;0,"On list",""))</f>
        <v/>
      </c>
      <c r="B132" s="27" t="str">
        <f aca="false">IF(DB_Colleges!A126="","",DB_Colleges!A126)</f>
        <v>Pomona College</v>
      </c>
      <c r="C132" s="26" t="str">
        <f aca="false">IF(B132="","",DB_Colleges!B126)</f>
        <v>Highly Selective</v>
      </c>
      <c r="D132" s="26" t="str">
        <f aca="false">IF(B132="","",DB_Colleges!C126&amp;", "&amp;DB_Colleges!D126)</f>
        <v>Claremont, CA</v>
      </c>
      <c r="E132" s="26" t="str">
        <f aca="false">IF(B132="","",IF(AND(NOT(ISNUMBER($X$4)),NOT(ISNUMBER($Y$4))),"Add scores",IF(NOT(ISNUMBER(DB_Colleges!Y126)),IF(OR(C132="Ivy League",C132="Highly Selective"),"Reach",IF(COUNT(U132:V132)=0,"No data",CHOOSE(W132+2,"Reach","Target","Likely"))),IF(DB_Colleges!Y126&lt;0.15,"Reach",IF(DB_Colleges!Y126&gt;=0.75,IF(W132&gt;=0,"Likely","Target"),IF(DB_Colleges!Y126&gt;=0.4,CHOOSE(W132+2,"Reach","Target","Likely"),IF(W132=1,"Target","Reach")))))))</f>
        <v>Reach</v>
      </c>
      <c r="F132" s="28" t="n">
        <f aca="false">IF(OR(B132="",NOT(ISNUMBER(DB_Colleges!Y126))),"",DB_Colleges!Y126)</f>
        <v>0.0709</v>
      </c>
      <c r="G132" s="26" t="str">
        <f aca="false">IF(OR(B132="",NOT(ISNUMBER(DB_Colleges!Z126))),"",DB_Colleges!Z126&amp;"-"&amp;DB_Colleges!AA126)</f>
        <v>1490-1560</v>
      </c>
      <c r="H132" s="26" t="str">
        <f aca="false">IF(OR(B132="",NOT(ISNUMBER(DB_Colleges!AD126))),"",DB_Colleges!AD126)</f>
        <v/>
      </c>
      <c r="I132" s="29" t="n">
        <f aca="false">IF(B132="","",IF(COUNT(DB_Colleges!I126:O126)=0,IF(DB_Colleges!P126="Yes","Rolling","Check site"),MIN(DB_Colleges!I126:O126)))</f>
        <v>46334</v>
      </c>
      <c r="J132" s="26" t="str">
        <f aca="false">IF(OR(B132="",COUNT(DB_Colleges!I126:O126)=0),"",INDEX({"ED","ED II","EA","EA II","REA","RD","Priority"},MATCH(MIN(DB_Colleges!I126:O126),DB_Colleges!I126:O126,0)))</f>
        <v>ED</v>
      </c>
      <c r="K132" s="29" t="n">
        <f aca="false">IF(OR(B132="",NOT(ISNUMBER(DB_Colleges!N126))),"",DB_Colleges!N126)</f>
        <v>46395</v>
      </c>
      <c r="L132" s="26" t="str">
        <f aca="false">IF(B132="","",DB_Colleges!G126&amp;"")</f>
        <v>Common App; Coalition (Scoir); QuestBridge</v>
      </c>
      <c r="M132" s="30" t="n">
        <f aca="false">IF(OR(B132="",NOT(ISNUMBER(DB_Colleges!S126))),"",DB_Colleges!S126)</f>
        <v>80</v>
      </c>
      <c r="N132" s="26" t="str">
        <f aca="false">IF(B132="","",DB_Colleges!U126&amp;"")</f>
        <v>Optional</v>
      </c>
      <c r="O132" s="26" t="str">
        <f aca="false">IF(B132="","",IF(ISNUMBER(DB_Colleges!AH126),DB_Colleges!AH126,"Check"))</f>
        <v>Check</v>
      </c>
      <c r="P132" s="26" t="str">
        <f aca="false">IF(B132="","",DB_Colleges!W126&amp;"")</f>
        <v/>
      </c>
      <c r="Q132" s="30" t="n">
        <f aca="false">IF(OR(B132="",NOT(ISNUMBER(DB_Colleges!AF126))),"",DB_Colleges!AF126)</f>
        <v>6945</v>
      </c>
      <c r="R132" s="28" t="n">
        <f aca="false">IF(OR(B132="",NOT(ISNUMBER(DB_Colleges!AG126))),"",DB_Colleges!AG126)</f>
        <v>0.93</v>
      </c>
      <c r="S132" s="26" t="str">
        <f aca="false">IF(B132="","",DB_Colleges!AK126&amp;"")</f>
        <v>Mixed</v>
      </c>
      <c r="T132" s="26" t="str">
        <f aca="false">IF(B132="","",DB_Colleges!AI126&amp;"")</f>
        <v>https://www.pomona.edu/admissions/paths-apply</v>
      </c>
      <c r="U132" s="1" t="n">
        <f aca="false">IF(AND(ISNUMBER($X$4),ISNUMBER(DB_Colleges!Z126),ISNUMBER(DB_Colleges!AA126)),IF($X$4&gt;=DB_Colleges!AA126,1,IF($X$4&lt;DB_Colleges!Z126,-1,0)),"")</f>
        <v>-1</v>
      </c>
      <c r="V132" s="1" t="str">
        <f aca="false">IF(AND(ISNUMBER($Y$4),ISNUMBER(DB_Colleges!AD126)),IF($Y$4&gt;=DB_Colleges!AD126+0.15,1,IF($Y$4&lt;DB_Colleges!AD126-0.2,-1,0)),"")</f>
        <v/>
      </c>
      <c r="W132" s="1" t="n">
        <f aca="false">IF(COUNT(U132:V132)=0,0,MIN(U132:V132))</f>
        <v>-1</v>
      </c>
    </row>
    <row r="133" customFormat="false" ht="15" hidden="false" customHeight="true" outlineLevel="0" collapsed="false">
      <c r="A133" s="26" t="str">
        <f aca="false">IF(B133="","",IF(COUNTIF('My Colleges'!$B$8:$B$27,B133)&gt;0,"On list",""))</f>
        <v/>
      </c>
      <c r="B133" s="27" t="str">
        <f aca="false">IF(DB_Colleges!A127="","",DB_Colleges!A127)</f>
        <v>Wellesley College</v>
      </c>
      <c r="C133" s="26" t="str">
        <f aca="false">IF(B133="","",DB_Colleges!B127)</f>
        <v>Highly Selective</v>
      </c>
      <c r="D133" s="26" t="str">
        <f aca="false">IF(B133="","",DB_Colleges!C127&amp;", "&amp;DB_Colleges!D127)</f>
        <v>Wellesley, MA</v>
      </c>
      <c r="E133" s="26" t="str">
        <f aca="false">IF(B133="","",IF(AND(NOT(ISNUMBER($X$4)),NOT(ISNUMBER($Y$4))),"Add scores",IF(NOT(ISNUMBER(DB_Colleges!Y127)),IF(OR(C133="Ivy League",C133="Highly Selective"),"Reach",IF(COUNT(U133:V133)=0,"No data",CHOOSE(W133+2,"Reach","Target","Likely"))),IF(DB_Colleges!Y127&lt;0.15,"Reach",IF(DB_Colleges!Y127&gt;=0.75,IF(W133&gt;=0,"Likely","Target"),IF(DB_Colleges!Y127&gt;=0.4,CHOOSE(W133+2,"Reach","Target","Likely"),IF(W133=1,"Target","Reach")))))))</f>
        <v>Reach</v>
      </c>
      <c r="F133" s="28" t="n">
        <f aca="false">IF(OR(B133="",NOT(ISNUMBER(DB_Colleges!Y127))),"",DB_Colleges!Y127)</f>
        <v>0.1405</v>
      </c>
      <c r="G133" s="26" t="str">
        <f aca="false">IF(OR(B133="",NOT(ISNUMBER(DB_Colleges!Z127))),"",DB_Colleges!Z127&amp;"-"&amp;DB_Colleges!AA127)</f>
        <v>1460-1560</v>
      </c>
      <c r="H133" s="26" t="str">
        <f aca="false">IF(OR(B133="",NOT(ISNUMBER(DB_Colleges!AD127))),"",DB_Colleges!AD127)</f>
        <v/>
      </c>
      <c r="I133" s="29" t="n">
        <f aca="false">IF(B133="","",IF(COUNT(DB_Colleges!I127:O127)=0,IF(DB_Colleges!P127="Yes","Rolling","Check site"),MIN(DB_Colleges!I127:O127)))</f>
        <v>46327</v>
      </c>
      <c r="J133" s="26" t="str">
        <f aca="false">IF(OR(B133="",COUNT(DB_Colleges!I127:O127)=0),"",INDEX({"ED","ED II","EA","EA II","REA","RD","Priority"},MATCH(MIN(DB_Colleges!I127:O127),DB_Colleges!I127:O127,0)))</f>
        <v>ED</v>
      </c>
      <c r="K133" s="29" t="n">
        <f aca="false">IF(OR(B133="",NOT(ISNUMBER(DB_Colleges!N127))),"",DB_Colleges!N127)</f>
        <v>46395</v>
      </c>
      <c r="L133" s="26" t="str">
        <f aca="false">IF(B133="","",DB_Colleges!G127&amp;"")</f>
        <v>Common App</v>
      </c>
      <c r="M133" s="30" t="str">
        <f aca="false">IF(OR(B133="",NOT(ISNUMBER(DB_Colleges!S127))),"",DB_Colleges!S127)</f>
        <v/>
      </c>
      <c r="N133" s="26" t="str">
        <f aca="false">IF(B133="","",DB_Colleges!U127&amp;"")</f>
        <v/>
      </c>
      <c r="O133" s="26" t="str">
        <f aca="false">IF(B133="","",IF(ISNUMBER(DB_Colleges!AH127),DB_Colleges!AH127,"Check"))</f>
        <v>Check</v>
      </c>
      <c r="P133" s="26" t="str">
        <f aca="false">IF(B133="","",DB_Colleges!W127&amp;"")</f>
        <v/>
      </c>
      <c r="Q133" s="30" t="n">
        <f aca="false">IF(OR(B133="",NOT(ISNUMBER(DB_Colleges!AF127))),"",DB_Colleges!AF127)</f>
        <v>8785</v>
      </c>
      <c r="R133" s="28" t="n">
        <f aca="false">IF(OR(B133="",NOT(ISNUMBER(DB_Colleges!AG127))),"",DB_Colleges!AG127)</f>
        <v>0.92</v>
      </c>
      <c r="S133" s="26" t="str">
        <f aca="false">IF(B133="","",DB_Colleges!AK127&amp;"")</f>
        <v>Typical dates, confirm</v>
      </c>
      <c r="T133" s="26" t="str">
        <f aca="false">IF(B133="","",DB_Colleges!AI127&amp;"")</f>
        <v/>
      </c>
      <c r="U133" s="1" t="n">
        <f aca="false">IF(AND(ISNUMBER($X$4),ISNUMBER(DB_Colleges!Z127),ISNUMBER(DB_Colleges!AA127)),IF($X$4&gt;=DB_Colleges!AA127,1,IF($X$4&lt;DB_Colleges!Z127,-1,0)),"")</f>
        <v>-1</v>
      </c>
      <c r="V133" s="1" t="str">
        <f aca="false">IF(AND(ISNUMBER($Y$4),ISNUMBER(DB_Colleges!AD127)),IF($Y$4&gt;=DB_Colleges!AD127+0.15,1,IF($Y$4&lt;DB_Colleges!AD127-0.2,-1,0)),"")</f>
        <v/>
      </c>
      <c r="W133" s="1" t="n">
        <f aca="false">IF(COUNT(U133:V133)=0,0,MIN(U133:V133))</f>
        <v>-1</v>
      </c>
    </row>
    <row r="134" customFormat="false" ht="15" hidden="false" customHeight="true" outlineLevel="0" collapsed="false">
      <c r="A134" s="26" t="str">
        <f aca="false">IF(B134="","",IF(COUNTIF('My Colleges'!$B$8:$B$27,B134)&gt;0,"On list",""))</f>
        <v/>
      </c>
      <c r="B134" s="27" t="str">
        <f aca="false">IF(DB_Colleges!A128="","",DB_Colleges!A128)</f>
        <v>Bowdoin College</v>
      </c>
      <c r="C134" s="26" t="str">
        <f aca="false">IF(B134="","",DB_Colleges!B128)</f>
        <v>Highly Selective</v>
      </c>
      <c r="D134" s="26" t="str">
        <f aca="false">IF(B134="","",DB_Colleges!C128&amp;", "&amp;DB_Colleges!D128)</f>
        <v>Brunswick, ME</v>
      </c>
      <c r="E134" s="26" t="str">
        <f aca="false">IF(B134="","",IF(AND(NOT(ISNUMBER($X$4)),NOT(ISNUMBER($Y$4))),"Add scores",IF(NOT(ISNUMBER(DB_Colleges!Y128)),IF(OR(C134="Ivy League",C134="Highly Selective"),"Reach",IF(COUNT(U134:V134)=0,"No data",CHOOSE(W134+2,"Reach","Target","Likely"))),IF(DB_Colleges!Y128&lt;0.15,"Reach",IF(DB_Colleges!Y128&gt;=0.75,IF(W134&gt;=0,"Likely","Target"),IF(DB_Colleges!Y128&gt;=0.4,CHOOSE(W134+2,"Reach","Target","Likely"),IF(W134=1,"Target","Reach")))))))</f>
        <v>Reach</v>
      </c>
      <c r="F134" s="28" t="n">
        <f aca="false">IF(OR(B134="",NOT(ISNUMBER(DB_Colleges!Y128))),"",DB_Colleges!Y128)</f>
        <v>0.0713</v>
      </c>
      <c r="G134" s="26" t="str">
        <f aca="false">IF(OR(B134="",NOT(ISNUMBER(DB_Colleges!Z128))),"",DB_Colleges!Z128&amp;"-"&amp;DB_Colleges!AA128)</f>
        <v>1470-1550</v>
      </c>
      <c r="H134" s="26" t="str">
        <f aca="false">IF(OR(B134="",NOT(ISNUMBER(DB_Colleges!AD128))),"",DB_Colleges!AD128)</f>
        <v/>
      </c>
      <c r="I134" s="29" t="n">
        <f aca="false">IF(B134="","",IF(COUNT(DB_Colleges!I128:O128)=0,IF(DB_Colleges!P128="Yes","Rolling","Check site"),MIN(DB_Colleges!I128:O128)))</f>
        <v>46341</v>
      </c>
      <c r="J134" s="26" t="str">
        <f aca="false">IF(OR(B134="",COUNT(DB_Colleges!I128:O128)=0),"",INDEX({"ED","ED II","EA","EA II","REA","RD","Priority"},MATCH(MIN(DB_Colleges!I128:O128),DB_Colleges!I128:O128,0)))</f>
        <v>ED</v>
      </c>
      <c r="K134" s="29" t="n">
        <f aca="false">IF(OR(B134="",NOT(ISNUMBER(DB_Colleges!N128))),"",DB_Colleges!N128)</f>
        <v>46392</v>
      </c>
      <c r="L134" s="26" t="str">
        <f aca="false">IF(B134="","",DB_Colleges!G128&amp;"")</f>
        <v>Common App</v>
      </c>
      <c r="M134" s="30" t="str">
        <f aca="false">IF(OR(B134="",NOT(ISNUMBER(DB_Colleges!S128))),"",DB_Colleges!S128)</f>
        <v/>
      </c>
      <c r="N134" s="26" t="str">
        <f aca="false">IF(B134="","",DB_Colleges!U128&amp;"")</f>
        <v/>
      </c>
      <c r="O134" s="26" t="str">
        <f aca="false">IF(B134="","",IF(ISNUMBER(DB_Colleges!AH128),DB_Colleges!AH128,"Check"))</f>
        <v>Check</v>
      </c>
      <c r="P134" s="26" t="str">
        <f aca="false">IF(B134="","",DB_Colleges!W128&amp;"")</f>
        <v/>
      </c>
      <c r="Q134" s="30" t="n">
        <f aca="false">IF(OR(B134="",NOT(ISNUMBER(DB_Colleges!AF128))),"",DB_Colleges!AF128)</f>
        <v>5626</v>
      </c>
      <c r="R134" s="28" t="n">
        <f aca="false">IF(OR(B134="",NOT(ISNUMBER(DB_Colleges!AG128))),"",DB_Colleges!AG128)</f>
        <v>0.95</v>
      </c>
      <c r="S134" s="26" t="str">
        <f aca="false">IF(B134="","",DB_Colleges!AK128&amp;"")</f>
        <v>Typical dates, confirm</v>
      </c>
      <c r="T134" s="26" t="str">
        <f aca="false">IF(B134="","",DB_Colleges!AI128&amp;"")</f>
        <v/>
      </c>
      <c r="U134" s="1" t="n">
        <f aca="false">IF(AND(ISNUMBER($X$4),ISNUMBER(DB_Colleges!Z128),ISNUMBER(DB_Colleges!AA128)),IF($X$4&gt;=DB_Colleges!AA128,1,IF($X$4&lt;DB_Colleges!Z128,-1,0)),"")</f>
        <v>-1</v>
      </c>
      <c r="V134" s="1" t="str">
        <f aca="false">IF(AND(ISNUMBER($Y$4),ISNUMBER(DB_Colleges!AD128)),IF($Y$4&gt;=DB_Colleges!AD128+0.15,1,IF($Y$4&lt;DB_Colleges!AD128-0.2,-1,0)),"")</f>
        <v/>
      </c>
      <c r="W134" s="1" t="n">
        <f aca="false">IF(COUNT(U134:V134)=0,0,MIN(U134:V134))</f>
        <v>-1</v>
      </c>
    </row>
    <row r="135" customFormat="false" ht="15" hidden="false" customHeight="true" outlineLevel="0" collapsed="false">
      <c r="A135" s="26" t="str">
        <f aca="false">IF(B135="","",IF(COUNTIF('My Colleges'!$B$8:$B$27,B135)&gt;0,"On list",""))</f>
        <v/>
      </c>
      <c r="B135" s="27" t="str">
        <f aca="false">IF(DB_Colleges!A129="","",DB_Colleges!A129)</f>
        <v>Carnegie Mellon University</v>
      </c>
      <c r="C135" s="26" t="str">
        <f aca="false">IF(B135="","",DB_Colleges!B129)</f>
        <v>Highly Selective</v>
      </c>
      <c r="D135" s="26" t="str">
        <f aca="false">IF(B135="","",DB_Colleges!C129&amp;", "&amp;DB_Colleges!D129)</f>
        <v>Pittsburgh, PA</v>
      </c>
      <c r="E135" s="26" t="str">
        <f aca="false">IF(B135="","",IF(AND(NOT(ISNUMBER($X$4)),NOT(ISNUMBER($Y$4))),"Add scores",IF(NOT(ISNUMBER(DB_Colleges!Y129)),IF(OR(C135="Ivy League",C135="Highly Selective"),"Reach",IF(COUNT(U135:V135)=0,"No data",CHOOSE(W135+2,"Reach","Target","Likely"))),IF(DB_Colleges!Y129&lt;0.15,"Reach",IF(DB_Colleges!Y129&gt;=0.75,IF(W135&gt;=0,"Likely","Target"),IF(DB_Colleges!Y129&gt;=0.4,CHOOSE(W135+2,"Reach","Target","Likely"),IF(W135=1,"Target","Reach")))))))</f>
        <v>Reach</v>
      </c>
      <c r="F135" s="28" t="n">
        <f aca="false">IF(OR(B135="",NOT(ISNUMBER(DB_Colleges!Y129))),"",DB_Colleges!Y129)</f>
        <v>0.1166</v>
      </c>
      <c r="G135" s="26" t="str">
        <f aca="false">IF(OR(B135="",NOT(ISNUMBER(DB_Colleges!Z129))),"",DB_Colleges!Z129&amp;"-"&amp;DB_Colleges!AA129)</f>
        <v>1500-1570</v>
      </c>
      <c r="H135" s="26" t="str">
        <f aca="false">IF(OR(B135="",NOT(ISNUMBER(DB_Colleges!AD129))),"",DB_Colleges!AD129)</f>
        <v/>
      </c>
      <c r="I135" s="29" t="n">
        <f aca="false">IF(B135="","",IF(COUNT(DB_Colleges!I129:O129)=0,IF(DB_Colleges!P129="Yes","Rolling","Check site"),MIN(DB_Colleges!I129:O129)))</f>
        <v>46327</v>
      </c>
      <c r="J135" s="26" t="str">
        <f aca="false">IF(OR(B135="",COUNT(DB_Colleges!I129:O129)=0),"",INDEX({"ED","ED II","EA","EA II","REA","RD","Priority"},MATCH(MIN(DB_Colleges!I129:O129),DB_Colleges!I129:O129,0)))</f>
        <v>ED</v>
      </c>
      <c r="K135" s="29" t="n">
        <f aca="false">IF(OR(B135="",NOT(ISNUMBER(DB_Colleges!N129))),"",DB_Colleges!N129)</f>
        <v>46390</v>
      </c>
      <c r="L135" s="26" t="str">
        <f aca="false">IF(B135="","",DB_Colleges!G129&amp;"")</f>
        <v>Common App</v>
      </c>
      <c r="M135" s="30" t="str">
        <f aca="false">IF(OR(B135="",NOT(ISNUMBER(DB_Colleges!S129))),"",DB_Colleges!S129)</f>
        <v/>
      </c>
      <c r="N135" s="26" t="str">
        <f aca="false">IF(B135="","",DB_Colleges!U129&amp;"")</f>
        <v/>
      </c>
      <c r="O135" s="26" t="str">
        <f aca="false">IF(B135="","",IF(ISNUMBER(DB_Colleges!AH129),DB_Colleges!AH129,"Check"))</f>
        <v>Check</v>
      </c>
      <c r="P135" s="26" t="str">
        <f aca="false">IF(B135="","",DB_Colleges!W129&amp;"")</f>
        <v/>
      </c>
      <c r="Q135" s="30" t="n">
        <f aca="false">IF(OR(B135="",NOT(ISNUMBER(DB_Colleges!AF129))),"",DB_Colleges!AF129)</f>
        <v>12542</v>
      </c>
      <c r="R135" s="28" t="n">
        <f aca="false">IF(OR(B135="",NOT(ISNUMBER(DB_Colleges!AG129))),"",DB_Colleges!AG129)</f>
        <v>0.94</v>
      </c>
      <c r="S135" s="26" t="str">
        <f aca="false">IF(B135="","",DB_Colleges!AK129&amp;"")</f>
        <v>Typical dates, confirm</v>
      </c>
      <c r="T135" s="26" t="str">
        <f aca="false">IF(B135="","",DB_Colleges!AI129&amp;"")</f>
        <v/>
      </c>
      <c r="U135" s="1" t="n">
        <f aca="false">IF(AND(ISNUMBER($X$4),ISNUMBER(DB_Colleges!Z129),ISNUMBER(DB_Colleges!AA129)),IF($X$4&gt;=DB_Colleges!AA129,1,IF($X$4&lt;DB_Colleges!Z129,-1,0)),"")</f>
        <v>-1</v>
      </c>
      <c r="V135" s="1" t="str">
        <f aca="false">IF(AND(ISNUMBER($Y$4),ISNUMBER(DB_Colleges!AD129)),IF($Y$4&gt;=DB_Colleges!AD129+0.15,1,IF($Y$4&lt;DB_Colleges!AD129-0.2,-1,0)),"")</f>
        <v/>
      </c>
      <c r="W135" s="1" t="n">
        <f aca="false">IF(COUNT(U135:V135)=0,0,MIN(U135:V135))</f>
        <v>-1</v>
      </c>
    </row>
    <row r="136" customFormat="false" ht="15" hidden="false" customHeight="true" outlineLevel="0" collapsed="false">
      <c r="A136" s="26" t="str">
        <f aca="false">IF(B136="","",IF(COUNTIF('My Colleges'!$B$8:$B$27,B136)&gt;0,"On list",""))</f>
        <v/>
      </c>
      <c r="B136" s="27" t="str">
        <f aca="false">IF(DB_Colleges!A130="","",DB_Colleges!A130)</f>
        <v>New York University</v>
      </c>
      <c r="C136" s="26" t="str">
        <f aca="false">IF(B136="","",DB_Colleges!B130)</f>
        <v>Highly Selective</v>
      </c>
      <c r="D136" s="26" t="str">
        <f aca="false">IF(B136="","",DB_Colleges!C130&amp;", "&amp;DB_Colleges!D130)</f>
        <v>New York, NY</v>
      </c>
      <c r="E136" s="26" t="str">
        <f aca="false">IF(B136="","",IF(AND(NOT(ISNUMBER($X$4)),NOT(ISNUMBER($Y$4))),"Add scores",IF(NOT(ISNUMBER(DB_Colleges!Y130)),IF(OR(C136="Ivy League",C136="Highly Selective"),"Reach",IF(COUNT(U136:V136)=0,"No data",CHOOSE(W136+2,"Reach","Target","Likely"))),IF(DB_Colleges!Y130&lt;0.15,"Reach",IF(DB_Colleges!Y130&gt;=0.75,IF(W136&gt;=0,"Likely","Target"),IF(DB_Colleges!Y130&gt;=0.4,CHOOSE(W136+2,"Reach","Target","Likely"),IF(W136=1,"Target","Reach")))))))</f>
        <v>Reach</v>
      </c>
      <c r="F136" s="28" t="n">
        <f aca="false">IF(OR(B136="",NOT(ISNUMBER(DB_Colleges!Y130))),"",DB_Colleges!Y130)</f>
        <v>0.0923</v>
      </c>
      <c r="G136" s="26" t="str">
        <f aca="false">IF(OR(B136="",NOT(ISNUMBER(DB_Colleges!Z130))),"",DB_Colleges!Z130&amp;"-"&amp;DB_Colleges!AA130)</f>
        <v>1480-1560</v>
      </c>
      <c r="H136" s="26" t="str">
        <f aca="false">IF(OR(B136="",NOT(ISNUMBER(DB_Colleges!AD130))),"",DB_Colleges!AD130)</f>
        <v/>
      </c>
      <c r="I136" s="29" t="n">
        <f aca="false">IF(B136="","",IF(COUNT(DB_Colleges!I130:O130)=0,IF(DB_Colleges!P130="Yes","Rolling","Check site"),MIN(DB_Colleges!I130:O130)))</f>
        <v>46327</v>
      </c>
      <c r="J136" s="26" t="str">
        <f aca="false">IF(OR(B136="",COUNT(DB_Colleges!I130:O130)=0),"",INDEX({"ED","ED II","EA","EA II","REA","RD","Priority"},MATCH(MIN(DB_Colleges!I130:O130),DB_Colleges!I130:O130,0)))</f>
        <v>ED</v>
      </c>
      <c r="K136" s="29" t="n">
        <f aca="false">IF(OR(B136="",NOT(ISNUMBER(DB_Colleges!N130))),"",DB_Colleges!N130)</f>
        <v>46392</v>
      </c>
      <c r="L136" s="26" t="str">
        <f aca="false">IF(B136="","",DB_Colleges!G130&amp;"")</f>
        <v>Common App</v>
      </c>
      <c r="M136" s="30" t="str">
        <f aca="false">IF(OR(B136="",NOT(ISNUMBER(DB_Colleges!S130))),"",DB_Colleges!S130)</f>
        <v/>
      </c>
      <c r="N136" s="26" t="str">
        <f aca="false">IF(B136="","",DB_Colleges!U130&amp;"")</f>
        <v/>
      </c>
      <c r="O136" s="26" t="str">
        <f aca="false">IF(B136="","",IF(ISNUMBER(DB_Colleges!AH130),DB_Colleges!AH130,"Check"))</f>
        <v>Check</v>
      </c>
      <c r="P136" s="26" t="str">
        <f aca="false">IF(B136="","",DB_Colleges!W130&amp;"")</f>
        <v/>
      </c>
      <c r="Q136" s="30" t="n">
        <f aca="false">IF(OR(B136="",NOT(ISNUMBER(DB_Colleges!AF130))),"",DB_Colleges!AF130)</f>
        <v>25937</v>
      </c>
      <c r="R136" s="28" t="n">
        <f aca="false">IF(OR(B136="",NOT(ISNUMBER(DB_Colleges!AG130))),"",DB_Colleges!AG130)</f>
        <v>0.88</v>
      </c>
      <c r="S136" s="26" t="str">
        <f aca="false">IF(B136="","",DB_Colleges!AK130&amp;"")</f>
        <v>Typical dates, confirm</v>
      </c>
      <c r="T136" s="26" t="str">
        <f aca="false">IF(B136="","",DB_Colleges!AI130&amp;"")</f>
        <v/>
      </c>
      <c r="U136" s="1" t="n">
        <f aca="false">IF(AND(ISNUMBER($X$4),ISNUMBER(DB_Colleges!Z130),ISNUMBER(DB_Colleges!AA130)),IF($X$4&gt;=DB_Colleges!AA130,1,IF($X$4&lt;DB_Colleges!Z130,-1,0)),"")</f>
        <v>-1</v>
      </c>
      <c r="V136" s="1" t="str">
        <f aca="false">IF(AND(ISNUMBER($Y$4),ISNUMBER(DB_Colleges!AD130)),IF($Y$4&gt;=DB_Colleges!AD130+0.15,1,IF($Y$4&lt;DB_Colleges!AD130-0.2,-1,0)),"")</f>
        <v/>
      </c>
      <c r="W136" s="1" t="n">
        <f aca="false">IF(COUNT(U136:V136)=0,0,MIN(U136:V136))</f>
        <v>-1</v>
      </c>
    </row>
    <row r="137" customFormat="false" ht="15" hidden="false" customHeight="true" outlineLevel="0" collapsed="false">
      <c r="A137" s="26" t="str">
        <f aca="false">IF(B137="","",IF(COUNTIF('My Colleges'!$B$8:$B$27,B137)&gt;0,"On list",""))</f>
        <v/>
      </c>
      <c r="B137" s="27" t="str">
        <f aca="false">IF(DB_Colleges!A131="","",DB_Colleges!A131)</f>
        <v>University of Southern California</v>
      </c>
      <c r="C137" s="26" t="str">
        <f aca="false">IF(B137="","",DB_Colleges!B131)</f>
        <v>Highly Selective</v>
      </c>
      <c r="D137" s="26" t="str">
        <f aca="false">IF(B137="","",DB_Colleges!C131&amp;", "&amp;DB_Colleges!D131)</f>
        <v>Los Angeles, CA</v>
      </c>
      <c r="E137" s="26" t="str">
        <f aca="false">IF(B137="","",IF(AND(NOT(ISNUMBER($X$4)),NOT(ISNUMBER($Y$4))),"Add scores",IF(NOT(ISNUMBER(DB_Colleges!Y131)),IF(OR(C137="Ivy League",C137="Highly Selective"),"Reach",IF(COUNT(U137:V137)=0,"No data",CHOOSE(W137+2,"Reach","Target","Likely"))),IF(DB_Colleges!Y131&lt;0.15,"Reach",IF(DB_Colleges!Y131&gt;=0.75,IF(W137&gt;=0,"Likely","Target"),IF(DB_Colleges!Y131&gt;=0.4,CHOOSE(W137+2,"Reach","Target","Likely"),IF(W137=1,"Target","Reach")))))))</f>
        <v>Reach</v>
      </c>
      <c r="F137" s="28" t="n">
        <f aca="false">IF(OR(B137="",NOT(ISNUMBER(DB_Colleges!Y131))),"",DB_Colleges!Y131)</f>
        <v>0.0981</v>
      </c>
      <c r="G137" s="26" t="str">
        <f aca="false">IF(OR(B137="",NOT(ISNUMBER(DB_Colleges!Z131))),"",DB_Colleges!Z131&amp;"-"&amp;DB_Colleges!AA131)</f>
        <v>1450-1550</v>
      </c>
      <c r="H137" s="26" t="str">
        <f aca="false">IF(OR(B137="",NOT(ISNUMBER(DB_Colleges!AD131))),"",DB_Colleges!AD131)</f>
        <v/>
      </c>
      <c r="I137" s="29" t="n">
        <f aca="false">IF(B137="","",IF(COUNT(DB_Colleges!I131:O131)=0,IF(DB_Colleges!P131="Yes","Rolling","Check site"),MIN(DB_Colleges!I131:O131)))</f>
        <v>46327</v>
      </c>
      <c r="J137" s="26" t="str">
        <f aca="false">IF(OR(B137="",COUNT(DB_Colleges!I131:O131)=0),"",INDEX({"ED","ED II","EA","EA II","REA","RD","Priority"},MATCH(MIN(DB_Colleges!I131:O131),DB_Colleges!I131:O131,0)))</f>
        <v>EA</v>
      </c>
      <c r="K137" s="29" t="n">
        <f aca="false">IF(OR(B137="",NOT(ISNUMBER(DB_Colleges!N131))),"",DB_Colleges!N131)</f>
        <v>46402</v>
      </c>
      <c r="L137" s="26" t="str">
        <f aca="false">IF(B137="","",DB_Colleges!G131&amp;"")</f>
        <v>Common App</v>
      </c>
      <c r="M137" s="30" t="str">
        <f aca="false">IF(OR(B137="",NOT(ISNUMBER(DB_Colleges!S131))),"",DB_Colleges!S131)</f>
        <v/>
      </c>
      <c r="N137" s="26" t="str">
        <f aca="false">IF(B137="","",DB_Colleges!U131&amp;"")</f>
        <v/>
      </c>
      <c r="O137" s="26" t="str">
        <f aca="false">IF(B137="","",IF(ISNUMBER(DB_Colleges!AH131),DB_Colleges!AH131,"Check"))</f>
        <v>Check</v>
      </c>
      <c r="P137" s="26" t="str">
        <f aca="false">IF(B137="","",DB_Colleges!W131&amp;"")</f>
        <v/>
      </c>
      <c r="Q137" s="30" t="n">
        <f aca="false">IF(OR(B137="",NOT(ISNUMBER(DB_Colleges!AF131))),"",DB_Colleges!AF131)</f>
        <v>14668</v>
      </c>
      <c r="R137" s="28" t="n">
        <f aca="false">IF(OR(B137="",NOT(ISNUMBER(DB_Colleges!AG131))),"",DB_Colleges!AG131)</f>
        <v>0.92</v>
      </c>
      <c r="S137" s="26" t="str">
        <f aca="false">IF(B137="","",DB_Colleges!AK131&amp;"")</f>
        <v>Typical dates, confirm</v>
      </c>
      <c r="T137" s="26" t="str">
        <f aca="false">IF(B137="","",DB_Colleges!AI131&amp;"")</f>
        <v/>
      </c>
      <c r="U137" s="1" t="n">
        <f aca="false">IF(AND(ISNUMBER($X$4),ISNUMBER(DB_Colleges!Z131),ISNUMBER(DB_Colleges!AA131)),IF($X$4&gt;=DB_Colleges!AA131,1,IF($X$4&lt;DB_Colleges!Z131,-1,0)),"")</f>
        <v>-1</v>
      </c>
      <c r="V137" s="1" t="str">
        <f aca="false">IF(AND(ISNUMBER($Y$4),ISNUMBER(DB_Colleges!AD131)),IF($Y$4&gt;=DB_Colleges!AD131+0.15,1,IF($Y$4&lt;DB_Colleges!AD131-0.2,-1,0)),"")</f>
        <v/>
      </c>
      <c r="W137" s="1" t="n">
        <f aca="false">IF(COUNT(U137:V137)=0,0,MIN(U137:V137))</f>
        <v>-1</v>
      </c>
    </row>
    <row r="138" customFormat="false" ht="15" hidden="false" customHeight="true" outlineLevel="0" collapsed="false">
      <c r="A138" s="26" t="str">
        <f aca="false">IF(B138="","",IF(COUNTIF('My Colleges'!$B$8:$B$27,B138)&gt;0,"On list",""))</f>
        <v/>
      </c>
      <c r="B138" s="27" t="str">
        <f aca="false">IF(DB_Colleges!A132="","",DB_Colleges!A132)</f>
        <v>Boston University</v>
      </c>
      <c r="C138" s="26" t="str">
        <f aca="false">IF(B138="","",DB_Colleges!B132)</f>
        <v>Highly Selective</v>
      </c>
      <c r="D138" s="26" t="str">
        <f aca="false">IF(B138="","",DB_Colleges!C132&amp;", "&amp;DB_Colleges!D132)</f>
        <v>Boston, MA</v>
      </c>
      <c r="E138" s="26" t="str">
        <f aca="false">IF(B138="","",IF(AND(NOT(ISNUMBER($X$4)),NOT(ISNUMBER($Y$4))),"Add scores",IF(NOT(ISNUMBER(DB_Colleges!Y132)),IF(OR(C138="Ivy League",C138="Highly Selective"),"Reach",IF(COUNT(U138:V138)=0,"No data",CHOOSE(W138+2,"Reach","Target","Likely"))),IF(DB_Colleges!Y132&lt;0.15,"Reach",IF(DB_Colleges!Y132&gt;=0.75,IF(W138&gt;=0,"Likely","Target"),IF(DB_Colleges!Y132&gt;=0.4,CHOOSE(W138+2,"Reach","Target","Likely"),IF(W138=1,"Target","Reach")))))))</f>
        <v>Reach</v>
      </c>
      <c r="F138" s="28" t="n">
        <f aca="false">IF(OR(B138="",NOT(ISNUMBER(DB_Colleges!Y132))),"",DB_Colleges!Y132)</f>
        <v>0.1111</v>
      </c>
      <c r="G138" s="26" t="str">
        <f aca="false">IF(OR(B138="",NOT(ISNUMBER(DB_Colleges!Z132))),"",DB_Colleges!Z132&amp;"-"&amp;DB_Colleges!AA132)</f>
        <v>1420-1530</v>
      </c>
      <c r="H138" s="26" t="str">
        <f aca="false">IF(OR(B138="",NOT(ISNUMBER(DB_Colleges!AD132))),"",DB_Colleges!AD132)</f>
        <v/>
      </c>
      <c r="I138" s="29" t="n">
        <f aca="false">IF(B138="","",IF(COUNT(DB_Colleges!I132:O132)=0,IF(DB_Colleges!P132="Yes","Rolling","Check site"),MIN(DB_Colleges!I132:O132)))</f>
        <v>46327</v>
      </c>
      <c r="J138" s="26" t="str">
        <f aca="false">IF(OR(B138="",COUNT(DB_Colleges!I132:O132)=0),"",INDEX({"ED","ED II","EA","EA II","REA","RD","Priority"},MATCH(MIN(DB_Colleges!I132:O132),DB_Colleges!I132:O132,0)))</f>
        <v>ED</v>
      </c>
      <c r="K138" s="29" t="n">
        <f aca="false">IF(OR(B138="",NOT(ISNUMBER(DB_Colleges!N132))),"",DB_Colleges!N132)</f>
        <v>46391</v>
      </c>
      <c r="L138" s="26" t="str">
        <f aca="false">IF(B138="","",DB_Colleges!G132&amp;"")</f>
        <v>Common App</v>
      </c>
      <c r="M138" s="30" t="str">
        <f aca="false">IF(OR(B138="",NOT(ISNUMBER(DB_Colleges!S132))),"",DB_Colleges!S132)</f>
        <v/>
      </c>
      <c r="N138" s="26" t="str">
        <f aca="false">IF(B138="","",DB_Colleges!U132&amp;"")</f>
        <v/>
      </c>
      <c r="O138" s="26" t="str">
        <f aca="false">IF(B138="","",IF(ISNUMBER(DB_Colleges!AH132),DB_Colleges!AH132,"Check"))</f>
        <v>Check</v>
      </c>
      <c r="P138" s="26" t="str">
        <f aca="false">IF(B138="","",DB_Colleges!W132&amp;"")</f>
        <v/>
      </c>
      <c r="Q138" s="30" t="n">
        <f aca="false">IF(OR(B138="",NOT(ISNUMBER(DB_Colleges!AF132))),"",DB_Colleges!AF132)</f>
        <v>12903</v>
      </c>
      <c r="R138" s="28" t="n">
        <f aca="false">IF(OR(B138="",NOT(ISNUMBER(DB_Colleges!AG132))),"",DB_Colleges!AG132)</f>
        <v>0.89</v>
      </c>
      <c r="S138" s="26" t="str">
        <f aca="false">IF(B138="","",DB_Colleges!AK132&amp;"")</f>
        <v>Typical dates, confirm</v>
      </c>
      <c r="T138" s="26" t="str">
        <f aca="false">IF(B138="","",DB_Colleges!AI132&amp;"")</f>
        <v/>
      </c>
      <c r="U138" s="1" t="n">
        <f aca="false">IF(AND(ISNUMBER($X$4),ISNUMBER(DB_Colleges!Z132),ISNUMBER(DB_Colleges!AA132)),IF($X$4&gt;=DB_Colleges!AA132,1,IF($X$4&lt;DB_Colleges!Z132,-1,0)),"")</f>
        <v>-1</v>
      </c>
      <c r="V138" s="1" t="str">
        <f aca="false">IF(AND(ISNUMBER($Y$4),ISNUMBER(DB_Colleges!AD132)),IF($Y$4&gt;=DB_Colleges!AD132+0.15,1,IF($Y$4&lt;DB_Colleges!AD132-0.2,-1,0)),"")</f>
        <v/>
      </c>
      <c r="W138" s="1" t="n">
        <f aca="false">IF(COUNT(U138:V138)=0,0,MIN(U138:V138))</f>
        <v>-1</v>
      </c>
    </row>
    <row r="139" customFormat="false" ht="15" hidden="false" customHeight="true" outlineLevel="0" collapsed="false">
      <c r="A139" s="26" t="str">
        <f aca="false">IF(B139="","",IF(COUNTIF('My Colleges'!$B$8:$B$27,B139)&gt;0,"On list",""))</f>
        <v/>
      </c>
      <c r="B139" s="27" t="str">
        <f aca="false">IF(DB_Colleges!A133="","",DB_Colleges!A133)</f>
        <v>Boston College</v>
      </c>
      <c r="C139" s="26" t="str">
        <f aca="false">IF(B139="","",DB_Colleges!B133)</f>
        <v>Highly Selective</v>
      </c>
      <c r="D139" s="26" t="str">
        <f aca="false">IF(B139="","",DB_Colleges!C133&amp;", "&amp;DB_Colleges!D133)</f>
        <v>Chestnut Hill, MA</v>
      </c>
      <c r="E139" s="26" t="str">
        <f aca="false">IF(B139="","",IF(AND(NOT(ISNUMBER($X$4)),NOT(ISNUMBER($Y$4))),"Add scores",IF(NOT(ISNUMBER(DB_Colleges!Y133)),IF(OR(C139="Ivy League",C139="Highly Selective"),"Reach",IF(COUNT(U139:V139)=0,"No data",CHOOSE(W139+2,"Reach","Target","Likely"))),IF(DB_Colleges!Y133&lt;0.15,"Reach",IF(DB_Colleges!Y133&gt;=0.75,IF(W139&gt;=0,"Likely","Target"),IF(DB_Colleges!Y133&gt;=0.4,CHOOSE(W139+2,"Reach","Target","Likely"),IF(W139=1,"Target","Reach")))))))</f>
        <v>Reach</v>
      </c>
      <c r="F139" s="28" t="n">
        <f aca="false">IF(OR(B139="",NOT(ISNUMBER(DB_Colleges!Y133))),"",DB_Colleges!Y133)</f>
        <v>0.1643</v>
      </c>
      <c r="G139" s="26" t="str">
        <f aca="false">IF(OR(B139="",NOT(ISNUMBER(DB_Colleges!Z133))),"",DB_Colleges!Z133&amp;"-"&amp;DB_Colleges!AA133)</f>
        <v>1440-1540</v>
      </c>
      <c r="H139" s="26" t="str">
        <f aca="false">IF(OR(B139="",NOT(ISNUMBER(DB_Colleges!AD133))),"",DB_Colleges!AD133)</f>
        <v/>
      </c>
      <c r="I139" s="29" t="n">
        <f aca="false">IF(B139="","",IF(COUNT(DB_Colleges!I133:O133)=0,IF(DB_Colleges!P133="Yes","Rolling","Check site"),MIN(DB_Colleges!I133:O133)))</f>
        <v>46327</v>
      </c>
      <c r="J139" s="26" t="str">
        <f aca="false">IF(OR(B139="",COUNT(DB_Colleges!I133:O133)=0),"",INDEX({"ED","ED II","EA","EA II","REA","RD","Priority"},MATCH(MIN(DB_Colleges!I133:O133),DB_Colleges!I133:O133,0)))</f>
        <v>ED</v>
      </c>
      <c r="K139" s="29" t="n">
        <f aca="false">IF(OR(B139="",NOT(ISNUMBER(DB_Colleges!N133))),"",DB_Colleges!N133)</f>
        <v>46388</v>
      </c>
      <c r="L139" s="26" t="str">
        <f aca="false">IF(B139="","",DB_Colleges!G133&amp;"")</f>
        <v>Common App</v>
      </c>
      <c r="M139" s="30" t="str">
        <f aca="false">IF(OR(B139="",NOT(ISNUMBER(DB_Colleges!S133))),"",DB_Colleges!S133)</f>
        <v/>
      </c>
      <c r="N139" s="26" t="str">
        <f aca="false">IF(B139="","",DB_Colleges!U133&amp;"")</f>
        <v/>
      </c>
      <c r="O139" s="26" t="str">
        <f aca="false">IF(B139="","",IF(ISNUMBER(DB_Colleges!AH133),DB_Colleges!AH133,"Check"))</f>
        <v>Check</v>
      </c>
      <c r="P139" s="26" t="str">
        <f aca="false">IF(B139="","",DB_Colleges!W133&amp;"")</f>
        <v/>
      </c>
      <c r="Q139" s="30" t="n">
        <f aca="false">IF(OR(B139="",NOT(ISNUMBER(DB_Colleges!AF133))),"",DB_Colleges!AF133)</f>
        <v>6353</v>
      </c>
      <c r="R139" s="28" t="n">
        <f aca="false">IF(OR(B139="",NOT(ISNUMBER(DB_Colleges!AG133))),"",DB_Colleges!AG133)</f>
        <v>0.91</v>
      </c>
      <c r="S139" s="26" t="str">
        <f aca="false">IF(B139="","",DB_Colleges!AK133&amp;"")</f>
        <v>Typical dates, confirm</v>
      </c>
      <c r="T139" s="26" t="str">
        <f aca="false">IF(B139="","",DB_Colleges!AI133&amp;"")</f>
        <v/>
      </c>
      <c r="U139" s="1" t="n">
        <f aca="false">IF(AND(ISNUMBER($X$4),ISNUMBER(DB_Colleges!Z133),ISNUMBER(DB_Colleges!AA133)),IF($X$4&gt;=DB_Colleges!AA133,1,IF($X$4&lt;DB_Colleges!Z133,-1,0)),"")</f>
        <v>-1</v>
      </c>
      <c r="V139" s="1" t="str">
        <f aca="false">IF(AND(ISNUMBER($Y$4),ISNUMBER(DB_Colleges!AD133)),IF($Y$4&gt;=DB_Colleges!AD133+0.15,1,IF($Y$4&lt;DB_Colleges!AD133-0.2,-1,0)),"")</f>
        <v/>
      </c>
      <c r="W139" s="1" t="n">
        <f aca="false">IF(COUNT(U139:V139)=0,0,MIN(U139:V139))</f>
        <v>-1</v>
      </c>
    </row>
    <row r="140" customFormat="false" ht="15" hidden="false" customHeight="true" outlineLevel="0" collapsed="false">
      <c r="A140" s="26" t="str">
        <f aca="false">IF(B140="","",IF(COUNTIF('My Colleges'!$B$8:$B$27,B140)&gt;0,"On list",""))</f>
        <v/>
      </c>
      <c r="B140" s="27" t="str">
        <f aca="false">IF(DB_Colleges!A134="","",DB_Colleges!A134)</f>
        <v>Northeastern University</v>
      </c>
      <c r="C140" s="26" t="str">
        <f aca="false">IF(B140="","",DB_Colleges!B134)</f>
        <v>Highly Selective</v>
      </c>
      <c r="D140" s="26" t="str">
        <f aca="false">IF(B140="","",DB_Colleges!C134&amp;", "&amp;DB_Colleges!D134)</f>
        <v>Boston, MA</v>
      </c>
      <c r="E140" s="26" t="str">
        <f aca="false">IF(B140="","",IF(AND(NOT(ISNUMBER($X$4)),NOT(ISNUMBER($Y$4))),"Add scores",IF(NOT(ISNUMBER(DB_Colleges!Y134)),IF(OR(C140="Ivy League",C140="Highly Selective"),"Reach",IF(COUNT(U140:V140)=0,"No data",CHOOSE(W140+2,"Reach","Target","Likely"))),IF(DB_Colleges!Y134&lt;0.15,"Reach",IF(DB_Colleges!Y134&gt;=0.75,IF(W140&gt;=0,"Likely","Target"),IF(DB_Colleges!Y134&gt;=0.4,CHOOSE(W140+2,"Reach","Target","Likely"),IF(W140=1,"Target","Reach")))))))</f>
        <v>Reach</v>
      </c>
      <c r="F140" s="28" t="n">
        <f aca="false">IF(OR(B140="",NOT(ISNUMBER(DB_Colleges!Y134))),"",DB_Colleges!Y134)</f>
        <v>0.0522</v>
      </c>
      <c r="G140" s="26" t="str">
        <f aca="false">IF(OR(B140="",NOT(ISNUMBER(DB_Colleges!Z134))),"",DB_Colleges!Z134&amp;"-"&amp;DB_Colleges!AA134)</f>
        <v>1440-1540</v>
      </c>
      <c r="H140" s="26" t="str">
        <f aca="false">IF(OR(B140="",NOT(ISNUMBER(DB_Colleges!AD134))),"",DB_Colleges!AD134)</f>
        <v/>
      </c>
      <c r="I140" s="29" t="n">
        <f aca="false">IF(B140="","",IF(COUNT(DB_Colleges!I134:O134)=0,IF(DB_Colleges!P134="Yes","Rolling","Check site"),MIN(DB_Colleges!I134:O134)))</f>
        <v>46327</v>
      </c>
      <c r="J140" s="26" t="str">
        <f aca="false">IF(OR(B140="",COUNT(DB_Colleges!I134:O134)=0),"",INDEX({"ED","ED II","EA","EA II","REA","RD","Priority"},MATCH(MIN(DB_Colleges!I134:O134),DB_Colleges!I134:O134,0)))</f>
        <v>ED</v>
      </c>
      <c r="K140" s="29" t="n">
        <f aca="false">IF(OR(B140="",NOT(ISNUMBER(DB_Colleges!N134))),"",DB_Colleges!N134)</f>
        <v>46388</v>
      </c>
      <c r="L140" s="26" t="str">
        <f aca="false">IF(B140="","",DB_Colleges!G134&amp;"")</f>
        <v>Common App</v>
      </c>
      <c r="M140" s="30" t="str">
        <f aca="false">IF(OR(B140="",NOT(ISNUMBER(DB_Colleges!S134))),"",DB_Colleges!S134)</f>
        <v/>
      </c>
      <c r="N140" s="26" t="str">
        <f aca="false">IF(B140="","",DB_Colleges!U134&amp;"")</f>
        <v/>
      </c>
      <c r="O140" s="26" t="str">
        <f aca="false">IF(B140="","",IF(ISNUMBER(DB_Colleges!AH134),DB_Colleges!AH134,"Check"))</f>
        <v>Check</v>
      </c>
      <c r="P140" s="26" t="str">
        <f aca="false">IF(B140="","",DB_Colleges!W134&amp;"")</f>
        <v/>
      </c>
      <c r="Q140" s="30" t="n">
        <f aca="false">IF(OR(B140="",NOT(ISNUMBER(DB_Colleges!AF134))),"",DB_Colleges!AF134)</f>
        <v>10239</v>
      </c>
      <c r="R140" s="28" t="n">
        <f aca="false">IF(OR(B140="",NOT(ISNUMBER(DB_Colleges!AG134))),"",DB_Colleges!AG134)</f>
        <v>0.91</v>
      </c>
      <c r="S140" s="26" t="str">
        <f aca="false">IF(B140="","",DB_Colleges!AK134&amp;"")</f>
        <v>Typical dates, confirm</v>
      </c>
      <c r="T140" s="26" t="str">
        <f aca="false">IF(B140="","",DB_Colleges!AI134&amp;"")</f>
        <v/>
      </c>
      <c r="U140" s="1" t="n">
        <f aca="false">IF(AND(ISNUMBER($X$4),ISNUMBER(DB_Colleges!Z134),ISNUMBER(DB_Colleges!AA134)),IF($X$4&gt;=DB_Colleges!AA134,1,IF($X$4&lt;DB_Colleges!Z134,-1,0)),"")</f>
        <v>-1</v>
      </c>
      <c r="V140" s="1" t="str">
        <f aca="false">IF(AND(ISNUMBER($Y$4),ISNUMBER(DB_Colleges!AD134)),IF($Y$4&gt;=DB_Colleges!AD134+0.15,1,IF($Y$4&lt;DB_Colleges!AD134-0.2,-1,0)),"")</f>
        <v/>
      </c>
      <c r="W140" s="1" t="n">
        <f aca="false">IF(COUNT(U140:V140)=0,0,MIN(U140:V140))</f>
        <v>-1</v>
      </c>
    </row>
    <row r="141" customFormat="false" ht="15" hidden="false" customHeight="true" outlineLevel="0" collapsed="false">
      <c r="A141" s="26" t="str">
        <f aca="false">IF(B141="","",IF(COUNTIF('My Colleges'!$B$8:$B$27,B141)&gt;0,"On list",""))</f>
        <v/>
      </c>
      <c r="B141" s="27" t="str">
        <f aca="false">IF(DB_Colleges!A135="","",DB_Colleges!A135)</f>
        <v>Tulane University</v>
      </c>
      <c r="C141" s="26" t="str">
        <f aca="false">IF(B141="","",DB_Colleges!B135)</f>
        <v>Highly Selective</v>
      </c>
      <c r="D141" s="26" t="str">
        <f aca="false">IF(B141="","",DB_Colleges!C135&amp;", "&amp;DB_Colleges!D135)</f>
        <v>New Orleans, LA</v>
      </c>
      <c r="E141" s="26" t="str">
        <f aca="false">IF(B141="","",IF(AND(NOT(ISNUMBER($X$4)),NOT(ISNUMBER($Y$4))),"Add scores",IF(NOT(ISNUMBER(DB_Colleges!Y135)),IF(OR(C141="Ivy League",C141="Highly Selective"),"Reach",IF(COUNT(U141:V141)=0,"No data",CHOOSE(W141+2,"Reach","Target","Likely"))),IF(DB_Colleges!Y135&lt;0.15,"Reach",IF(DB_Colleges!Y135&gt;=0.75,IF(W141&gt;=0,"Likely","Target"),IF(DB_Colleges!Y135&gt;=0.4,CHOOSE(W141+2,"Reach","Target","Likely"),IF(W141=1,"Target","Reach")))))))</f>
        <v>Reach</v>
      </c>
      <c r="F141" s="28" t="n">
        <f aca="false">IF(OR(B141="",NOT(ISNUMBER(DB_Colleges!Y135))),"",DB_Colleges!Y135)</f>
        <v>0.1398</v>
      </c>
      <c r="G141" s="26" t="str">
        <f aca="false">IF(OR(B141="",NOT(ISNUMBER(DB_Colleges!Z135))),"",DB_Colleges!Z135&amp;"-"&amp;DB_Colleges!AA135)</f>
        <v>1400-1520</v>
      </c>
      <c r="H141" s="26" t="str">
        <f aca="false">IF(OR(B141="",NOT(ISNUMBER(DB_Colleges!AD135))),"",DB_Colleges!AD135)</f>
        <v/>
      </c>
      <c r="I141" s="29" t="n">
        <f aca="false">IF(B141="","",IF(COUNT(DB_Colleges!I135:O135)=0,IF(DB_Colleges!P135="Yes","Rolling","Check site"),MIN(DB_Colleges!I135:O135)))</f>
        <v>46327</v>
      </c>
      <c r="J141" s="26" t="str">
        <f aca="false">IF(OR(B141="",COUNT(DB_Colleges!I135:O135)=0),"",INDEX({"ED","ED II","EA","EA II","REA","RD","Priority"},MATCH(MIN(DB_Colleges!I135:O135),DB_Colleges!I135:O135,0)))</f>
        <v>ED</v>
      </c>
      <c r="K141" s="29" t="n">
        <f aca="false">IF(OR(B141="",NOT(ISNUMBER(DB_Colleges!N135))),"",DB_Colleges!N135)</f>
        <v>46402</v>
      </c>
      <c r="L141" s="26" t="str">
        <f aca="false">IF(B141="","",DB_Colleges!G135&amp;"")</f>
        <v>Common App</v>
      </c>
      <c r="M141" s="30" t="str">
        <f aca="false">IF(OR(B141="",NOT(ISNUMBER(DB_Colleges!S135))),"",DB_Colleges!S135)</f>
        <v/>
      </c>
      <c r="N141" s="26" t="str">
        <f aca="false">IF(B141="","",DB_Colleges!U135&amp;"")</f>
        <v/>
      </c>
      <c r="O141" s="26" t="str">
        <f aca="false">IF(B141="","",IF(ISNUMBER(DB_Colleges!AH135),DB_Colleges!AH135,"Check"))</f>
        <v>Check</v>
      </c>
      <c r="P141" s="26" t="str">
        <f aca="false">IF(B141="","",DB_Colleges!W135&amp;"")</f>
        <v/>
      </c>
      <c r="Q141" s="30" t="n">
        <f aca="false">IF(OR(B141="",NOT(ISNUMBER(DB_Colleges!AF135))),"",DB_Colleges!AF135)</f>
        <v>23968</v>
      </c>
      <c r="R141" s="28" t="n">
        <f aca="false">IF(OR(B141="",NOT(ISNUMBER(DB_Colleges!AG135))),"",DB_Colleges!AG135)</f>
        <v>0.86</v>
      </c>
      <c r="S141" s="26" t="str">
        <f aca="false">IF(B141="","",DB_Colleges!AK135&amp;"")</f>
        <v>Typical dates, confirm</v>
      </c>
      <c r="T141" s="26" t="str">
        <f aca="false">IF(B141="","",DB_Colleges!AI135&amp;"")</f>
        <v/>
      </c>
      <c r="U141" s="1" t="n">
        <f aca="false">IF(AND(ISNUMBER($X$4),ISNUMBER(DB_Colleges!Z135),ISNUMBER(DB_Colleges!AA135)),IF($X$4&gt;=DB_Colleges!AA135,1,IF($X$4&lt;DB_Colleges!Z135,-1,0)),"")</f>
        <v>-1</v>
      </c>
      <c r="V141" s="1" t="str">
        <f aca="false">IF(AND(ISNUMBER($Y$4),ISNUMBER(DB_Colleges!AD135)),IF($Y$4&gt;=DB_Colleges!AD135+0.15,1,IF($Y$4&lt;DB_Colleges!AD135-0.2,-1,0)),"")</f>
        <v/>
      </c>
      <c r="W141" s="1" t="n">
        <f aca="false">IF(COUNT(U141:V141)=0,0,MIN(U141:V141))</f>
        <v>-1</v>
      </c>
    </row>
    <row r="142" customFormat="false" ht="15" hidden="false" customHeight="true" outlineLevel="0" collapsed="false">
      <c r="A142" s="26" t="str">
        <f aca="false">IF(B142="","",IF(COUNTIF('My Colleges'!$B$8:$B$27,B142)&gt;0,"On list",""))</f>
        <v/>
      </c>
      <c r="B142" s="27" t="str">
        <f aca="false">IF(DB_Colleges!A136="","",DB_Colleges!A136)</f>
        <v>Case Western Reserve University</v>
      </c>
      <c r="C142" s="26" t="str">
        <f aca="false">IF(B142="","",DB_Colleges!B136)</f>
        <v>Highly Selective</v>
      </c>
      <c r="D142" s="26" t="str">
        <f aca="false">IF(B142="","",DB_Colleges!C136&amp;", "&amp;DB_Colleges!D136)</f>
        <v>Cleveland, OH</v>
      </c>
      <c r="E142" s="26" t="str">
        <f aca="false">IF(B142="","",IF(AND(NOT(ISNUMBER($X$4)),NOT(ISNUMBER($Y$4))),"Add scores",IF(NOT(ISNUMBER(DB_Colleges!Y136)),IF(OR(C142="Ivy League",C142="Highly Selective"),"Reach",IF(COUNT(U142:V142)=0,"No data",CHOOSE(W142+2,"Reach","Target","Likely"))),IF(DB_Colleges!Y136&lt;0.15,"Reach",IF(DB_Colleges!Y136&gt;=0.75,IF(W142&gt;=0,"Likely","Target"),IF(DB_Colleges!Y136&gt;=0.4,CHOOSE(W142+2,"Reach","Target","Likely"),IF(W142=1,"Target","Reach")))))))</f>
        <v>Reach</v>
      </c>
      <c r="F142" s="28" t="n">
        <f aca="false">IF(OR(B142="",NOT(ISNUMBER(DB_Colleges!Y136))),"",DB_Colleges!Y136)</f>
        <v>0.3654</v>
      </c>
      <c r="G142" s="26" t="str">
        <f aca="false">IF(OR(B142="",NOT(ISNUMBER(DB_Colleges!Z136))),"",DB_Colleges!Z136&amp;"-"&amp;DB_Colleges!AA136)</f>
        <v>1430-1540</v>
      </c>
      <c r="H142" s="26" t="str">
        <f aca="false">IF(OR(B142="",NOT(ISNUMBER(DB_Colleges!AD136))),"",DB_Colleges!AD136)</f>
        <v/>
      </c>
      <c r="I142" s="29" t="n">
        <f aca="false">IF(B142="","",IF(COUNT(DB_Colleges!I136:O136)=0,IF(DB_Colleges!P136="Yes","Rolling","Check site"),MIN(DB_Colleges!I136:O136)))</f>
        <v>46327</v>
      </c>
      <c r="J142" s="26" t="str">
        <f aca="false">IF(OR(B142="",COUNT(DB_Colleges!I136:O136)=0),"",INDEX({"ED","ED II","EA","EA II","REA","RD","Priority"},MATCH(MIN(DB_Colleges!I136:O136),DB_Colleges!I136:O136,0)))</f>
        <v>ED</v>
      </c>
      <c r="K142" s="29" t="n">
        <f aca="false">IF(OR(B142="",NOT(ISNUMBER(DB_Colleges!N136))),"",DB_Colleges!N136)</f>
        <v>46402</v>
      </c>
      <c r="L142" s="26" t="str">
        <f aca="false">IF(B142="","",DB_Colleges!G136&amp;"")</f>
        <v>Common App</v>
      </c>
      <c r="M142" s="30" t="str">
        <f aca="false">IF(OR(B142="",NOT(ISNUMBER(DB_Colleges!S136))),"",DB_Colleges!S136)</f>
        <v/>
      </c>
      <c r="N142" s="26" t="str">
        <f aca="false">IF(B142="","",DB_Colleges!U136&amp;"")</f>
        <v/>
      </c>
      <c r="O142" s="26" t="str">
        <f aca="false">IF(B142="","",IF(ISNUMBER(DB_Colleges!AH136),DB_Colleges!AH136,"Check"))</f>
        <v>Check</v>
      </c>
      <c r="P142" s="26" t="str">
        <f aca="false">IF(B142="","",DB_Colleges!W136&amp;"")</f>
        <v/>
      </c>
      <c r="Q142" s="30" t="n">
        <f aca="false">IF(OR(B142="",NOT(ISNUMBER(DB_Colleges!AF136))),"",DB_Colleges!AF136)</f>
        <v>18708</v>
      </c>
      <c r="R142" s="28" t="n">
        <f aca="false">IF(OR(B142="",NOT(ISNUMBER(DB_Colleges!AG136))),"",DB_Colleges!AG136)</f>
        <v>0.87</v>
      </c>
      <c r="S142" s="26" t="str">
        <f aca="false">IF(B142="","",DB_Colleges!AK136&amp;"")</f>
        <v>Typical dates, confirm</v>
      </c>
      <c r="T142" s="26" t="str">
        <f aca="false">IF(B142="","",DB_Colleges!AI136&amp;"")</f>
        <v/>
      </c>
      <c r="U142" s="1" t="n">
        <f aca="false">IF(AND(ISNUMBER($X$4),ISNUMBER(DB_Colleges!Z136),ISNUMBER(DB_Colleges!AA136)),IF($X$4&gt;=DB_Colleges!AA136,1,IF($X$4&lt;DB_Colleges!Z136,-1,0)),"")</f>
        <v>-1</v>
      </c>
      <c r="V142" s="1" t="str">
        <f aca="false">IF(AND(ISNUMBER($Y$4),ISNUMBER(DB_Colleges!AD136)),IF($Y$4&gt;=DB_Colleges!AD136+0.15,1,IF($Y$4&lt;DB_Colleges!AD136-0.2,-1,0)),"")</f>
        <v/>
      </c>
      <c r="W142" s="1" t="n">
        <f aca="false">IF(COUNT(U142:V142)=0,0,MIN(U142:V142))</f>
        <v>-1</v>
      </c>
    </row>
    <row r="143" customFormat="false" ht="15" hidden="false" customHeight="true" outlineLevel="0" collapsed="false">
      <c r="A143" s="26" t="str">
        <f aca="false">IF(B143="","",IF(COUNTIF('My Colleges'!$B$8:$B$27,B143)&gt;0,"On list",""))</f>
        <v/>
      </c>
      <c r="B143" s="27" t="str">
        <f aca="false">IF(DB_Colleges!A137="","",DB_Colleges!A137)</f>
        <v>University of Rochester</v>
      </c>
      <c r="C143" s="26" t="str">
        <f aca="false">IF(B143="","",DB_Colleges!B137)</f>
        <v>Highly Selective</v>
      </c>
      <c r="D143" s="26" t="str">
        <f aca="false">IF(B143="","",DB_Colleges!C137&amp;", "&amp;DB_Colleges!D137)</f>
        <v>Rochester, NY</v>
      </c>
      <c r="E143" s="26" t="str">
        <f aca="false">IF(B143="","",IF(AND(NOT(ISNUMBER($X$4)),NOT(ISNUMBER($Y$4))),"Add scores",IF(NOT(ISNUMBER(DB_Colleges!Y137)),IF(OR(C143="Ivy League",C143="Highly Selective"),"Reach",IF(COUNT(U143:V143)=0,"No data",CHOOSE(W143+2,"Reach","Target","Likely"))),IF(DB_Colleges!Y137&lt;0.15,"Reach",IF(DB_Colleges!Y137&gt;=0.75,IF(W143&gt;=0,"Likely","Target"),IF(DB_Colleges!Y137&gt;=0.4,CHOOSE(W143+2,"Reach","Target","Likely"),IF(W143=1,"Target","Reach")))))))</f>
        <v>Reach</v>
      </c>
      <c r="F143" s="28" t="n">
        <f aca="false">IF(OR(B143="",NOT(ISNUMBER(DB_Colleges!Y137))),"",DB_Colleges!Y137)</f>
        <v>0.4013</v>
      </c>
      <c r="G143" s="26" t="str">
        <f aca="false">IF(OR(B143="",NOT(ISNUMBER(DB_Colleges!Z137))),"",DB_Colleges!Z137&amp;"-"&amp;DB_Colleges!AA137)</f>
        <v>1410-1520</v>
      </c>
      <c r="H143" s="26" t="str">
        <f aca="false">IF(OR(B143="",NOT(ISNUMBER(DB_Colleges!AD137))),"",DB_Colleges!AD137)</f>
        <v/>
      </c>
      <c r="I143" s="29" t="n">
        <f aca="false">IF(B143="","",IF(COUNT(DB_Colleges!I137:O137)=0,IF(DB_Colleges!P137="Yes","Rolling","Check site"),MIN(DB_Colleges!I137:O137)))</f>
        <v>46327</v>
      </c>
      <c r="J143" s="26" t="str">
        <f aca="false">IF(OR(B143="",COUNT(DB_Colleges!I137:O137)=0),"",INDEX({"ED","ED II","EA","EA II","REA","RD","Priority"},MATCH(MIN(DB_Colleges!I137:O137),DB_Colleges!I137:O137,0)))</f>
        <v>ED</v>
      </c>
      <c r="K143" s="29" t="n">
        <f aca="false">IF(OR(B143="",NOT(ISNUMBER(DB_Colleges!N137))),"",DB_Colleges!N137)</f>
        <v>46392</v>
      </c>
      <c r="L143" s="26" t="str">
        <f aca="false">IF(B143="","",DB_Colleges!G137&amp;"")</f>
        <v>Common App; Coalition</v>
      </c>
      <c r="M143" s="30" t="n">
        <f aca="false">IF(OR(B143="",NOT(ISNUMBER(DB_Colleges!S137))),"",DB_Colleges!S137)</f>
        <v>50</v>
      </c>
      <c r="N143" s="26" t="str">
        <f aca="false">IF(B143="","",DB_Colleges!U137&amp;"")</f>
        <v>Optional</v>
      </c>
      <c r="O143" s="26" t="n">
        <f aca="false">IF(B143="","",IF(ISNUMBER(DB_Colleges!AH137),DB_Colleges!AH137,"Check"))</f>
        <v>1</v>
      </c>
      <c r="P143" s="26" t="str">
        <f aca="false">IF(B143="","",DB_Colleges!W137&amp;"")</f>
        <v>Required</v>
      </c>
      <c r="Q143" s="30" t="n">
        <f aca="false">IF(OR(B143="",NOT(ISNUMBER(DB_Colleges!AF137))),"",DB_Colleges!AF137)</f>
        <v>15324</v>
      </c>
      <c r="R143" s="28" t="str">
        <f aca="false">IF(OR(B143="",NOT(ISNUMBER(DB_Colleges!AG137))),"",DB_Colleges!AG137)</f>
        <v/>
      </c>
      <c r="S143" s="26" t="str">
        <f aca="false">IF(B143="","",DB_Colleges!AK137&amp;"")</f>
        <v>Mixed</v>
      </c>
      <c r="T143" s="26" t="str">
        <f aca="false">IF(B143="","",DB_Colleges!AI137&amp;"")</f>
        <v>https://admissions.rochester.edu/apply/</v>
      </c>
      <c r="U143" s="1" t="n">
        <f aca="false">IF(AND(ISNUMBER($X$4),ISNUMBER(DB_Colleges!Z137),ISNUMBER(DB_Colleges!AA137)),IF($X$4&gt;=DB_Colleges!AA137,1,IF($X$4&lt;DB_Colleges!Z137,-1,0)),"")</f>
        <v>-1</v>
      </c>
      <c r="V143" s="1" t="str">
        <f aca="false">IF(AND(ISNUMBER($Y$4),ISNUMBER(DB_Colleges!AD137)),IF($Y$4&gt;=DB_Colleges!AD137+0.15,1,IF($Y$4&lt;DB_Colleges!AD137-0.2,-1,0)),"")</f>
        <v/>
      </c>
      <c r="W143" s="1" t="n">
        <f aca="false">IF(COUNT(U143:V143)=0,0,MIN(U143:V143))</f>
        <v>-1</v>
      </c>
    </row>
    <row r="144" customFormat="false" ht="15" hidden="false" customHeight="true" outlineLevel="0" collapsed="false">
      <c r="A144" s="26" t="str">
        <f aca="false">IF(B144="","",IF(COUNTIF('My Colleges'!$B$8:$B$27,B144)&gt;0,"On list",""))</f>
        <v/>
      </c>
      <c r="B144" s="27" t="str">
        <f aca="false">IF(DB_Colleges!A138="","",DB_Colleges!A138)</f>
        <v>Vassar College</v>
      </c>
      <c r="C144" s="26" t="str">
        <f aca="false">IF(B144="","",DB_Colleges!B138)</f>
        <v>Highly Selective</v>
      </c>
      <c r="D144" s="26" t="str">
        <f aca="false">IF(B144="","",DB_Colleges!C138&amp;", "&amp;DB_Colleges!D138)</f>
        <v>Poughkeepsie, NY</v>
      </c>
      <c r="E144" s="26" t="str">
        <f aca="false">IF(B144="","",IF(AND(NOT(ISNUMBER($X$4)),NOT(ISNUMBER($Y$4))),"Add scores",IF(NOT(ISNUMBER(DB_Colleges!Y138)),IF(OR(C144="Ivy League",C144="Highly Selective"),"Reach",IF(COUNT(U144:V144)=0,"No data",CHOOSE(W144+2,"Reach","Target","Likely"))),IF(DB_Colleges!Y138&lt;0.15,"Reach",IF(DB_Colleges!Y138&gt;=0.75,IF(W144&gt;=0,"Likely","Target"),IF(DB_Colleges!Y138&gt;=0.4,CHOOSE(W144+2,"Reach","Target","Likely"),IF(W144=1,"Target","Reach")))))))</f>
        <v>Reach</v>
      </c>
      <c r="F144" s="28" t="str">
        <f aca="false">IF(OR(B144="",NOT(ISNUMBER(DB_Colleges!Y138))),"",DB_Colleges!Y138)</f>
        <v/>
      </c>
      <c r="G144" s="26" t="str">
        <f aca="false">IF(OR(B144="",NOT(ISNUMBER(DB_Colleges!Z138))),"",DB_Colleges!Z138&amp;"-"&amp;DB_Colleges!AA138)</f>
        <v/>
      </c>
      <c r="H144" s="26" t="str">
        <f aca="false">IF(OR(B144="",NOT(ISNUMBER(DB_Colleges!AD138))),"",DB_Colleges!AD138)</f>
        <v/>
      </c>
      <c r="I144" s="29" t="n">
        <f aca="false">IF(B144="","",IF(COUNT(DB_Colleges!I138:O138)=0,IF(DB_Colleges!P138="Yes","Rolling","Check site"),MIN(DB_Colleges!I138:O138)))</f>
        <v>46341</v>
      </c>
      <c r="J144" s="26" t="str">
        <f aca="false">IF(OR(B144="",COUNT(DB_Colleges!I138:O138)=0),"",INDEX({"ED","ED II","EA","EA II","REA","RD","Priority"},MATCH(MIN(DB_Colleges!I138:O138),DB_Colleges!I138:O138,0)))</f>
        <v>ED</v>
      </c>
      <c r="K144" s="29" t="n">
        <f aca="false">IF(OR(B144="",NOT(ISNUMBER(DB_Colleges!N138))),"",DB_Colleges!N138)</f>
        <v>46388</v>
      </c>
      <c r="L144" s="26" t="str">
        <f aca="false">IF(B144="","",DB_Colleges!G138&amp;"")</f>
        <v>Common App; Coalition</v>
      </c>
      <c r="M144" s="30" t="n">
        <f aca="false">IF(OR(B144="",NOT(ISNUMBER(DB_Colleges!S138))),"",DB_Colleges!S138)</f>
        <v>65</v>
      </c>
      <c r="N144" s="26" t="str">
        <f aca="false">IF(B144="","",DB_Colleges!U138&amp;"")</f>
        <v>Optional</v>
      </c>
      <c r="O144" s="26" t="str">
        <f aca="false">IF(B144="","",IF(ISNUMBER(DB_Colleges!AH138),DB_Colleges!AH138,"Check"))</f>
        <v>Check</v>
      </c>
      <c r="P144" s="26" t="str">
        <f aca="false">IF(B144="","",DB_Colleges!W138&amp;"")</f>
        <v/>
      </c>
      <c r="Q144" s="30" t="n">
        <f aca="false">IF(OR(B144="",NOT(ISNUMBER(DB_Colleges!AF138))),"",DB_Colleges!AF138)</f>
        <v>8186</v>
      </c>
      <c r="R144" s="28" t="str">
        <f aca="false">IF(OR(B144="",NOT(ISNUMBER(DB_Colleges!AG138))),"",DB_Colleges!AG138)</f>
        <v/>
      </c>
      <c r="S144" s="26" t="str">
        <f aca="false">IF(B144="","",DB_Colleges!AK138&amp;"")</f>
        <v>Official, prior year</v>
      </c>
      <c r="T144" s="26" t="str">
        <f aca="false">IF(B144="","",DB_Colleges!AI138&amp;"")</f>
        <v>https://www.vassar.edu/admission/apply</v>
      </c>
      <c r="U144" s="1" t="str">
        <f aca="false">IF(AND(ISNUMBER($X$4),ISNUMBER(DB_Colleges!Z138),ISNUMBER(DB_Colleges!AA138)),IF($X$4&gt;=DB_Colleges!AA138,1,IF($X$4&lt;DB_Colleges!Z138,-1,0)),"")</f>
        <v/>
      </c>
      <c r="V144" s="1" t="str">
        <f aca="false">IF(AND(ISNUMBER($Y$4),ISNUMBER(DB_Colleges!AD138)),IF($Y$4&gt;=DB_Colleges!AD138+0.15,1,IF($Y$4&lt;DB_Colleges!AD138-0.2,-1,0)),"")</f>
        <v/>
      </c>
      <c r="W144" s="1" t="n">
        <f aca="false">IF(COUNT(U144:V144)=0,0,MIN(U144:V144))</f>
        <v>0</v>
      </c>
    </row>
    <row r="145" customFormat="false" ht="15" hidden="false" customHeight="true" outlineLevel="0" collapsed="false">
      <c r="A145" s="26" t="str">
        <f aca="false">IF(B145="","",IF(COUNTIF('My Colleges'!$B$8:$B$27,B145)&gt;0,"On list",""))</f>
        <v/>
      </c>
      <c r="B145" s="27" t="str">
        <f aca="false">IF(DB_Colleges!A139="","",DB_Colleges!A139)</f>
        <v>Grinnell College</v>
      </c>
      <c r="C145" s="26" t="str">
        <f aca="false">IF(B145="","",DB_Colleges!B139)</f>
        <v>Highly Selective</v>
      </c>
      <c r="D145" s="26" t="str">
        <f aca="false">IF(B145="","",DB_Colleges!C139&amp;", "&amp;DB_Colleges!D139)</f>
        <v>Grinnell, IA</v>
      </c>
      <c r="E145" s="26" t="str">
        <f aca="false">IF(B145="","",IF(AND(NOT(ISNUMBER($X$4)),NOT(ISNUMBER($Y$4))),"Add scores",IF(NOT(ISNUMBER(DB_Colleges!Y139)),IF(OR(C145="Ivy League",C145="Highly Selective"),"Reach",IF(COUNT(U145:V145)=0,"No data",CHOOSE(W145+2,"Reach","Target","Likely"))),IF(DB_Colleges!Y139&lt;0.15,"Reach",IF(DB_Colleges!Y139&gt;=0.75,IF(W145&gt;=0,"Likely","Target"),IF(DB_Colleges!Y139&gt;=0.4,CHOOSE(W145+2,"Reach","Target","Likely"),IF(W145=1,"Target","Reach")))))))</f>
        <v>Reach</v>
      </c>
      <c r="F145" s="28" t="str">
        <f aca="false">IF(OR(B145="",NOT(ISNUMBER(DB_Colleges!Y139))),"",DB_Colleges!Y139)</f>
        <v/>
      </c>
      <c r="G145" s="26" t="str">
        <f aca="false">IF(OR(B145="",NOT(ISNUMBER(DB_Colleges!Z139))),"",DB_Colleges!Z139&amp;"-"&amp;DB_Colleges!AA139)</f>
        <v/>
      </c>
      <c r="H145" s="26" t="str">
        <f aca="false">IF(OR(B145="",NOT(ISNUMBER(DB_Colleges!AD139))),"",DB_Colleges!AD139)</f>
        <v/>
      </c>
      <c r="I145" s="29" t="n">
        <f aca="false">IF(B145="","",IF(COUNT(DB_Colleges!I139:O139)=0,IF(DB_Colleges!P139="Yes","Rolling","Check site"),MIN(DB_Colleges!I139:O139)))</f>
        <v>46341</v>
      </c>
      <c r="J145" s="26" t="str">
        <f aca="false">IF(OR(B145="",COUNT(DB_Colleges!I139:O139)=0),"",INDEX({"ED","ED II","EA","EA II","REA","RD","Priority"},MATCH(MIN(DB_Colleges!I139:O139),DB_Colleges!I139:O139,0)))</f>
        <v>ED</v>
      </c>
      <c r="K145" s="29" t="n">
        <f aca="false">IF(OR(B145="",NOT(ISNUMBER(DB_Colleges!N139))),"",DB_Colleges!N139)</f>
        <v>46402</v>
      </c>
      <c r="L145" s="26" t="str">
        <f aca="false">IF(B145="","",DB_Colleges!G139&amp;"")</f>
        <v>Common App</v>
      </c>
      <c r="M145" s="30" t="n">
        <f aca="false">IF(OR(B145="",NOT(ISNUMBER(DB_Colleges!S139))),"",DB_Colleges!S139)</f>
        <v>0</v>
      </c>
      <c r="N145" s="26" t="str">
        <f aca="false">IF(B145="","",DB_Colleges!U139&amp;"")</f>
        <v>Optional</v>
      </c>
      <c r="O145" s="26" t="n">
        <f aca="false">IF(B145="","",IF(ISNUMBER(DB_Colleges!AH139),DB_Colleges!AH139,"Check"))</f>
        <v>0</v>
      </c>
      <c r="P145" s="26" t="str">
        <f aca="false">IF(B145="","",DB_Colleges!W139&amp;"")</f>
        <v/>
      </c>
      <c r="Q145" s="30" t="n">
        <f aca="false">IF(OR(B145="",NOT(ISNUMBER(DB_Colleges!AF139))),"",DB_Colleges!AF139)</f>
        <v>11945</v>
      </c>
      <c r="R145" s="28" t="str">
        <f aca="false">IF(OR(B145="",NOT(ISNUMBER(DB_Colleges!AG139))),"",DB_Colleges!AG139)</f>
        <v/>
      </c>
      <c r="S145" s="26" t="str">
        <f aca="false">IF(B145="","",DB_Colleges!AK139&amp;"")</f>
        <v>Official 2026-27</v>
      </c>
      <c r="T145" s="26" t="str">
        <f aca="false">IF(B145="","",DB_Colleges!AI139&amp;"")</f>
        <v>https://www.grinnell.edu/admission/apply/first-year</v>
      </c>
      <c r="U145" s="1" t="str">
        <f aca="false">IF(AND(ISNUMBER($X$4),ISNUMBER(DB_Colleges!Z139),ISNUMBER(DB_Colleges!AA139)),IF($X$4&gt;=DB_Colleges!AA139,1,IF($X$4&lt;DB_Colleges!Z139,-1,0)),"")</f>
        <v/>
      </c>
      <c r="V145" s="1" t="str">
        <f aca="false">IF(AND(ISNUMBER($Y$4),ISNUMBER(DB_Colleges!AD139)),IF($Y$4&gt;=DB_Colleges!AD139+0.15,1,IF($Y$4&lt;DB_Colleges!AD139-0.2,-1,0)),"")</f>
        <v/>
      </c>
      <c r="W145" s="1" t="n">
        <f aca="false">IF(COUNT(U145:V145)=0,0,MIN(U145:V145))</f>
        <v>0</v>
      </c>
    </row>
    <row r="146" customFormat="false" ht="15" hidden="false" customHeight="true" outlineLevel="0" collapsed="false">
      <c r="A146" s="26" t="str">
        <f aca="false">IF(B146="","",IF(COUNTIF('My Colleges'!$B$8:$B$27,B146)&gt;0,"On list",""))</f>
        <v/>
      </c>
      <c r="B146" s="27" t="str">
        <f aca="false">IF(DB_Colleges!A140="","",DB_Colleges!A140)</f>
        <v>Barnard College</v>
      </c>
      <c r="C146" s="26" t="str">
        <f aca="false">IF(B146="","",DB_Colleges!B140)</f>
        <v>Highly Selective</v>
      </c>
      <c r="D146" s="26" t="str">
        <f aca="false">IF(B146="","",DB_Colleges!C140&amp;", "&amp;DB_Colleges!D140)</f>
        <v>New York, NY</v>
      </c>
      <c r="E146" s="26" t="str">
        <f aca="false">IF(B146="","",IF(AND(NOT(ISNUMBER($X$4)),NOT(ISNUMBER($Y$4))),"Add scores",IF(NOT(ISNUMBER(DB_Colleges!Y140)),IF(OR(C146="Ivy League",C146="Highly Selective"),"Reach",IF(COUNT(U146:V146)=0,"No data",CHOOSE(W146+2,"Reach","Target","Likely"))),IF(DB_Colleges!Y140&lt;0.15,"Reach",IF(DB_Colleges!Y140&gt;=0.75,IF(W146&gt;=0,"Likely","Target"),IF(DB_Colleges!Y140&gt;=0.4,CHOOSE(W146+2,"Reach","Target","Likely"),IF(W146=1,"Target","Reach")))))))</f>
        <v>Reach</v>
      </c>
      <c r="F146" s="28" t="str">
        <f aca="false">IF(OR(B146="",NOT(ISNUMBER(DB_Colleges!Y140))),"",DB_Colleges!Y140)</f>
        <v/>
      </c>
      <c r="G146" s="26" t="str">
        <f aca="false">IF(OR(B146="",NOT(ISNUMBER(DB_Colleges!Z140))),"",DB_Colleges!Z140&amp;"-"&amp;DB_Colleges!AA140)</f>
        <v/>
      </c>
      <c r="H146" s="26" t="str">
        <f aca="false">IF(OR(B146="",NOT(ISNUMBER(DB_Colleges!AD140))),"",DB_Colleges!AD140)</f>
        <v/>
      </c>
      <c r="I146" s="29" t="n">
        <f aca="false">IF(B146="","",IF(COUNT(DB_Colleges!I140:O140)=0,IF(DB_Colleges!P140="Yes","Rolling","Check site"),MIN(DB_Colleges!I140:O140)))</f>
        <v>46327</v>
      </c>
      <c r="J146" s="26" t="str">
        <f aca="false">IF(OR(B146="",COUNT(DB_Colleges!I140:O140)=0),"",INDEX({"ED","ED II","EA","EA II","REA","RD","Priority"},MATCH(MIN(DB_Colleges!I140:O140),DB_Colleges!I140:O140,0)))</f>
        <v>ED</v>
      </c>
      <c r="K146" s="29" t="n">
        <f aca="false">IF(OR(B146="",NOT(ISNUMBER(DB_Colleges!N140))),"",DB_Colleges!N140)</f>
        <v>46388</v>
      </c>
      <c r="L146" s="26" t="str">
        <f aca="false">IF(B146="","",DB_Colleges!G140&amp;"")</f>
        <v>Common App; QuestBridge</v>
      </c>
      <c r="M146" s="30" t="n">
        <f aca="false">IF(OR(B146="",NOT(ISNUMBER(DB_Colleges!S140))),"",DB_Colleges!S140)</f>
        <v>75</v>
      </c>
      <c r="N146" s="26" t="str">
        <f aca="false">IF(B146="","",DB_Colleges!U140&amp;"")</f>
        <v>Optional</v>
      </c>
      <c r="O146" s="26" t="n">
        <f aca="false">IF(B146="","",IF(ISNUMBER(DB_Colleges!AH140),DB_Colleges!AH140,"Check"))</f>
        <v>2</v>
      </c>
      <c r="P146" s="26" t="str">
        <f aca="false">IF(B146="","",DB_Colleges!W140&amp;"")</f>
        <v/>
      </c>
      <c r="Q146" s="30" t="n">
        <f aca="false">IF(OR(B146="",NOT(ISNUMBER(DB_Colleges!AF140))),"",DB_Colleges!AF140)</f>
        <v>12377</v>
      </c>
      <c r="R146" s="28" t="str">
        <f aca="false">IF(OR(B146="",NOT(ISNUMBER(DB_Colleges!AG140))),"",DB_Colleges!AG140)</f>
        <v/>
      </c>
      <c r="S146" s="26" t="str">
        <f aca="false">IF(B146="","",DB_Colleges!AK140&amp;"")</f>
        <v>Official 2026-27</v>
      </c>
      <c r="T146" s="26" t="str">
        <f aca="false">IF(B146="","",DB_Colleges!AI140&amp;"")</f>
        <v>https://barnard.edu/admissions/the-application-process</v>
      </c>
      <c r="U146" s="1" t="str">
        <f aca="false">IF(AND(ISNUMBER($X$4),ISNUMBER(DB_Colleges!Z140),ISNUMBER(DB_Colleges!AA140)),IF($X$4&gt;=DB_Colleges!AA140,1,IF($X$4&lt;DB_Colleges!Z140,-1,0)),"")</f>
        <v/>
      </c>
      <c r="V146" s="1" t="str">
        <f aca="false">IF(AND(ISNUMBER($Y$4),ISNUMBER(DB_Colleges!AD140)),IF($Y$4&gt;=DB_Colleges!AD140+0.15,1,IF($Y$4&lt;DB_Colleges!AD140-0.2,-1,0)),"")</f>
        <v/>
      </c>
      <c r="W146" s="1" t="n">
        <f aca="false">IF(COUNT(U146:V146)=0,0,MIN(U146:V146))</f>
        <v>0</v>
      </c>
    </row>
    <row r="147" customFormat="false" ht="15" hidden="false" customHeight="true" outlineLevel="0" collapsed="false">
      <c r="A147" s="26" t="str">
        <f aca="false">IF(B147="","",IF(COUNTIF('My Colleges'!$B$8:$B$27,B147)&gt;0,"On list",""))</f>
        <v/>
      </c>
      <c r="B147" s="27" t="str">
        <f aca="false">IF(DB_Colleges!A141="","",DB_Colleges!A141)</f>
        <v>Smith College</v>
      </c>
      <c r="C147" s="26" t="str">
        <f aca="false">IF(B147="","",DB_Colleges!B141)</f>
        <v>Highly Selective</v>
      </c>
      <c r="D147" s="26" t="str">
        <f aca="false">IF(B147="","",DB_Colleges!C141&amp;", "&amp;DB_Colleges!D141)</f>
        <v>Northampton, MA</v>
      </c>
      <c r="E147" s="26" t="str">
        <f aca="false">IF(B147="","",IF(AND(NOT(ISNUMBER($X$4)),NOT(ISNUMBER($Y$4))),"Add scores",IF(NOT(ISNUMBER(DB_Colleges!Y141)),IF(OR(C147="Ivy League",C147="Highly Selective"),"Reach",IF(COUNT(U147:V147)=0,"No data",CHOOSE(W147+2,"Reach","Target","Likely"))),IF(DB_Colleges!Y141&lt;0.15,"Reach",IF(DB_Colleges!Y141&gt;=0.75,IF(W147&gt;=0,"Likely","Target"),IF(DB_Colleges!Y141&gt;=0.4,CHOOSE(W147+2,"Reach","Target","Likely"),IF(W147=1,"Target","Reach")))))))</f>
        <v>Reach</v>
      </c>
      <c r="F147" s="28" t="str">
        <f aca="false">IF(OR(B147="",NOT(ISNUMBER(DB_Colleges!Y141))),"",DB_Colleges!Y141)</f>
        <v/>
      </c>
      <c r="G147" s="26" t="str">
        <f aca="false">IF(OR(B147="",NOT(ISNUMBER(DB_Colleges!Z141))),"",DB_Colleges!Z141&amp;"-"&amp;DB_Colleges!AA141)</f>
        <v/>
      </c>
      <c r="H147" s="26" t="str">
        <f aca="false">IF(OR(B147="",NOT(ISNUMBER(DB_Colleges!AD141))),"",DB_Colleges!AD141)</f>
        <v/>
      </c>
      <c r="I147" s="29" t="n">
        <f aca="false">IF(B147="","",IF(COUNT(DB_Colleges!I141:O141)=0,IF(DB_Colleges!P141="Yes","Rolling","Check site"),MIN(DB_Colleges!I141:O141)))</f>
        <v>46341</v>
      </c>
      <c r="J147" s="26" t="str">
        <f aca="false">IF(OR(B147="",COUNT(DB_Colleges!I141:O141)=0),"",INDEX({"ED","ED II","EA","EA II","REA","RD","Priority"},MATCH(MIN(DB_Colleges!I141:O141),DB_Colleges!I141:O141,0)))</f>
        <v>ED</v>
      </c>
      <c r="K147" s="29" t="n">
        <f aca="false">IF(OR(B147="",NOT(ISNUMBER(DB_Colleges!N141))),"",DB_Colleges!N141)</f>
        <v>46402</v>
      </c>
      <c r="L147" s="26" t="str">
        <f aca="false">IF(B147="","",DB_Colleges!G141&amp;"")</f>
        <v>Common App; Coalition</v>
      </c>
      <c r="M147" s="30" t="n">
        <f aca="false">IF(OR(B147="",NOT(ISNUMBER(DB_Colleges!S141))),"",DB_Colleges!S141)</f>
        <v>0</v>
      </c>
      <c r="N147" s="26" t="str">
        <f aca="false">IF(B147="","",DB_Colleges!U141&amp;"")</f>
        <v>Optional</v>
      </c>
      <c r="O147" s="26" t="str">
        <f aca="false">IF(B147="","",IF(ISNUMBER(DB_Colleges!AH141),DB_Colleges!AH141,"Check"))</f>
        <v>Check</v>
      </c>
      <c r="P147" s="26" t="str">
        <f aca="false">IF(B147="","",DB_Colleges!W141&amp;"")</f>
        <v/>
      </c>
      <c r="Q147" s="30" t="n">
        <f aca="false">IF(OR(B147="",NOT(ISNUMBER(DB_Colleges!AF141))),"",DB_Colleges!AF141)</f>
        <v>6075</v>
      </c>
      <c r="R147" s="28" t="str">
        <f aca="false">IF(OR(B147="",NOT(ISNUMBER(DB_Colleges!AG141))),"",DB_Colleges!AG141)</f>
        <v/>
      </c>
      <c r="S147" s="26" t="str">
        <f aca="false">IF(B147="","",DB_Colleges!AK141&amp;"")</f>
        <v>Official, prior year</v>
      </c>
      <c r="T147" s="26" t="str">
        <f aca="false">IF(B147="","",DB_Colleges!AI141&amp;"")</f>
        <v>https://www.smith.edu/admission-aid/apply-smith/first-year-applicants</v>
      </c>
      <c r="U147" s="1" t="str">
        <f aca="false">IF(AND(ISNUMBER($X$4),ISNUMBER(DB_Colleges!Z141),ISNUMBER(DB_Colleges!AA141)),IF($X$4&gt;=DB_Colleges!AA141,1,IF($X$4&lt;DB_Colleges!Z141,-1,0)),"")</f>
        <v/>
      </c>
      <c r="V147" s="1" t="str">
        <f aca="false">IF(AND(ISNUMBER($Y$4),ISNUMBER(DB_Colleges!AD141)),IF($Y$4&gt;=DB_Colleges!AD141+0.15,1,IF($Y$4&lt;DB_Colleges!AD141-0.2,-1,0)),"")</f>
        <v/>
      </c>
      <c r="W147" s="1" t="n">
        <f aca="false">IF(COUNT(U147:V147)=0,0,MIN(U147:V147))</f>
        <v>0</v>
      </c>
    </row>
    <row r="148" customFormat="false" ht="15" hidden="false" customHeight="true" outlineLevel="0" collapsed="false">
      <c r="A148" s="26" t="str">
        <f aca="false">IF(B148="","",IF(COUNTIF('My Colleges'!$B$8:$B$27,B148)&gt;0,"On list",""))</f>
        <v/>
      </c>
      <c r="B148" s="27" t="str">
        <f aca="false">IF(DB_Colleges!A142="","",DB_Colleges!A142)</f>
        <v>Hamilton College</v>
      </c>
      <c r="C148" s="26" t="str">
        <f aca="false">IF(B148="","",DB_Colleges!B142)</f>
        <v>Highly Selective</v>
      </c>
      <c r="D148" s="26" t="str">
        <f aca="false">IF(B148="","",DB_Colleges!C142&amp;", "&amp;DB_Colleges!D142)</f>
        <v>Clinton, NY</v>
      </c>
      <c r="E148" s="26" t="str">
        <f aca="false">IF(B148="","",IF(AND(NOT(ISNUMBER($X$4)),NOT(ISNUMBER($Y$4))),"Add scores",IF(NOT(ISNUMBER(DB_Colleges!Y142)),IF(OR(C148="Ivy League",C148="Highly Selective"),"Reach",IF(COUNT(U148:V148)=0,"No data",CHOOSE(W148+2,"Reach","Target","Likely"))),IF(DB_Colleges!Y142&lt;0.15,"Reach",IF(DB_Colleges!Y142&gt;=0.75,IF(W148&gt;=0,"Likely","Target"),IF(DB_Colleges!Y142&gt;=0.4,CHOOSE(W148+2,"Reach","Target","Likely"),IF(W148=1,"Target","Reach")))))))</f>
        <v>Reach</v>
      </c>
      <c r="F148" s="28" t="str">
        <f aca="false">IF(OR(B148="",NOT(ISNUMBER(DB_Colleges!Y142))),"",DB_Colleges!Y142)</f>
        <v/>
      </c>
      <c r="G148" s="26" t="str">
        <f aca="false">IF(OR(B148="",NOT(ISNUMBER(DB_Colleges!Z142))),"",DB_Colleges!Z142&amp;"-"&amp;DB_Colleges!AA142)</f>
        <v/>
      </c>
      <c r="H148" s="26" t="str">
        <f aca="false">IF(OR(B148="",NOT(ISNUMBER(DB_Colleges!AD142))),"",DB_Colleges!AD142)</f>
        <v/>
      </c>
      <c r="I148" s="29" t="n">
        <f aca="false">IF(B148="","",IF(COUNT(DB_Colleges!I142:O142)=0,IF(DB_Colleges!P142="Yes","Rolling","Check site"),MIN(DB_Colleges!I142:O142)))</f>
        <v>46341</v>
      </c>
      <c r="J148" s="26" t="str">
        <f aca="false">IF(OR(B148="",COUNT(DB_Colleges!I142:O142)=0),"",INDEX({"ED","ED II","EA","EA II","REA","RD","Priority"},MATCH(MIN(DB_Colleges!I142:O142),DB_Colleges!I142:O142,0)))</f>
        <v>ED</v>
      </c>
      <c r="K148" s="29" t="n">
        <f aca="false">IF(OR(B148="",NOT(ISNUMBER(DB_Colleges!N142))),"",DB_Colleges!N142)</f>
        <v>46391</v>
      </c>
      <c r="L148" s="26" t="str">
        <f aca="false">IF(B148="","",DB_Colleges!G142&amp;"")</f>
        <v>Common App; Coalition; QuestBridge</v>
      </c>
      <c r="M148" s="30" t="n">
        <f aca="false">IF(OR(B148="",NOT(ISNUMBER(DB_Colleges!S142))),"",DB_Colleges!S142)</f>
        <v>65</v>
      </c>
      <c r="N148" s="26" t="str">
        <f aca="false">IF(B148="","",DB_Colleges!U142&amp;"")</f>
        <v>Optional</v>
      </c>
      <c r="O148" s="26" t="str">
        <f aca="false">IF(B148="","",IF(ISNUMBER(DB_Colleges!AH142),DB_Colleges!AH142,"Check"))</f>
        <v>Check</v>
      </c>
      <c r="P148" s="26" t="str">
        <f aca="false">IF(B148="","",DB_Colleges!W142&amp;"")</f>
        <v/>
      </c>
      <c r="Q148" s="30" t="n">
        <f aca="false">IF(OR(B148="",NOT(ISNUMBER(DB_Colleges!AF142))),"",DB_Colleges!AF142)</f>
        <v>7942</v>
      </c>
      <c r="R148" s="28" t="str">
        <f aca="false">IF(OR(B148="",NOT(ISNUMBER(DB_Colleges!AG142))),"",DB_Colleges!AG142)</f>
        <v/>
      </c>
      <c r="S148" s="26" t="str">
        <f aca="false">IF(B148="","",DB_Colleges!AK142&amp;"")</f>
        <v>Mixed</v>
      </c>
      <c r="T148" s="26" t="str">
        <f aca="false">IF(B148="","",DB_Colleges!AI142&amp;"")</f>
        <v>https://www.hamilton.edu/admission/apply/first-year</v>
      </c>
      <c r="U148" s="1" t="str">
        <f aca="false">IF(AND(ISNUMBER($X$4),ISNUMBER(DB_Colleges!Z142),ISNUMBER(DB_Colleges!AA142)),IF($X$4&gt;=DB_Colleges!AA142,1,IF($X$4&lt;DB_Colleges!Z142,-1,0)),"")</f>
        <v/>
      </c>
      <c r="V148" s="1" t="str">
        <f aca="false">IF(AND(ISNUMBER($Y$4),ISNUMBER(DB_Colleges!AD142)),IF($Y$4&gt;=DB_Colleges!AD142+0.15,1,IF($Y$4&lt;DB_Colleges!AD142-0.2,-1,0)),"")</f>
        <v/>
      </c>
      <c r="W148" s="1" t="n">
        <f aca="false">IF(COUNT(U148:V148)=0,0,MIN(U148:V148))</f>
        <v>0</v>
      </c>
    </row>
    <row r="149" customFormat="false" ht="15" hidden="false" customHeight="true" outlineLevel="0" collapsed="false">
      <c r="A149" s="26" t="str">
        <f aca="false">IF(B149="","",IF(COUNTIF('My Colleges'!$B$8:$B$27,B149)&gt;0,"On list",""))</f>
        <v/>
      </c>
      <c r="B149" s="27" t="str">
        <f aca="false">IF(DB_Colleges!A143="","",DB_Colleges!A143)</f>
        <v>Colby College</v>
      </c>
      <c r="C149" s="26" t="str">
        <f aca="false">IF(B149="","",DB_Colleges!B143)</f>
        <v>Highly Selective</v>
      </c>
      <c r="D149" s="26" t="str">
        <f aca="false">IF(B149="","",DB_Colleges!C143&amp;", "&amp;DB_Colleges!D143)</f>
        <v>Waterville, ME</v>
      </c>
      <c r="E149" s="26" t="str">
        <f aca="false">IF(B149="","",IF(AND(NOT(ISNUMBER($X$4)),NOT(ISNUMBER($Y$4))),"Add scores",IF(NOT(ISNUMBER(DB_Colleges!Y143)),IF(OR(C149="Ivy League",C149="Highly Selective"),"Reach",IF(COUNT(U149:V149)=0,"No data",CHOOSE(W149+2,"Reach","Target","Likely"))),IF(DB_Colleges!Y143&lt;0.15,"Reach",IF(DB_Colleges!Y143&gt;=0.75,IF(W149&gt;=0,"Likely","Target"),IF(DB_Colleges!Y143&gt;=0.4,CHOOSE(W149+2,"Reach","Target","Likely"),IF(W149=1,"Target","Reach")))))))</f>
        <v>Reach</v>
      </c>
      <c r="F149" s="28" t="str">
        <f aca="false">IF(OR(B149="",NOT(ISNUMBER(DB_Colleges!Y143))),"",DB_Colleges!Y143)</f>
        <v/>
      </c>
      <c r="G149" s="26" t="str">
        <f aca="false">IF(OR(B149="",NOT(ISNUMBER(DB_Colleges!Z143))),"",DB_Colleges!Z143&amp;"-"&amp;DB_Colleges!AA143)</f>
        <v/>
      </c>
      <c r="H149" s="26" t="str">
        <f aca="false">IF(OR(B149="",NOT(ISNUMBER(DB_Colleges!AD143))),"",DB_Colleges!AD143)</f>
        <v/>
      </c>
      <c r="I149" s="29" t="n">
        <f aca="false">IF(B149="","",IF(COUNT(DB_Colleges!I143:O143)=0,IF(DB_Colleges!P143="Yes","Rolling","Check site"),MIN(DB_Colleges!I143:O143)))</f>
        <v>46341</v>
      </c>
      <c r="J149" s="26" t="str">
        <f aca="false">IF(OR(B149="",COUNT(DB_Colleges!I143:O143)=0),"",INDEX({"ED","ED II","EA","EA II","REA","RD","Priority"},MATCH(MIN(DB_Colleges!I143:O143),DB_Colleges!I143:O143,0)))</f>
        <v>ED</v>
      </c>
      <c r="K149" s="29" t="n">
        <f aca="false">IF(OR(B149="",NOT(ISNUMBER(DB_Colleges!N143))),"",DB_Colleges!N143)</f>
        <v>46391</v>
      </c>
      <c r="L149" s="26" t="str">
        <f aca="false">IF(B149="","",DB_Colleges!G143&amp;"")</f>
        <v>Common App; Coalition; QuestBridge</v>
      </c>
      <c r="M149" s="30" t="n">
        <f aca="false">IF(OR(B149="",NOT(ISNUMBER(DB_Colleges!S143))),"",DB_Colleges!S143)</f>
        <v>0</v>
      </c>
      <c r="N149" s="26" t="str">
        <f aca="false">IF(B149="","",DB_Colleges!U143&amp;"")</f>
        <v>Optional</v>
      </c>
      <c r="O149" s="26" t="str">
        <f aca="false">IF(B149="","",IF(ISNUMBER(DB_Colleges!AH143),DB_Colleges!AH143,"Check"))</f>
        <v>Check</v>
      </c>
      <c r="P149" s="26" t="str">
        <f aca="false">IF(B149="","",DB_Colleges!W143&amp;"")</f>
        <v>Required</v>
      </c>
      <c r="Q149" s="30" t="n">
        <f aca="false">IF(OR(B149="",NOT(ISNUMBER(DB_Colleges!AF143))),"",DB_Colleges!AF143)</f>
        <v>2335</v>
      </c>
      <c r="R149" s="28" t="str">
        <f aca="false">IF(OR(B149="",NOT(ISNUMBER(DB_Colleges!AG143))),"",DB_Colleges!AG143)</f>
        <v/>
      </c>
      <c r="S149" s="26" t="str">
        <f aca="false">IF(B149="","",DB_Colleges!AK143&amp;"")</f>
        <v>Mixed</v>
      </c>
      <c r="T149" s="26" t="str">
        <f aca="false">IF(B149="","",DB_Colleges!AI143&amp;"")</f>
        <v>https://afa.colby.edu/</v>
      </c>
      <c r="U149" s="1" t="str">
        <f aca="false">IF(AND(ISNUMBER($X$4),ISNUMBER(DB_Colleges!Z143),ISNUMBER(DB_Colleges!AA143)),IF($X$4&gt;=DB_Colleges!AA143,1,IF($X$4&lt;DB_Colleges!Z143,-1,0)),"")</f>
        <v/>
      </c>
      <c r="V149" s="1" t="str">
        <f aca="false">IF(AND(ISNUMBER($Y$4),ISNUMBER(DB_Colleges!AD143)),IF($Y$4&gt;=DB_Colleges!AD143+0.15,1,IF($Y$4&lt;DB_Colleges!AD143-0.2,-1,0)),"")</f>
        <v/>
      </c>
      <c r="W149" s="1" t="n">
        <f aca="false">IF(COUNT(U149:V149)=0,0,MIN(U149:V149))</f>
        <v>0</v>
      </c>
    </row>
    <row r="150" customFormat="false" ht="15" hidden="false" customHeight="true" outlineLevel="0" collapsed="false">
      <c r="A150" s="26" t="str">
        <f aca="false">IF(B150="","",IF(COUNTIF('My Colleges'!$B$8:$B$27,B150)&gt;0,"On list",""))</f>
        <v/>
      </c>
      <c r="B150" s="27" t="str">
        <f aca="false">IF(DB_Colleges!A144="","",DB_Colleges!A144)</f>
        <v>Middlebury College</v>
      </c>
      <c r="C150" s="26" t="str">
        <f aca="false">IF(B150="","",DB_Colleges!B144)</f>
        <v>Highly Selective</v>
      </c>
      <c r="D150" s="26" t="str">
        <f aca="false">IF(B150="","",DB_Colleges!C144&amp;", "&amp;DB_Colleges!D144)</f>
        <v>Middlebury, VT</v>
      </c>
      <c r="E150" s="26" t="str">
        <f aca="false">IF(B150="","",IF(AND(NOT(ISNUMBER($X$4)),NOT(ISNUMBER($Y$4))),"Add scores",IF(NOT(ISNUMBER(DB_Colleges!Y144)),IF(OR(C150="Ivy League",C150="Highly Selective"),"Reach",IF(COUNT(U150:V150)=0,"No data",CHOOSE(W150+2,"Reach","Target","Likely"))),IF(DB_Colleges!Y144&lt;0.15,"Reach",IF(DB_Colleges!Y144&gt;=0.75,IF(W150&gt;=0,"Likely","Target"),IF(DB_Colleges!Y144&gt;=0.4,CHOOSE(W150+2,"Reach","Target","Likely"),IF(W150=1,"Target","Reach")))))))</f>
        <v>Reach</v>
      </c>
      <c r="F150" s="28" t="n">
        <f aca="false">IF(OR(B150="",NOT(ISNUMBER(DB_Colleges!Y144))),"",DB_Colleges!Y144)</f>
        <v>0.18</v>
      </c>
      <c r="G150" s="26" t="str">
        <f aca="false">IF(OR(B150="",NOT(ISNUMBER(DB_Colleges!Z144))),"",DB_Colleges!Z144&amp;"-"&amp;DB_Colleges!AA144)</f>
        <v>1460-1530</v>
      </c>
      <c r="H150" s="26" t="str">
        <f aca="false">IF(OR(B150="",NOT(ISNUMBER(DB_Colleges!AD144))),"",DB_Colleges!AD144)</f>
        <v/>
      </c>
      <c r="I150" s="29" t="n">
        <f aca="false">IF(B150="","",IF(COUNT(DB_Colleges!I144:O144)=0,IF(DB_Colleges!P144="Yes","Rolling","Check site"),MIN(DB_Colleges!I144:O144)))</f>
        <v>46328</v>
      </c>
      <c r="J150" s="26" t="str">
        <f aca="false">IF(OR(B150="",COUNT(DB_Colleges!I144:O144)=0),"",INDEX({"ED","ED II","EA","EA II","REA","RD","Priority"},MATCH(MIN(DB_Colleges!I144:O144),DB_Colleges!I144:O144,0)))</f>
        <v>ED</v>
      </c>
      <c r="K150" s="29" t="n">
        <f aca="false">IF(OR(B150="",NOT(ISNUMBER(DB_Colleges!N144))),"",DB_Colleges!N144)</f>
        <v>46391</v>
      </c>
      <c r="L150" s="26" t="str">
        <f aca="false">IF(B150="","",DB_Colleges!G144&amp;"")</f>
        <v>Common App; Coalition; QuestBridge</v>
      </c>
      <c r="M150" s="30" t="str">
        <f aca="false">IF(OR(B150="",NOT(ISNUMBER(DB_Colleges!S144))),"",DB_Colleges!S144)</f>
        <v/>
      </c>
      <c r="N150" s="26" t="str">
        <f aca="false">IF(B150="","",DB_Colleges!U144&amp;"")</f>
        <v>Optional</v>
      </c>
      <c r="O150" s="26" t="str">
        <f aca="false">IF(B150="","",IF(ISNUMBER(DB_Colleges!AH144),DB_Colleges!AH144,"Check"))</f>
        <v>Check</v>
      </c>
      <c r="P150" s="26" t="str">
        <f aca="false">IF(B150="","",DB_Colleges!W144&amp;"")</f>
        <v>Not required</v>
      </c>
      <c r="Q150" s="30" t="n">
        <f aca="false">IF(OR(B150="",NOT(ISNUMBER(DB_Colleges!AF144))),"",DB_Colleges!AF144)</f>
        <v>6161</v>
      </c>
      <c r="R150" s="28" t="str">
        <f aca="false">IF(OR(B150="",NOT(ISNUMBER(DB_Colleges!AG144))),"",DB_Colleges!AG144)</f>
        <v/>
      </c>
      <c r="S150" s="26" t="str">
        <f aca="false">IF(B150="","",DB_Colleges!AK144&amp;"")</f>
        <v>Mixed</v>
      </c>
      <c r="T150" s="26" t="str">
        <f aca="false">IF(B150="","",DB_Colleges!AI144&amp;"")</f>
        <v>https://www.middlebury.edu/college/admissions/application-instructions-and-deadlines</v>
      </c>
      <c r="U150" s="1" t="n">
        <f aca="false">IF(AND(ISNUMBER($X$4),ISNUMBER(DB_Colleges!Z144),ISNUMBER(DB_Colleges!AA144)),IF($X$4&gt;=DB_Colleges!AA144,1,IF($X$4&lt;DB_Colleges!Z144,-1,0)),"")</f>
        <v>-1</v>
      </c>
      <c r="V150" s="1" t="str">
        <f aca="false">IF(AND(ISNUMBER($Y$4),ISNUMBER(DB_Colleges!AD144)),IF($Y$4&gt;=DB_Colleges!AD144+0.15,1,IF($Y$4&lt;DB_Colleges!AD144-0.2,-1,0)),"")</f>
        <v/>
      </c>
      <c r="W150" s="1" t="n">
        <f aca="false">IF(COUNT(U150:V150)=0,0,MIN(U150:V150))</f>
        <v>-1</v>
      </c>
    </row>
    <row r="151" customFormat="false" ht="15" hidden="false" customHeight="true" outlineLevel="0" collapsed="false">
      <c r="A151" s="26" t="str">
        <f aca="false">IF(B151="","",IF(COUNTIF('My Colleges'!$B$8:$B$27,B151)&gt;0,"On list",""))</f>
        <v/>
      </c>
      <c r="B151" s="27" t="str">
        <f aca="false">IF(DB_Colleges!A145="","",DB_Colleges!A145)</f>
        <v>Bates College</v>
      </c>
      <c r="C151" s="26" t="str">
        <f aca="false">IF(B151="","",DB_Colleges!B145)</f>
        <v>Highly Selective</v>
      </c>
      <c r="D151" s="26" t="str">
        <f aca="false">IF(B151="","",DB_Colleges!C145&amp;", "&amp;DB_Colleges!D145)</f>
        <v>Lewiston, ME</v>
      </c>
      <c r="E151" s="26" t="str">
        <f aca="false">IF(B151="","",IF(AND(NOT(ISNUMBER($X$4)),NOT(ISNUMBER($Y$4))),"Add scores",IF(NOT(ISNUMBER(DB_Colleges!Y145)),IF(OR(C151="Ivy League",C151="Highly Selective"),"Reach",IF(COUNT(U151:V151)=0,"No data",CHOOSE(W151+2,"Reach","Target","Likely"))),IF(DB_Colleges!Y145&lt;0.15,"Reach",IF(DB_Colleges!Y145&gt;=0.75,IF(W151&gt;=0,"Likely","Target"),IF(DB_Colleges!Y145&gt;=0.4,CHOOSE(W151+2,"Reach","Target","Likely"),IF(W151=1,"Target","Reach")))))))</f>
        <v>Reach</v>
      </c>
      <c r="F151" s="28" t="str">
        <f aca="false">IF(OR(B151="",NOT(ISNUMBER(DB_Colleges!Y145))),"",DB_Colleges!Y145)</f>
        <v/>
      </c>
      <c r="G151" s="26" t="str">
        <f aca="false">IF(OR(B151="",NOT(ISNUMBER(DB_Colleges!Z145))),"",DB_Colleges!Z145&amp;"-"&amp;DB_Colleges!AA145)</f>
        <v/>
      </c>
      <c r="H151" s="26" t="str">
        <f aca="false">IF(OR(B151="",NOT(ISNUMBER(DB_Colleges!AD145))),"",DB_Colleges!AD145)</f>
        <v/>
      </c>
      <c r="I151" s="29" t="n">
        <f aca="false">IF(B151="","",IF(COUNT(DB_Colleges!I145:O145)=0,IF(DB_Colleges!P145="Yes","Rolling","Check site"),MIN(DB_Colleges!I145:O145)))</f>
        <v>46397</v>
      </c>
      <c r="J151" s="26" t="str">
        <f aca="false">IF(OR(B151="",COUNT(DB_Colleges!I145:O145)=0),"",INDEX({"ED","ED II","EA","EA II","REA","RD","Priority"},MATCH(MIN(DB_Colleges!I145:O145),DB_Colleges!I145:O145,0)))</f>
        <v>RD</v>
      </c>
      <c r="K151" s="29" t="n">
        <f aca="false">IF(OR(B151="",NOT(ISNUMBER(DB_Colleges!N145))),"",DB_Colleges!N145)</f>
        <v>46397</v>
      </c>
      <c r="L151" s="26" t="str">
        <f aca="false">IF(B151="","",DB_Colleges!G145&amp;"")</f>
        <v>Common App; Coalition; QuestBridge</v>
      </c>
      <c r="M151" s="30" t="n">
        <f aca="false">IF(OR(B151="",NOT(ISNUMBER(DB_Colleges!S145))),"",DB_Colleges!S145)</f>
        <v>0</v>
      </c>
      <c r="N151" s="26" t="str">
        <f aca="false">IF(B151="","",DB_Colleges!U145&amp;"")</f>
        <v>Optional</v>
      </c>
      <c r="O151" s="26" t="str">
        <f aca="false">IF(B151="","",IF(ISNUMBER(DB_Colleges!AH145),DB_Colleges!AH145,"Check"))</f>
        <v>Check</v>
      </c>
      <c r="P151" s="26" t="str">
        <f aca="false">IF(B151="","",DB_Colleges!W145&amp;"")</f>
        <v>Required</v>
      </c>
      <c r="Q151" s="30" t="n">
        <f aca="false">IF(OR(B151="",NOT(ISNUMBER(DB_Colleges!AF145))),"",DB_Colleges!AF145)</f>
        <v>4618</v>
      </c>
      <c r="R151" s="28" t="str">
        <f aca="false">IF(OR(B151="",NOT(ISNUMBER(DB_Colleges!AG145))),"",DB_Colleges!AG145)</f>
        <v/>
      </c>
      <c r="S151" s="26" t="str">
        <f aca="false">IF(B151="","",DB_Colleges!AK145&amp;"")</f>
        <v>Mixed</v>
      </c>
      <c r="T151" s="26" t="str">
        <f aca="false">IF(B151="","",DB_Colleges!AI145&amp;"")</f>
        <v>https://www.bates.edu/admission/apply/</v>
      </c>
      <c r="U151" s="1" t="str">
        <f aca="false">IF(AND(ISNUMBER($X$4),ISNUMBER(DB_Colleges!Z145),ISNUMBER(DB_Colleges!AA145)),IF($X$4&gt;=DB_Colleges!AA145,1,IF($X$4&lt;DB_Colleges!Z145,-1,0)),"")</f>
        <v/>
      </c>
      <c r="V151" s="1" t="str">
        <f aca="false">IF(AND(ISNUMBER($Y$4),ISNUMBER(DB_Colleges!AD145)),IF($Y$4&gt;=DB_Colleges!AD145+0.15,1,IF($Y$4&lt;DB_Colleges!AD145-0.2,-1,0)),"")</f>
        <v/>
      </c>
      <c r="W151" s="1" t="n">
        <f aca="false">IF(COUNT(U151:V151)=0,0,MIN(U151:V151))</f>
        <v>0</v>
      </c>
    </row>
    <row r="152" customFormat="false" ht="15" hidden="false" customHeight="true" outlineLevel="0" collapsed="false">
      <c r="A152" s="26" t="str">
        <f aca="false">IF(B152="","",IF(COUNTIF('My Colleges'!$B$8:$B$27,B152)&gt;0,"On list",""))</f>
        <v/>
      </c>
      <c r="B152" s="27" t="str">
        <f aca="false">IF(DB_Colleges!A146="","",DB_Colleges!A146)</f>
        <v>University of Richmond</v>
      </c>
      <c r="C152" s="26" t="str">
        <f aca="false">IF(B152="","",DB_Colleges!B146)</f>
        <v>Highly Selective</v>
      </c>
      <c r="D152" s="26" t="str">
        <f aca="false">IF(B152="","",DB_Colleges!C146&amp;", "&amp;DB_Colleges!D146)</f>
        <v>Richmond, VA</v>
      </c>
      <c r="E152" s="26" t="str">
        <f aca="false">IF(B152="","",IF(AND(NOT(ISNUMBER($X$4)),NOT(ISNUMBER($Y$4))),"Add scores",IF(NOT(ISNUMBER(DB_Colleges!Y146)),IF(OR(C152="Ivy League",C152="Highly Selective"),"Reach",IF(COUNT(U152:V152)=0,"No data",CHOOSE(W152+2,"Reach","Target","Likely"))),IF(DB_Colleges!Y146&lt;0.15,"Reach",IF(DB_Colleges!Y146&gt;=0.75,IF(W152&gt;=0,"Likely","Target"),IF(DB_Colleges!Y146&gt;=0.4,CHOOSE(W152+2,"Reach","Target","Likely"),IF(W152=1,"Target","Reach")))))))</f>
        <v>Reach</v>
      </c>
      <c r="F152" s="28" t="str">
        <f aca="false">IF(OR(B152="",NOT(ISNUMBER(DB_Colleges!Y146))),"",DB_Colleges!Y146)</f>
        <v/>
      </c>
      <c r="G152" s="26" t="str">
        <f aca="false">IF(OR(B152="",NOT(ISNUMBER(DB_Colleges!Z146))),"",DB_Colleges!Z146&amp;"-"&amp;DB_Colleges!AA146)</f>
        <v/>
      </c>
      <c r="H152" s="26" t="str">
        <f aca="false">IF(OR(B152="",NOT(ISNUMBER(DB_Colleges!AD146))),"",DB_Colleges!AD146)</f>
        <v/>
      </c>
      <c r="I152" s="29" t="n">
        <f aca="false">IF(B152="","",IF(COUNT(DB_Colleges!I146:O146)=0,IF(DB_Colleges!P146="Yes","Rolling","Check site"),MIN(DB_Colleges!I146:O146)))</f>
        <v>46327</v>
      </c>
      <c r="J152" s="26" t="str">
        <f aca="false">IF(OR(B152="",COUNT(DB_Colleges!I146:O146)=0),"",INDEX({"ED","ED II","EA","EA II","REA","RD","Priority"},MATCH(MIN(DB_Colleges!I146:O146),DB_Colleges!I146:O146,0)))</f>
        <v>ED</v>
      </c>
      <c r="K152" s="29" t="str">
        <f aca="false">IF(OR(B152="",NOT(ISNUMBER(DB_Colleges!N146))),"",DB_Colleges!N146)</f>
        <v/>
      </c>
      <c r="L152" s="26" t="str">
        <f aca="false">IF(B152="","",DB_Colleges!G146&amp;"")</f>
        <v>Common App</v>
      </c>
      <c r="M152" s="30" t="str">
        <f aca="false">IF(OR(B152="",NOT(ISNUMBER(DB_Colleges!S146))),"",DB_Colleges!S146)</f>
        <v/>
      </c>
      <c r="N152" s="26" t="str">
        <f aca="false">IF(B152="","",DB_Colleges!U146&amp;"")</f>
        <v/>
      </c>
      <c r="O152" s="26" t="str">
        <f aca="false">IF(B152="","",IF(ISNUMBER(DB_Colleges!AH146),DB_Colleges!AH146,"Check"))</f>
        <v>Check</v>
      </c>
      <c r="P152" s="26" t="str">
        <f aca="false">IF(B152="","",DB_Colleges!W146&amp;"")</f>
        <v/>
      </c>
      <c r="Q152" s="30" t="str">
        <f aca="false">IF(OR(B152="",NOT(ISNUMBER(DB_Colleges!AF146))),"",DB_Colleges!AF146)</f>
        <v/>
      </c>
      <c r="R152" s="28" t="str">
        <f aca="false">IF(OR(B152="",NOT(ISNUMBER(DB_Colleges!AG146))),"",DB_Colleges!AG146)</f>
        <v/>
      </c>
      <c r="S152" s="26" t="str">
        <f aca="false">IF(B152="","",DB_Colleges!AK146&amp;"")</f>
        <v>Mixed</v>
      </c>
      <c r="T152" s="26" t="str">
        <f aca="false">IF(B152="","",DB_Colleges!AI146&amp;"")</f>
        <v>https://admission.richmond.edu/process/index.html</v>
      </c>
      <c r="U152" s="1" t="str">
        <f aca="false">IF(AND(ISNUMBER($X$4),ISNUMBER(DB_Colleges!Z146),ISNUMBER(DB_Colleges!AA146)),IF($X$4&gt;=DB_Colleges!AA146,1,IF($X$4&lt;DB_Colleges!Z146,-1,0)),"")</f>
        <v/>
      </c>
      <c r="V152" s="1" t="str">
        <f aca="false">IF(AND(ISNUMBER($Y$4),ISNUMBER(DB_Colleges!AD146)),IF($Y$4&gt;=DB_Colleges!AD146+0.15,1,IF($Y$4&lt;DB_Colleges!AD146-0.2,-1,0)),"")</f>
        <v/>
      </c>
      <c r="W152" s="1" t="n">
        <f aca="false">IF(COUNT(U152:V152)=0,0,MIN(U152:V152))</f>
        <v>0</v>
      </c>
    </row>
    <row r="153" customFormat="false" ht="15" hidden="false" customHeight="true" outlineLevel="0" collapsed="false">
      <c r="A153" s="26" t="str">
        <f aca="false">IF(B153="","",IF(COUNTIF('My Colleges'!$B$8:$B$27,B153)&gt;0,"On list",""))</f>
        <v/>
      </c>
      <c r="B153" s="27" t="str">
        <f aca="false">IF(DB_Colleges!A147="","",DB_Colleges!A147)</f>
        <v>Washington and Lee University</v>
      </c>
      <c r="C153" s="26" t="str">
        <f aca="false">IF(B153="","",DB_Colleges!B147)</f>
        <v>Highly Selective</v>
      </c>
      <c r="D153" s="26" t="str">
        <f aca="false">IF(B153="","",DB_Colleges!C147&amp;", "&amp;DB_Colleges!D147)</f>
        <v>Lexington, VA</v>
      </c>
      <c r="E153" s="26" t="str">
        <f aca="false">IF(B153="","",IF(AND(NOT(ISNUMBER($X$4)),NOT(ISNUMBER($Y$4))),"Add scores",IF(NOT(ISNUMBER(DB_Colleges!Y147)),IF(OR(C153="Ivy League",C153="Highly Selective"),"Reach",IF(COUNT(U153:V153)=0,"No data",CHOOSE(W153+2,"Reach","Target","Likely"))),IF(DB_Colleges!Y147&lt;0.15,"Reach",IF(DB_Colleges!Y147&gt;=0.75,IF(W153&gt;=0,"Likely","Target"),IF(DB_Colleges!Y147&gt;=0.4,CHOOSE(W153+2,"Reach","Target","Likely"),IF(W153=1,"Target","Reach")))))))</f>
        <v>Reach</v>
      </c>
      <c r="F153" s="28" t="str">
        <f aca="false">IF(OR(B153="",NOT(ISNUMBER(DB_Colleges!Y147))),"",DB_Colleges!Y147)</f>
        <v/>
      </c>
      <c r="G153" s="26" t="str">
        <f aca="false">IF(OR(B153="",NOT(ISNUMBER(DB_Colleges!Z147))),"",DB_Colleges!Z147&amp;"-"&amp;DB_Colleges!AA147)</f>
        <v/>
      </c>
      <c r="H153" s="26" t="str">
        <f aca="false">IF(OR(B153="",NOT(ISNUMBER(DB_Colleges!AD147))),"",DB_Colleges!AD147)</f>
        <v/>
      </c>
      <c r="I153" s="29" t="n">
        <f aca="false">IF(B153="","",IF(COUNT(DB_Colleges!I147:O147)=0,IF(DB_Colleges!P147="Yes","Rolling","Check site"),MIN(DB_Colleges!I147:O147)))</f>
        <v>46327</v>
      </c>
      <c r="J153" s="26" t="str">
        <f aca="false">IF(OR(B153="",COUNT(DB_Colleges!I147:O147)=0),"",INDEX({"ED","ED II","EA","EA II","REA","RD","Priority"},MATCH(MIN(DB_Colleges!I147:O147),DB_Colleges!I147:O147,0)))</f>
        <v>ED</v>
      </c>
      <c r="K153" s="29" t="n">
        <f aca="false">IF(OR(B153="",NOT(ISNUMBER(DB_Colleges!N147))),"",DB_Colleges!N147)</f>
        <v>46392</v>
      </c>
      <c r="L153" s="26" t="str">
        <f aca="false">IF(B153="","",DB_Colleges!G147&amp;"")</f>
        <v>Common App; Coalition; QuestBridge</v>
      </c>
      <c r="M153" s="30" t="str">
        <f aca="false">IF(OR(B153="",NOT(ISNUMBER(DB_Colleges!S147))),"",DB_Colleges!S147)</f>
        <v/>
      </c>
      <c r="N153" s="26" t="str">
        <f aca="false">IF(B153="","",DB_Colleges!U147&amp;"")</f>
        <v>Optional</v>
      </c>
      <c r="O153" s="26" t="n">
        <f aca="false">IF(B153="","",IF(ISNUMBER(DB_Colleges!AH147),DB_Colleges!AH147,"Check"))</f>
        <v>0</v>
      </c>
      <c r="P153" s="26" t="str">
        <f aca="false">IF(B153="","",DB_Colleges!W147&amp;"")</f>
        <v>Required</v>
      </c>
      <c r="Q153" s="30" t="str">
        <f aca="false">IF(OR(B153="",NOT(ISNUMBER(DB_Colleges!AF147))),"",DB_Colleges!AF147)</f>
        <v/>
      </c>
      <c r="R153" s="28" t="str">
        <f aca="false">IF(OR(B153="",NOT(ISNUMBER(DB_Colleges!AG147))),"",DB_Colleges!AG147)</f>
        <v/>
      </c>
      <c r="S153" s="26" t="str">
        <f aca="false">IF(B153="","",DB_Colleges!AK147&amp;"")</f>
        <v>Official 2026-27</v>
      </c>
      <c r="T153" s="26" t="str">
        <f aca="false">IF(B153="","",DB_Colleges!AI147&amp;"")</f>
        <v>https://www.wlu.edu/admissions/apply</v>
      </c>
      <c r="U153" s="1" t="str">
        <f aca="false">IF(AND(ISNUMBER($X$4),ISNUMBER(DB_Colleges!Z147),ISNUMBER(DB_Colleges!AA147)),IF($X$4&gt;=DB_Colleges!AA147,1,IF($X$4&lt;DB_Colleges!Z147,-1,0)),"")</f>
        <v/>
      </c>
      <c r="V153" s="1" t="str">
        <f aca="false">IF(AND(ISNUMBER($Y$4),ISNUMBER(DB_Colleges!AD147)),IF($Y$4&gt;=DB_Colleges!AD147+0.15,1,IF($Y$4&lt;DB_Colleges!AD147-0.2,-1,0)),"")</f>
        <v/>
      </c>
      <c r="W153" s="1" t="n">
        <f aca="false">IF(COUNT(U153:V153)=0,0,MIN(U153:V153))</f>
        <v>0</v>
      </c>
    </row>
    <row r="154" customFormat="false" ht="15" hidden="false" customHeight="true" outlineLevel="0" collapsed="false">
      <c r="A154" s="26" t="str">
        <f aca="false">IF(B154="","",IF(COUNTIF('My Colleges'!$B$8:$B$27,B154)&gt;0,"On list",""))</f>
        <v/>
      </c>
      <c r="B154" s="27" t="str">
        <f aca="false">IF(DB_Colleges!A148="","",DB_Colleges!A148)</f>
        <v>University of Florida</v>
      </c>
      <c r="C154" s="26" t="str">
        <f aca="false">IF(B154="","",DB_Colleges!B148)</f>
        <v>Southeast Public</v>
      </c>
      <c r="D154" s="26" t="str">
        <f aca="false">IF(B154="","",DB_Colleges!C148&amp;", "&amp;DB_Colleges!D148)</f>
        <v>Gainesville, FL</v>
      </c>
      <c r="E154" s="26" t="str">
        <f aca="false">IF(B154="","",IF(AND(NOT(ISNUMBER($X$4)),NOT(ISNUMBER($Y$4))),"Add scores",IF(NOT(ISNUMBER(DB_Colleges!Y148)),IF(OR(C154="Ivy League",C154="Highly Selective"),"Reach",IF(COUNT(U154:V154)=0,"No data",CHOOSE(W154+2,"Reach","Target","Likely"))),IF(DB_Colleges!Y148&lt;0.15,"Reach",IF(DB_Colleges!Y148&gt;=0.75,IF(W154&gt;=0,"Likely","Target"),IF(DB_Colleges!Y148&gt;=0.4,CHOOSE(W154+2,"Reach","Target","Likely"),IF(W154=1,"Target","Reach")))))))</f>
        <v>No data</v>
      </c>
      <c r="F154" s="28" t="str">
        <f aca="false">IF(OR(B154="",NOT(ISNUMBER(DB_Colleges!Y148))),"",DB_Colleges!Y148)</f>
        <v/>
      </c>
      <c r="G154" s="26" t="str">
        <f aca="false">IF(OR(B154="",NOT(ISNUMBER(DB_Colleges!Z148))),"",DB_Colleges!Z148&amp;"-"&amp;DB_Colleges!AA148)</f>
        <v/>
      </c>
      <c r="H154" s="26" t="str">
        <f aca="false">IF(OR(B154="",NOT(ISNUMBER(DB_Colleges!AD148))),"",DB_Colleges!AD148)</f>
        <v/>
      </c>
      <c r="I154" s="29" t="n">
        <f aca="false">IF(B154="","",IF(COUNT(DB_Colleges!I148:O148)=0,IF(DB_Colleges!P148="Yes","Rolling","Check site"),MIN(DB_Colleges!I148:O148)))</f>
        <v>46310</v>
      </c>
      <c r="J154" s="26" t="str">
        <f aca="false">IF(OR(B154="",COUNT(DB_Colleges!I148:O148)=0),"",INDEX({"ED","ED II","EA","EA II","REA","RD","Priority"},MATCH(MIN(DB_Colleges!I148:O148),DB_Colleges!I148:O148,0)))</f>
        <v>ED</v>
      </c>
      <c r="K154" s="29" t="n">
        <f aca="false">IF(OR(B154="",NOT(ISNUMBER(DB_Colleges!N148))),"",DB_Colleges!N148)</f>
        <v>46402</v>
      </c>
      <c r="L154" s="26" t="str">
        <f aca="false">IF(B154="","",DB_Colleges!G148&amp;"")</f>
        <v>Common App</v>
      </c>
      <c r="M154" s="30" t="n">
        <f aca="false">IF(OR(B154="",NOT(ISNUMBER(DB_Colleges!S148))),"",DB_Colleges!S148)</f>
        <v>30</v>
      </c>
      <c r="N154" s="26" t="str">
        <f aca="false">IF(B154="","",DB_Colleges!U148&amp;"")</f>
        <v>Required</v>
      </c>
      <c r="O154" s="26" t="n">
        <f aca="false">IF(B154="","",IF(ISNUMBER(DB_Colleges!AH148),DB_Colleges!AH148,"Check"))</f>
        <v>1</v>
      </c>
      <c r="P154" s="26" t="str">
        <f aca="false">IF(B154="","",DB_Colleges!W148&amp;"")</f>
        <v>Not required</v>
      </c>
      <c r="Q154" s="30" t="str">
        <f aca="false">IF(OR(B154="",NOT(ISNUMBER(DB_Colleges!AF148))),"",DB_Colleges!AF148)</f>
        <v/>
      </c>
      <c r="R154" s="28" t="str">
        <f aca="false">IF(OR(B154="",NOT(ISNUMBER(DB_Colleges!AG148))),"",DB_Colleges!AG148)</f>
        <v/>
      </c>
      <c r="S154" s="26" t="str">
        <f aca="false">IF(B154="","",DB_Colleges!AK148&amp;"")</f>
        <v>Mixed</v>
      </c>
      <c r="T154" s="26" t="str">
        <f aca="false">IF(B154="","",DB_Colleges!AI148&amp;"")</f>
        <v>https://admissions.ufl.edu/apply/freshman/</v>
      </c>
      <c r="U154" s="1" t="str">
        <f aca="false">IF(AND(ISNUMBER($X$4),ISNUMBER(DB_Colleges!Z148),ISNUMBER(DB_Colleges!AA148)),IF($X$4&gt;=DB_Colleges!AA148,1,IF($X$4&lt;DB_Colleges!Z148,-1,0)),"")</f>
        <v/>
      </c>
      <c r="V154" s="1" t="str">
        <f aca="false">IF(AND(ISNUMBER($Y$4),ISNUMBER(DB_Colleges!AD148)),IF($Y$4&gt;=DB_Colleges!AD148+0.15,1,IF($Y$4&lt;DB_Colleges!AD148-0.2,-1,0)),"")</f>
        <v/>
      </c>
      <c r="W154" s="1" t="n">
        <f aca="false">IF(COUNT(U154:V154)=0,0,MIN(U154:V154))</f>
        <v>0</v>
      </c>
    </row>
    <row r="155" customFormat="false" ht="15" hidden="false" customHeight="true" outlineLevel="0" collapsed="false">
      <c r="A155" s="26" t="str">
        <f aca="false">IF(B155="","",IF(COUNTIF('My Colleges'!$B$8:$B$27,B155)&gt;0,"On list",""))</f>
        <v/>
      </c>
      <c r="B155" s="27" t="str">
        <f aca="false">IF(DB_Colleges!A149="","",DB_Colleges!A149)</f>
        <v>Florida State University</v>
      </c>
      <c r="C155" s="26" t="str">
        <f aca="false">IF(B155="","",DB_Colleges!B149)</f>
        <v>Southeast Public</v>
      </c>
      <c r="D155" s="26" t="str">
        <f aca="false">IF(B155="","",DB_Colleges!C149&amp;", "&amp;DB_Colleges!D149)</f>
        <v>Tallahassee, FL</v>
      </c>
      <c r="E155" s="26" t="str">
        <f aca="false">IF(B155="","",IF(AND(NOT(ISNUMBER($X$4)),NOT(ISNUMBER($Y$4))),"Add scores",IF(NOT(ISNUMBER(DB_Colleges!Y149)),IF(OR(C155="Ivy League",C155="Highly Selective"),"Reach",IF(COUNT(U155:V155)=0,"No data",CHOOSE(W155+2,"Reach","Target","Likely"))),IF(DB_Colleges!Y149&lt;0.15,"Reach",IF(DB_Colleges!Y149&gt;=0.75,IF(W155&gt;=0,"Likely","Target"),IF(DB_Colleges!Y149&gt;=0.4,CHOOSE(W155+2,"Reach","Target","Likely"),IF(W155=1,"Target","Reach")))))))</f>
        <v>No data</v>
      </c>
      <c r="F155" s="28" t="str">
        <f aca="false">IF(OR(B155="",NOT(ISNUMBER(DB_Colleges!Y149))),"",DB_Colleges!Y149)</f>
        <v/>
      </c>
      <c r="G155" s="26" t="str">
        <f aca="false">IF(OR(B155="",NOT(ISNUMBER(DB_Colleges!Z149))),"",DB_Colleges!Z149&amp;"-"&amp;DB_Colleges!AA149)</f>
        <v/>
      </c>
      <c r="H155" s="26" t="str">
        <f aca="false">IF(OR(B155="",NOT(ISNUMBER(DB_Colleges!AD149))),"",DB_Colleges!AD149)</f>
        <v/>
      </c>
      <c r="I155" s="29" t="n">
        <f aca="false">IF(B155="","",IF(COUNT(DB_Colleges!I149:O149)=0,IF(DB_Colleges!P149="Yes","Rolling","Check site"),MIN(DB_Colleges!I149:O149)))</f>
        <v>46310</v>
      </c>
      <c r="J155" s="26" t="str">
        <f aca="false">IF(OR(B155="",COUNT(DB_Colleges!I149:O149)=0),"",INDEX({"ED","ED II","EA","EA II","REA","RD","Priority"},MATCH(MIN(DB_Colleges!I149:O149),DB_Colleges!I149:O149,0)))</f>
        <v>ED</v>
      </c>
      <c r="K155" s="29" t="n">
        <f aca="false">IF(OR(B155="",NOT(ISNUMBER(DB_Colleges!N149))),"",DB_Colleges!N149)</f>
        <v>46357</v>
      </c>
      <c r="L155" s="26" t="str">
        <f aca="false">IF(B155="","",DB_Colleges!G149&amp;"")</f>
        <v>Common App; FSU Application</v>
      </c>
      <c r="M155" s="30" t="n">
        <f aca="false">IF(OR(B155="",NOT(ISNUMBER(DB_Colleges!S149))),"",DB_Colleges!S149)</f>
        <v>30</v>
      </c>
      <c r="N155" s="26" t="str">
        <f aca="false">IF(B155="","",DB_Colleges!U149&amp;"")</f>
        <v>Required</v>
      </c>
      <c r="O155" s="26" t="n">
        <f aca="false">IF(B155="","",IF(ISNUMBER(DB_Colleges!AH149),DB_Colleges!AH149,"Check"))</f>
        <v>0</v>
      </c>
      <c r="P155" s="26" t="str">
        <f aca="false">IF(B155="","",DB_Colleges!W149&amp;"")</f>
        <v/>
      </c>
      <c r="Q155" s="30" t="str">
        <f aca="false">IF(OR(B155="",NOT(ISNUMBER(DB_Colleges!AF149))),"",DB_Colleges!AF149)</f>
        <v/>
      </c>
      <c r="R155" s="28" t="str">
        <f aca="false">IF(OR(B155="",NOT(ISNUMBER(DB_Colleges!AG149))),"",DB_Colleges!AG149)</f>
        <v/>
      </c>
      <c r="S155" s="26" t="str">
        <f aca="false">IF(B155="","",DB_Colleges!AK149&amp;"")</f>
        <v>Official 2026-27</v>
      </c>
      <c r="T155" s="26" t="str">
        <f aca="false">IF(B155="","",DB_Colleges!AI149&amp;"")</f>
        <v>https://admissions.fsu.edu/freshman/</v>
      </c>
      <c r="U155" s="1" t="str">
        <f aca="false">IF(AND(ISNUMBER($X$4),ISNUMBER(DB_Colleges!Z149),ISNUMBER(DB_Colleges!AA149)),IF($X$4&gt;=DB_Colleges!AA149,1,IF($X$4&lt;DB_Colleges!Z149,-1,0)),"")</f>
        <v/>
      </c>
      <c r="V155" s="1" t="str">
        <f aca="false">IF(AND(ISNUMBER($Y$4),ISNUMBER(DB_Colleges!AD149)),IF($Y$4&gt;=DB_Colleges!AD149+0.15,1,IF($Y$4&lt;DB_Colleges!AD149-0.2,-1,0)),"")</f>
        <v/>
      </c>
      <c r="W155" s="1" t="n">
        <f aca="false">IF(COUNT(U155:V155)=0,0,MIN(U155:V155))</f>
        <v>0</v>
      </c>
    </row>
    <row r="156" customFormat="false" ht="15" hidden="false" customHeight="true" outlineLevel="0" collapsed="false">
      <c r="A156" s="26" t="str">
        <f aca="false">IF(B156="","",IF(COUNTIF('My Colleges'!$B$8:$B$27,B156)&gt;0,"On list",""))</f>
        <v/>
      </c>
      <c r="B156" s="27" t="str">
        <f aca="false">IF(DB_Colleges!A150="","",DB_Colleges!A150)</f>
        <v>University of Central Florida</v>
      </c>
      <c r="C156" s="26" t="str">
        <f aca="false">IF(B156="","",DB_Colleges!B150)</f>
        <v>Southeast Public</v>
      </c>
      <c r="D156" s="26" t="str">
        <f aca="false">IF(B156="","",DB_Colleges!C150&amp;", "&amp;DB_Colleges!D150)</f>
        <v>Orlando, FL</v>
      </c>
      <c r="E156" s="26" t="str">
        <f aca="false">IF(B156="","",IF(AND(NOT(ISNUMBER($X$4)),NOT(ISNUMBER($Y$4))),"Add scores",IF(NOT(ISNUMBER(DB_Colleges!Y150)),IF(OR(C156="Ivy League",C156="Highly Selective"),"Reach",IF(COUNT(U156:V156)=0,"No data",CHOOSE(W156+2,"Reach","Target","Likely"))),IF(DB_Colleges!Y150&lt;0.15,"Reach",IF(DB_Colleges!Y150&gt;=0.75,IF(W156&gt;=0,"Likely","Target"),IF(DB_Colleges!Y150&gt;=0.4,CHOOSE(W156+2,"Reach","Target","Likely"),IF(W156=1,"Target","Reach")))))))</f>
        <v>No data</v>
      </c>
      <c r="F156" s="28" t="str">
        <f aca="false">IF(OR(B156="",NOT(ISNUMBER(DB_Colleges!Y150))),"",DB_Colleges!Y150)</f>
        <v/>
      </c>
      <c r="G156" s="26" t="str">
        <f aca="false">IF(OR(B156="",NOT(ISNUMBER(DB_Colleges!Z150))),"",DB_Colleges!Z150&amp;"-"&amp;DB_Colleges!AA150)</f>
        <v/>
      </c>
      <c r="H156" s="26" t="str">
        <f aca="false">IF(OR(B156="",NOT(ISNUMBER(DB_Colleges!AD150))),"",DB_Colleges!AD150)</f>
        <v/>
      </c>
      <c r="I156" s="29" t="n">
        <f aca="false">IF(B156="","",IF(COUNT(DB_Colleges!I150:O150)=0,IF(DB_Colleges!P150="Yes","Rolling","Check site"),MIN(DB_Colleges!I150:O150)))</f>
        <v>46310</v>
      </c>
      <c r="J156" s="26" t="str">
        <f aca="false">IF(OR(B156="",COUNT(DB_Colleges!I150:O150)=0),"",INDEX({"ED","ED II","EA","EA II","REA","RD","Priority"},MATCH(MIN(DB_Colleges!I150:O150),DB_Colleges!I150:O150,0)))</f>
        <v>Priority</v>
      </c>
      <c r="K156" s="29" t="n">
        <f aca="false">IF(OR(B156="",NOT(ISNUMBER(DB_Colleges!N150))),"",DB_Colleges!N150)</f>
        <v>46508</v>
      </c>
      <c r="L156" s="26" t="str">
        <f aca="false">IF(B156="","",DB_Colleges!G150&amp;"")</f>
        <v>Common App; UCF Application</v>
      </c>
      <c r="M156" s="30" t="n">
        <f aca="false">IF(OR(B156="",NOT(ISNUMBER(DB_Colleges!S150))),"",DB_Colleges!S150)</f>
        <v>30</v>
      </c>
      <c r="N156" s="26" t="str">
        <f aca="false">IF(B156="","",DB_Colleges!U150&amp;"")</f>
        <v/>
      </c>
      <c r="O156" s="26" t="n">
        <f aca="false">IF(B156="","",IF(ISNUMBER(DB_Colleges!AH150),DB_Colleges!AH150,"Check"))</f>
        <v>0</v>
      </c>
      <c r="P156" s="26" t="str">
        <f aca="false">IF(B156="","",DB_Colleges!W150&amp;"")</f>
        <v/>
      </c>
      <c r="Q156" s="30" t="str">
        <f aca="false">IF(OR(B156="",NOT(ISNUMBER(DB_Colleges!AF150))),"",DB_Colleges!AF150)</f>
        <v/>
      </c>
      <c r="R156" s="28" t="str">
        <f aca="false">IF(OR(B156="",NOT(ISNUMBER(DB_Colleges!AG150))),"",DB_Colleges!AG150)</f>
        <v/>
      </c>
      <c r="S156" s="26" t="str">
        <f aca="false">IF(B156="","",DB_Colleges!AK150&amp;"")</f>
        <v>Official 2026-27</v>
      </c>
      <c r="T156" s="26" t="str">
        <f aca="false">IF(B156="","",DB_Colleges!AI150&amp;"")</f>
        <v>https://www.ucf.edu/admissions/undergraduate/freshman/</v>
      </c>
      <c r="U156" s="1" t="str">
        <f aca="false">IF(AND(ISNUMBER($X$4),ISNUMBER(DB_Colleges!Z150),ISNUMBER(DB_Colleges!AA150)),IF($X$4&gt;=DB_Colleges!AA150,1,IF($X$4&lt;DB_Colleges!Z150,-1,0)),"")</f>
        <v/>
      </c>
      <c r="V156" s="1" t="str">
        <f aca="false">IF(AND(ISNUMBER($Y$4),ISNUMBER(DB_Colleges!AD150)),IF($Y$4&gt;=DB_Colleges!AD150+0.15,1,IF($Y$4&lt;DB_Colleges!AD150-0.2,-1,0)),"")</f>
        <v/>
      </c>
      <c r="W156" s="1" t="n">
        <f aca="false">IF(COUNT(U156:V156)=0,0,MIN(U156:V156))</f>
        <v>0</v>
      </c>
    </row>
    <row r="157" customFormat="false" ht="15" hidden="false" customHeight="true" outlineLevel="0" collapsed="false">
      <c r="A157" s="26" t="str">
        <f aca="false">IF(B157="","",IF(COUNTIF('My Colleges'!$B$8:$B$27,B157)&gt;0,"On list",""))</f>
        <v/>
      </c>
      <c r="B157" s="27" t="str">
        <f aca="false">IF(DB_Colleges!A151="","",DB_Colleges!A151)</f>
        <v>University of South Florida</v>
      </c>
      <c r="C157" s="26" t="str">
        <f aca="false">IF(B157="","",DB_Colleges!B151)</f>
        <v>Southeast Public</v>
      </c>
      <c r="D157" s="26" t="str">
        <f aca="false">IF(B157="","",DB_Colleges!C151&amp;", "&amp;DB_Colleges!D151)</f>
        <v>Tampa, FL</v>
      </c>
      <c r="E157" s="26" t="str">
        <f aca="false">IF(B157="","",IF(AND(NOT(ISNUMBER($X$4)),NOT(ISNUMBER($Y$4))),"Add scores",IF(NOT(ISNUMBER(DB_Colleges!Y151)),IF(OR(C157="Ivy League",C157="Highly Selective"),"Reach",IF(COUNT(U157:V157)=0,"No data",CHOOSE(W157+2,"Reach","Target","Likely"))),IF(DB_Colleges!Y151&lt;0.15,"Reach",IF(DB_Colleges!Y151&gt;=0.75,IF(W157&gt;=0,"Likely","Target"),IF(DB_Colleges!Y151&gt;=0.4,CHOOSE(W157+2,"Reach","Target","Likely"),IF(W157=1,"Target","Reach")))))))</f>
        <v>No data</v>
      </c>
      <c r="F157" s="28" t="str">
        <f aca="false">IF(OR(B157="",NOT(ISNUMBER(DB_Colleges!Y151))),"",DB_Colleges!Y151)</f>
        <v/>
      </c>
      <c r="G157" s="26" t="str">
        <f aca="false">IF(OR(B157="",NOT(ISNUMBER(DB_Colleges!Z151))),"",DB_Colleges!Z151&amp;"-"&amp;DB_Colleges!AA151)</f>
        <v/>
      </c>
      <c r="H157" s="26" t="str">
        <f aca="false">IF(OR(B157="",NOT(ISNUMBER(DB_Colleges!AD151))),"",DB_Colleges!AD151)</f>
        <v/>
      </c>
      <c r="I157" s="29" t="n">
        <f aca="false">IF(B157="","",IF(COUNT(DB_Colleges!I151:O151)=0,IF(DB_Colleges!P151="Yes","Rolling","Check site"),MIN(DB_Colleges!I151:O151)))</f>
        <v>46328</v>
      </c>
      <c r="J157" s="26" t="str">
        <f aca="false">IF(OR(B157="",COUNT(DB_Colleges!I151:O151)=0),"",INDEX({"ED","ED II","EA","EA II","REA","RD","Priority"},MATCH(MIN(DB_Colleges!I151:O151),DB_Colleges!I151:O151,0)))</f>
        <v>EA</v>
      </c>
      <c r="K157" s="29" t="n">
        <f aca="false">IF(OR(B157="",NOT(ISNUMBER(DB_Colleges!N151))),"",DB_Colleges!N151)</f>
        <v>46372</v>
      </c>
      <c r="L157" s="26" t="str">
        <f aca="false">IF(B157="","",DB_Colleges!G151&amp;"")</f>
        <v>Common App; USF Application</v>
      </c>
      <c r="M157" s="30" t="n">
        <f aca="false">IF(OR(B157="",NOT(ISNUMBER(DB_Colleges!S151))),"",DB_Colleges!S151)</f>
        <v>30</v>
      </c>
      <c r="N157" s="26" t="str">
        <f aca="false">IF(B157="","",DB_Colleges!U151&amp;"")</f>
        <v>Required</v>
      </c>
      <c r="O157" s="26" t="n">
        <f aca="false">IF(B157="","",IF(ISNUMBER(DB_Colleges!AH151),DB_Colleges!AH151,"Check"))</f>
        <v>0</v>
      </c>
      <c r="P157" s="26" t="str">
        <f aca="false">IF(B157="","",DB_Colleges!W151&amp;"")</f>
        <v/>
      </c>
      <c r="Q157" s="30" t="str">
        <f aca="false">IF(OR(B157="",NOT(ISNUMBER(DB_Colleges!AF151))),"",DB_Colleges!AF151)</f>
        <v/>
      </c>
      <c r="R157" s="28" t="str">
        <f aca="false">IF(OR(B157="",NOT(ISNUMBER(DB_Colleges!AG151))),"",DB_Colleges!AG151)</f>
        <v/>
      </c>
      <c r="S157" s="26" t="str">
        <f aca="false">IF(B157="","",DB_Colleges!AK151&amp;"")</f>
        <v>Official 2026-27</v>
      </c>
      <c r="T157" s="26" t="str">
        <f aca="false">IF(B157="","",DB_Colleges!AI151&amp;"")</f>
        <v>https://www.usf.edu/admissions/freshmen/</v>
      </c>
      <c r="U157" s="1" t="str">
        <f aca="false">IF(AND(ISNUMBER($X$4),ISNUMBER(DB_Colleges!Z151),ISNUMBER(DB_Colleges!AA151)),IF($X$4&gt;=DB_Colleges!AA151,1,IF($X$4&lt;DB_Colleges!Z151,-1,0)),"")</f>
        <v/>
      </c>
      <c r="V157" s="1" t="str">
        <f aca="false">IF(AND(ISNUMBER($Y$4),ISNUMBER(DB_Colleges!AD151)),IF($Y$4&gt;=DB_Colleges!AD151+0.15,1,IF($Y$4&lt;DB_Colleges!AD151-0.2,-1,0)),"")</f>
        <v/>
      </c>
      <c r="W157" s="1" t="n">
        <f aca="false">IF(COUNT(U157:V157)=0,0,MIN(U157:V157))</f>
        <v>0</v>
      </c>
    </row>
    <row r="158" customFormat="false" ht="15" hidden="false" customHeight="true" outlineLevel="0" collapsed="false">
      <c r="A158" s="26" t="str">
        <f aca="false">IF(B158="","",IF(COUNTIF('My Colleges'!$B$8:$B$27,B158)&gt;0,"On list",""))</f>
        <v/>
      </c>
      <c r="B158" s="27" t="str">
        <f aca="false">IF(DB_Colleges!A152="","",DB_Colleges!A152)</f>
        <v>Florida International University</v>
      </c>
      <c r="C158" s="26" t="str">
        <f aca="false">IF(B158="","",DB_Colleges!B152)</f>
        <v>Southeast Public</v>
      </c>
      <c r="D158" s="26" t="str">
        <f aca="false">IF(B158="","",DB_Colleges!C152&amp;", "&amp;DB_Colleges!D152)</f>
        <v>Miami, FL</v>
      </c>
      <c r="E158" s="26" t="str">
        <f aca="false">IF(B158="","",IF(AND(NOT(ISNUMBER($X$4)),NOT(ISNUMBER($Y$4))),"Add scores",IF(NOT(ISNUMBER(DB_Colleges!Y152)),IF(OR(C158="Ivy League",C158="Highly Selective"),"Reach",IF(COUNT(U158:V158)=0,"No data",CHOOSE(W158+2,"Reach","Target","Likely"))),IF(DB_Colleges!Y152&lt;0.15,"Reach",IF(DB_Colleges!Y152&gt;=0.75,IF(W158&gt;=0,"Likely","Target"),IF(DB_Colleges!Y152&gt;=0.4,CHOOSE(W158+2,"Reach","Target","Likely"),IF(W158=1,"Target","Reach")))))))</f>
        <v>Reach</v>
      </c>
      <c r="F158" s="28" t="n">
        <f aca="false">IF(OR(B158="",NOT(ISNUMBER(DB_Colleges!Y152))),"",DB_Colleges!Y152)</f>
        <v>0.547</v>
      </c>
      <c r="G158" s="26" t="str">
        <f aca="false">IF(OR(B158="",NOT(ISNUMBER(DB_Colleges!Z152))),"",DB_Colleges!Z152&amp;"-"&amp;DB_Colleges!AA152)</f>
        <v>1070-1260</v>
      </c>
      <c r="H158" s="26" t="str">
        <f aca="false">IF(OR(B158="",NOT(ISNUMBER(DB_Colleges!AD152))),"",DB_Colleges!AD152)</f>
        <v/>
      </c>
      <c r="I158" s="29" t="n">
        <f aca="false">IF(B158="","",IF(COUNT(DB_Colleges!I152:O152)=0,IF(DB_Colleges!P152="Yes","Rolling","Check site"),MIN(DB_Colleges!I152:O152)))</f>
        <v>46328</v>
      </c>
      <c r="J158" s="26" t="str">
        <f aca="false">IF(OR(B158="",COUNT(DB_Colleges!I152:O152)=0),"",INDEX({"ED","ED II","EA","EA II","REA","RD","Priority"},MATCH(MIN(DB_Colleges!I152:O152),DB_Colleges!I152:O152,0)))</f>
        <v>EA</v>
      </c>
      <c r="K158" s="29" t="n">
        <f aca="false">IF(OR(B158="",NOT(ISNUMBER(DB_Colleges!N152))),"",DB_Colleges!N152)</f>
        <v>46448</v>
      </c>
      <c r="L158" s="26" t="str">
        <f aca="false">IF(B158="","",DB_Colleges!G152&amp;"")</f>
        <v>Common App; School portal</v>
      </c>
      <c r="M158" s="30" t="n">
        <f aca="false">IF(OR(B158="",NOT(ISNUMBER(DB_Colleges!S152))),"",DB_Colleges!S152)</f>
        <v>30</v>
      </c>
      <c r="N158" s="26" t="str">
        <f aca="false">IF(B158="","",DB_Colleges!U152&amp;"")</f>
        <v>Required</v>
      </c>
      <c r="O158" s="26" t="str">
        <f aca="false">IF(B158="","",IF(ISNUMBER(DB_Colleges!AH152),DB_Colleges!AH152,"Check"))</f>
        <v>Check</v>
      </c>
      <c r="P158" s="26" t="str">
        <f aca="false">IF(B158="","",DB_Colleges!W152&amp;"")</f>
        <v>Not required</v>
      </c>
      <c r="Q158" s="30" t="n">
        <f aca="false">IF(OR(B158="",NOT(ISNUMBER(DB_Colleges!AF152))),"",DB_Colleges!AF152)</f>
        <v>5002</v>
      </c>
      <c r="R158" s="28" t="n">
        <f aca="false">IF(OR(B158="",NOT(ISNUMBER(DB_Colleges!AG152))),"",DB_Colleges!AG152)</f>
        <v>0.74</v>
      </c>
      <c r="S158" s="26" t="str">
        <f aca="false">IF(B158="","",DB_Colleges!AK152&amp;"")</f>
        <v>Mixed</v>
      </c>
      <c r="T158" s="26" t="str">
        <f aca="false">IF(B158="","",DB_Colleges!AI152&amp;"")</f>
        <v>https://admissions.fiu.edu/how-to-apply/freshman-applicant/</v>
      </c>
      <c r="U158" s="1" t="n">
        <f aca="false">IF(AND(ISNUMBER($X$4),ISNUMBER(DB_Colleges!Z152),ISNUMBER(DB_Colleges!AA152)),IF($X$4&gt;=DB_Colleges!AA152,1,IF($X$4&lt;DB_Colleges!Z152,-1,0)),"")</f>
        <v>-1</v>
      </c>
      <c r="V158" s="1" t="str">
        <f aca="false">IF(AND(ISNUMBER($Y$4),ISNUMBER(DB_Colleges!AD152)),IF($Y$4&gt;=DB_Colleges!AD152+0.15,1,IF($Y$4&lt;DB_Colleges!AD152-0.2,-1,0)),"")</f>
        <v/>
      </c>
      <c r="W158" s="1" t="n">
        <f aca="false">IF(COUNT(U158:V158)=0,0,MIN(U158:V158))</f>
        <v>-1</v>
      </c>
    </row>
    <row r="159" customFormat="false" ht="15" hidden="false" customHeight="true" outlineLevel="0" collapsed="false">
      <c r="A159" s="26" t="str">
        <f aca="false">IF(B159="","",IF(COUNTIF('My Colleges'!$B$8:$B$27,B159)&gt;0,"On list",""))</f>
        <v/>
      </c>
      <c r="B159" s="27" t="str">
        <f aca="false">IF(DB_Colleges!A153="","",DB_Colleges!A153)</f>
        <v>University of Alabama</v>
      </c>
      <c r="C159" s="26" t="str">
        <f aca="false">IF(B159="","",DB_Colleges!B153)</f>
        <v>Southeast Public</v>
      </c>
      <c r="D159" s="26" t="str">
        <f aca="false">IF(B159="","",DB_Colleges!C153&amp;", "&amp;DB_Colleges!D153)</f>
        <v>Tuscaloosa, AL</v>
      </c>
      <c r="E159" s="26" t="str">
        <f aca="false">IF(B159="","",IF(AND(NOT(ISNUMBER($X$4)),NOT(ISNUMBER($Y$4))),"Add scores",IF(NOT(ISNUMBER(DB_Colleges!Y153)),IF(OR(C159="Ivy League",C159="Highly Selective"),"Reach",IF(COUNT(U159:V159)=0,"No data",CHOOSE(W159+2,"Reach","Target","Likely"))),IF(DB_Colleges!Y153&lt;0.15,"Reach",IF(DB_Colleges!Y153&gt;=0.75,IF(W159&gt;=0,"Likely","Target"),IF(DB_Colleges!Y153&gt;=0.4,CHOOSE(W159+2,"Reach","Target","Likely"),IF(W159=1,"Target","Reach")))))))</f>
        <v>Reach</v>
      </c>
      <c r="F159" s="28" t="n">
        <f aca="false">IF(OR(B159="",NOT(ISNUMBER(DB_Colleges!Y153))),"",DB_Colleges!Y153)</f>
        <v>0.712</v>
      </c>
      <c r="G159" s="26" t="str">
        <f aca="false">IF(OR(B159="",NOT(ISNUMBER(DB_Colleges!Z153))),"",DB_Colleges!Z153&amp;"-"&amp;DB_Colleges!AA153)</f>
        <v>1100-1360</v>
      </c>
      <c r="H159" s="26" t="str">
        <f aca="false">IF(OR(B159="",NOT(ISNUMBER(DB_Colleges!AD153))),"",DB_Colleges!AD153)</f>
        <v/>
      </c>
      <c r="I159" s="29" t="n">
        <f aca="false">IF(B159="","",IF(COUNT(DB_Colleges!I153:O153)=0,IF(DB_Colleges!P153="Yes","Rolling","Check site"),MIN(DB_Colleges!I153:O153)))</f>
        <v>46360</v>
      </c>
      <c r="J159" s="26" t="str">
        <f aca="false">IF(OR(B159="",COUNT(DB_Colleges!I153:O153)=0),"",INDEX({"ED","ED II","EA","EA II","REA","RD","Priority"},MATCH(MIN(DB_Colleges!I153:O153),DB_Colleges!I153:O153,0)))</f>
        <v>Priority</v>
      </c>
      <c r="K159" s="29" t="str">
        <f aca="false">IF(OR(B159="",NOT(ISNUMBER(DB_Colleges!N153))),"",DB_Colleges!N153)</f>
        <v/>
      </c>
      <c r="L159" s="26" t="str">
        <f aca="false">IF(B159="","",DB_Colleges!G153&amp;"")</f>
        <v>Common App; School portal</v>
      </c>
      <c r="M159" s="30" t="n">
        <f aca="false">IF(OR(B159="",NOT(ISNUMBER(DB_Colleges!S153))),"",DB_Colleges!S153)</f>
        <v>50</v>
      </c>
      <c r="N159" s="26" t="str">
        <f aca="false">IF(B159="","",DB_Colleges!U153&amp;"")</f>
        <v>Optional</v>
      </c>
      <c r="O159" s="26" t="str">
        <f aca="false">IF(B159="","",IF(ISNUMBER(DB_Colleges!AH153),DB_Colleges!AH153,"Check"))</f>
        <v>Check</v>
      </c>
      <c r="P159" s="26" t="str">
        <f aca="false">IF(B159="","",DB_Colleges!W153&amp;"")</f>
        <v>Not required</v>
      </c>
      <c r="Q159" s="30" t="str">
        <f aca="false">IF(OR(B159="",NOT(ISNUMBER(DB_Colleges!AF153))),"",DB_Colleges!AF153)</f>
        <v/>
      </c>
      <c r="R159" s="28" t="str">
        <f aca="false">IF(OR(B159="",NOT(ISNUMBER(DB_Colleges!AG153))),"",DB_Colleges!AG153)</f>
        <v/>
      </c>
      <c r="S159" s="26" t="str">
        <f aca="false">IF(B159="","",DB_Colleges!AK153&amp;"")</f>
        <v>Mixed</v>
      </c>
      <c r="T159" s="26" t="str">
        <f aca="false">IF(B159="","",DB_Colleges!AI153&amp;"")</f>
        <v>https://admissions.ua.edu/apply/</v>
      </c>
      <c r="U159" s="1" t="n">
        <f aca="false">IF(AND(ISNUMBER($X$4),ISNUMBER(DB_Colleges!Z153),ISNUMBER(DB_Colleges!AA153)),IF($X$4&gt;=DB_Colleges!AA153,1,IF($X$4&lt;DB_Colleges!Z153,-1,0)),"")</f>
        <v>-1</v>
      </c>
      <c r="V159" s="1" t="str">
        <f aca="false">IF(AND(ISNUMBER($Y$4),ISNUMBER(DB_Colleges!AD153)),IF($Y$4&gt;=DB_Colleges!AD153+0.15,1,IF($Y$4&lt;DB_Colleges!AD153-0.2,-1,0)),"")</f>
        <v/>
      </c>
      <c r="W159" s="1" t="n">
        <f aca="false">IF(COUNT(U159:V159)=0,0,MIN(U159:V159))</f>
        <v>-1</v>
      </c>
    </row>
    <row r="160" customFormat="false" ht="15" hidden="false" customHeight="true" outlineLevel="0" collapsed="false">
      <c r="A160" s="26" t="str">
        <f aca="false">IF(B160="","",IF(COUNTIF('My Colleges'!$B$8:$B$27,B160)&gt;0,"On list",""))</f>
        <v/>
      </c>
      <c r="B160" s="27" t="str">
        <f aca="false">IF(DB_Colleges!A154="","",DB_Colleges!A154)</f>
        <v>Auburn University</v>
      </c>
      <c r="C160" s="26" t="str">
        <f aca="false">IF(B160="","",DB_Colleges!B154)</f>
        <v>Southeast Public</v>
      </c>
      <c r="D160" s="26" t="str">
        <f aca="false">IF(B160="","",DB_Colleges!C154&amp;", "&amp;DB_Colleges!D154)</f>
        <v>Auburn, AL</v>
      </c>
      <c r="E160" s="26" t="str">
        <f aca="false">IF(B160="","",IF(AND(NOT(ISNUMBER($X$4)),NOT(ISNUMBER($Y$4))),"Add scores",IF(NOT(ISNUMBER(DB_Colleges!Y154)),IF(OR(C160="Ivy League",C160="Highly Selective"),"Reach",IF(COUNT(U160:V160)=0,"No data",CHOOSE(W160+2,"Reach","Target","Likely"))),IF(DB_Colleges!Y154&lt;0.15,"Reach",IF(DB_Colleges!Y154&gt;=0.75,IF(W160&gt;=0,"Likely","Target"),IF(DB_Colleges!Y154&gt;=0.4,CHOOSE(W160+2,"Reach","Target","Likely"),IF(W160=1,"Target","Reach")))))))</f>
        <v>Reach</v>
      </c>
      <c r="F160" s="28" t="n">
        <f aca="false">IF(OR(B160="",NOT(ISNUMBER(DB_Colleges!Y154))),"",DB_Colleges!Y154)</f>
        <v>0.459</v>
      </c>
      <c r="G160" s="26" t="str">
        <f aca="false">IF(OR(B160="",NOT(ISNUMBER(DB_Colleges!Z154))),"",DB_Colleges!Z154&amp;"-"&amp;DB_Colleges!AA154)</f>
        <v>1260-1380</v>
      </c>
      <c r="H160" s="26" t="str">
        <f aca="false">IF(OR(B160="",NOT(ISNUMBER(DB_Colleges!AD154))),"",DB_Colleges!AD154)</f>
        <v/>
      </c>
      <c r="I160" s="29" t="n">
        <f aca="false">IF(B160="","",IF(COUNT(DB_Colleges!I154:O154)=0,IF(DB_Colleges!P154="Yes","Rolling","Check site"),MIN(DB_Colleges!I154:O154)))</f>
        <v>46357</v>
      </c>
      <c r="J160" s="26" t="str">
        <f aca="false">IF(OR(B160="",COUNT(DB_Colleges!I154:O154)=0),"",INDEX({"ED","ED II","EA","EA II","REA","RD","Priority"},MATCH(MIN(DB_Colleges!I154:O154),DB_Colleges!I154:O154,0)))</f>
        <v>EA</v>
      </c>
      <c r="K160" s="29" t="n">
        <f aca="false">IF(OR(B160="",NOT(ISNUMBER(DB_Colleges!N154))),"",DB_Colleges!N154)</f>
        <v>46419</v>
      </c>
      <c r="L160" s="26" t="str">
        <f aca="false">IF(B160="","",DB_Colleges!G154&amp;"")</f>
        <v>Common App; School portal</v>
      </c>
      <c r="M160" s="30" t="n">
        <f aca="false">IF(OR(B160="",NOT(ISNUMBER(DB_Colleges!S154))),"",DB_Colleges!S154)</f>
        <v>50</v>
      </c>
      <c r="N160" s="26" t="str">
        <f aca="false">IF(B160="","",DB_Colleges!U154&amp;"")</f>
        <v>Required</v>
      </c>
      <c r="O160" s="26" t="str">
        <f aca="false">IF(B160="","",IF(ISNUMBER(DB_Colleges!AH154),DB_Colleges!AH154,"Check"))</f>
        <v>Check</v>
      </c>
      <c r="P160" s="26" t="str">
        <f aca="false">IF(B160="","",DB_Colleges!W154&amp;"")</f>
        <v>Not required</v>
      </c>
      <c r="Q160" s="30" t="str">
        <f aca="false">IF(OR(B160="",NOT(ISNUMBER(DB_Colleges!AF154))),"",DB_Colleges!AF154)</f>
        <v/>
      </c>
      <c r="R160" s="28" t="str">
        <f aca="false">IF(OR(B160="",NOT(ISNUMBER(DB_Colleges!AG154))),"",DB_Colleges!AG154)</f>
        <v/>
      </c>
      <c r="S160" s="26" t="str">
        <f aca="false">IF(B160="","",DB_Colleges!AK154&amp;"")</f>
        <v>Mixed</v>
      </c>
      <c r="T160" s="26" t="str">
        <f aca="false">IF(B160="","",DB_Colleges!AI154&amp;"")</f>
        <v>https://auburn.edu/admissions/faq.php</v>
      </c>
      <c r="U160" s="1" t="n">
        <f aca="false">IF(AND(ISNUMBER($X$4),ISNUMBER(DB_Colleges!Z154),ISNUMBER(DB_Colleges!AA154)),IF($X$4&gt;=DB_Colleges!AA154,1,IF($X$4&lt;DB_Colleges!Z154,-1,0)),"")</f>
        <v>-1</v>
      </c>
      <c r="V160" s="1" t="str">
        <f aca="false">IF(AND(ISNUMBER($Y$4),ISNUMBER(DB_Colleges!AD154)),IF($Y$4&gt;=DB_Colleges!AD154+0.15,1,IF($Y$4&lt;DB_Colleges!AD154-0.2,-1,0)),"")</f>
        <v/>
      </c>
      <c r="W160" s="1" t="n">
        <f aca="false">IF(COUNT(U160:V160)=0,0,MIN(U160:V160))</f>
        <v>-1</v>
      </c>
    </row>
    <row r="161" customFormat="false" ht="15" hidden="false" customHeight="true" outlineLevel="0" collapsed="false">
      <c r="A161" s="26" t="str">
        <f aca="false">IF(B161="","",IF(COUNTIF('My Colleges'!$B$8:$B$27,B161)&gt;0,"On list",""))</f>
        <v/>
      </c>
      <c r="B161" s="27" t="str">
        <f aca="false">IF(DB_Colleges!A155="","",DB_Colleges!A155)</f>
        <v>University of Alabama at Birmingham</v>
      </c>
      <c r="C161" s="26" t="str">
        <f aca="false">IF(B161="","",DB_Colleges!B155)</f>
        <v>Southeast Public</v>
      </c>
      <c r="D161" s="26" t="str">
        <f aca="false">IF(B161="","",DB_Colleges!C155&amp;", "&amp;DB_Colleges!D155)</f>
        <v>Birmingham, AL</v>
      </c>
      <c r="E161" s="26" t="str">
        <f aca="false">IF(B161="","",IF(AND(NOT(ISNUMBER($X$4)),NOT(ISNUMBER($Y$4))),"Add scores",IF(NOT(ISNUMBER(DB_Colleges!Y155)),IF(OR(C161="Ivy League",C161="Highly Selective"),"Reach",IF(COUNT(U161:V161)=0,"No data",CHOOSE(W161+2,"Reach","Target","Likely"))),IF(DB_Colleges!Y155&lt;0.15,"Reach",IF(DB_Colleges!Y155&gt;=0.75,IF(W161&gt;=0,"Likely","Target"),IF(DB_Colleges!Y155&gt;=0.4,CHOOSE(W161+2,"Reach","Target","Likely"),IF(W161=1,"Target","Reach")))))))</f>
        <v>Target</v>
      </c>
      <c r="F161" s="28" t="n">
        <f aca="false">IF(OR(B161="",NOT(ISNUMBER(DB_Colleges!Y155))),"",DB_Colleges!Y155)</f>
        <v>0.882</v>
      </c>
      <c r="G161" s="26" t="str">
        <f aca="false">IF(OR(B161="",NOT(ISNUMBER(DB_Colleges!Z155))),"",DB_Colleges!Z155&amp;"-"&amp;DB_Colleges!AA155)</f>
        <v>1190-1430</v>
      </c>
      <c r="H161" s="26" t="str">
        <f aca="false">IF(OR(B161="",NOT(ISNUMBER(DB_Colleges!AD155))),"",DB_Colleges!AD155)</f>
        <v/>
      </c>
      <c r="I161" s="29" t="n">
        <f aca="false">IF(B161="","",IF(COUNT(DB_Colleges!I155:O155)=0,IF(DB_Colleges!P155="Yes","Rolling","Check site"),MIN(DB_Colleges!I155:O155)))</f>
        <v>46539</v>
      </c>
      <c r="J161" s="26" t="str">
        <f aca="false">IF(OR(B161="",COUNT(DB_Colleges!I155:O155)=0),"",INDEX({"ED","ED II","EA","EA II","REA","RD","Priority"},MATCH(MIN(DB_Colleges!I155:O155),DB_Colleges!I155:O155,0)))</f>
        <v>Priority</v>
      </c>
      <c r="K161" s="29" t="str">
        <f aca="false">IF(OR(B161="",NOT(ISNUMBER(DB_Colleges!N155))),"",DB_Colleges!N155)</f>
        <v/>
      </c>
      <c r="L161" s="26" t="str">
        <f aca="false">IF(B161="","",DB_Colleges!G155&amp;"")</f>
        <v>Common App; School portal</v>
      </c>
      <c r="M161" s="30" t="n">
        <f aca="false">IF(OR(B161="",NOT(ISNUMBER(DB_Colleges!S155))),"",DB_Colleges!S155)</f>
        <v>40</v>
      </c>
      <c r="N161" s="26" t="str">
        <f aca="false">IF(B161="","",DB_Colleges!U155&amp;"")</f>
        <v>Optional</v>
      </c>
      <c r="O161" s="26" t="str">
        <f aca="false">IF(B161="","",IF(ISNUMBER(DB_Colleges!AH155),DB_Colleges!AH155,"Check"))</f>
        <v>Check</v>
      </c>
      <c r="P161" s="26" t="str">
        <f aca="false">IF(B161="","",DB_Colleges!W155&amp;"")</f>
        <v>Not required</v>
      </c>
      <c r="Q161" s="30" t="str">
        <f aca="false">IF(OR(B161="",NOT(ISNUMBER(DB_Colleges!AF155))),"",DB_Colleges!AF155)</f>
        <v/>
      </c>
      <c r="R161" s="28" t="str">
        <f aca="false">IF(OR(B161="",NOT(ISNUMBER(DB_Colleges!AG155))),"",DB_Colleges!AG155)</f>
        <v/>
      </c>
      <c r="S161" s="26" t="str">
        <f aca="false">IF(B161="","",DB_Colleges!AK155&amp;"")</f>
        <v>Mixed</v>
      </c>
      <c r="T161" s="26" t="str">
        <f aca="false">IF(B161="","",DB_Colleges!AI155&amp;"")</f>
        <v>https://www.uab.edu/admissions/apply/freshman/how-to-apply</v>
      </c>
      <c r="U161" s="1" t="n">
        <f aca="false">IF(AND(ISNUMBER($X$4),ISNUMBER(DB_Colleges!Z155),ISNUMBER(DB_Colleges!AA155)),IF($X$4&gt;=DB_Colleges!AA155,1,IF($X$4&lt;DB_Colleges!Z155,-1,0)),"")</f>
        <v>-1</v>
      </c>
      <c r="V161" s="1" t="str">
        <f aca="false">IF(AND(ISNUMBER($Y$4),ISNUMBER(DB_Colleges!AD155)),IF($Y$4&gt;=DB_Colleges!AD155+0.15,1,IF($Y$4&lt;DB_Colleges!AD155-0.2,-1,0)),"")</f>
        <v/>
      </c>
      <c r="W161" s="1" t="n">
        <f aca="false">IF(COUNT(U161:V161)=0,0,MIN(U161:V161))</f>
        <v>-1</v>
      </c>
    </row>
    <row r="162" customFormat="false" ht="15" hidden="false" customHeight="true" outlineLevel="0" collapsed="false">
      <c r="A162" s="26" t="str">
        <f aca="false">IF(B162="","",IF(COUNTIF('My Colleges'!$B$8:$B$27,B162)&gt;0,"On list",""))</f>
        <v/>
      </c>
      <c r="B162" s="27" t="str">
        <f aca="false">IF(DB_Colleges!A156="","",DB_Colleges!A156)</f>
        <v>University of Tennessee, Knoxville</v>
      </c>
      <c r="C162" s="26" t="str">
        <f aca="false">IF(B162="","",DB_Colleges!B156)</f>
        <v>Southeast Public</v>
      </c>
      <c r="D162" s="26" t="str">
        <f aca="false">IF(B162="","",DB_Colleges!C156&amp;", "&amp;DB_Colleges!D156)</f>
        <v>Knoxville, TN</v>
      </c>
      <c r="E162" s="26" t="str">
        <f aca="false">IF(B162="","",IF(AND(NOT(ISNUMBER($X$4)),NOT(ISNUMBER($Y$4))),"Add scores",IF(NOT(ISNUMBER(DB_Colleges!Y156)),IF(OR(C162="Ivy League",C162="Highly Selective"),"Reach",IF(COUNT(U162:V162)=0,"No data",CHOOSE(W162+2,"Reach","Target","Likely"))),IF(DB_Colleges!Y156&lt;0.15,"Reach",IF(DB_Colleges!Y156&gt;=0.75,IF(W162&gt;=0,"Likely","Target"),IF(DB_Colleges!Y156&gt;=0.4,CHOOSE(W162+2,"Reach","Target","Likely"),IF(W162=1,"Target","Reach")))))))</f>
        <v>Reach</v>
      </c>
      <c r="F162" s="28" t="n">
        <f aca="false">IF(OR(B162="",NOT(ISNUMBER(DB_Colleges!Y156))),"",DB_Colleges!Y156)</f>
        <v>0.436</v>
      </c>
      <c r="G162" s="26" t="str">
        <f aca="false">IF(OR(B162="",NOT(ISNUMBER(DB_Colleges!Z156))),"",DB_Colleges!Z156&amp;"-"&amp;DB_Colleges!AA156)</f>
        <v>1280-1380</v>
      </c>
      <c r="H162" s="26" t="str">
        <f aca="false">IF(OR(B162="",NOT(ISNUMBER(DB_Colleges!AD156))),"",DB_Colleges!AD156)</f>
        <v/>
      </c>
      <c r="I162" s="29" t="n">
        <f aca="false">IF(B162="","",IF(COUNT(DB_Colleges!I156:O156)=0,IF(DB_Colleges!P156="Yes","Rolling","Check site"),MIN(DB_Colleges!I156:O156)))</f>
        <v>46327</v>
      </c>
      <c r="J162" s="26" t="str">
        <f aca="false">IF(OR(B162="",COUNT(DB_Colleges!I156:O156)=0),"",INDEX({"ED","ED II","EA","EA II","REA","RD","Priority"},MATCH(MIN(DB_Colleges!I156:O156),DB_Colleges!I156:O156,0)))</f>
        <v>EA</v>
      </c>
      <c r="K162" s="29" t="n">
        <f aca="false">IF(OR(B162="",NOT(ISNUMBER(DB_Colleges!N156))),"",DB_Colleges!N156)</f>
        <v>46392</v>
      </c>
      <c r="L162" s="26" t="str">
        <f aca="false">IF(B162="","",DB_Colleges!G156&amp;"")</f>
        <v>Common App; School portal</v>
      </c>
      <c r="M162" s="30" t="n">
        <f aca="false">IF(OR(B162="",NOT(ISNUMBER(DB_Colleges!S156))),"",DB_Colleges!S156)</f>
        <v>75</v>
      </c>
      <c r="N162" s="26" t="str">
        <f aca="false">IF(B162="","",DB_Colleges!U156&amp;"")</f>
        <v>Required</v>
      </c>
      <c r="O162" s="26" t="str">
        <f aca="false">IF(B162="","",IF(ISNUMBER(DB_Colleges!AH156),DB_Colleges!AH156,"Check"))</f>
        <v>Check</v>
      </c>
      <c r="P162" s="26" t="str">
        <f aca="false">IF(B162="","",DB_Colleges!W156&amp;"")</f>
        <v>Not required</v>
      </c>
      <c r="Q162" s="30" t="str">
        <f aca="false">IF(OR(B162="",NOT(ISNUMBER(DB_Colleges!AF156))),"",DB_Colleges!AF156)</f>
        <v/>
      </c>
      <c r="R162" s="28" t="str">
        <f aca="false">IF(OR(B162="",NOT(ISNUMBER(DB_Colleges!AG156))),"",DB_Colleges!AG156)</f>
        <v/>
      </c>
      <c r="S162" s="26" t="str">
        <f aca="false">IF(B162="","",DB_Colleges!AK156&amp;"")</f>
        <v>Mixed</v>
      </c>
      <c r="T162" s="26" t="str">
        <f aca="false">IF(B162="","",DB_Colleges!AI156&amp;"")</f>
        <v>https://admissions.utk.edu/undergraduate-application/first-year-student/</v>
      </c>
      <c r="U162" s="1" t="n">
        <f aca="false">IF(AND(ISNUMBER($X$4),ISNUMBER(DB_Colleges!Z156),ISNUMBER(DB_Colleges!AA156)),IF($X$4&gt;=DB_Colleges!AA156,1,IF($X$4&lt;DB_Colleges!Z156,-1,0)),"")</f>
        <v>-1</v>
      </c>
      <c r="V162" s="1" t="str">
        <f aca="false">IF(AND(ISNUMBER($Y$4),ISNUMBER(DB_Colleges!AD156)),IF($Y$4&gt;=DB_Colleges!AD156+0.15,1,IF($Y$4&lt;DB_Colleges!AD156-0.2,-1,0)),"")</f>
        <v/>
      </c>
      <c r="W162" s="1" t="n">
        <f aca="false">IF(COUNT(U162:V162)=0,0,MIN(U162:V162))</f>
        <v>-1</v>
      </c>
    </row>
    <row r="163" customFormat="false" ht="15" hidden="false" customHeight="true" outlineLevel="0" collapsed="false">
      <c r="A163" s="26" t="str">
        <f aca="false">IF(B163="","",IF(COUNTIF('My Colleges'!$B$8:$B$27,B163)&gt;0,"On list",""))</f>
        <v/>
      </c>
      <c r="B163" s="27" t="str">
        <f aca="false">IF(DB_Colleges!A157="","",DB_Colleges!A157)</f>
        <v>Clemson University</v>
      </c>
      <c r="C163" s="26" t="str">
        <f aca="false">IF(B163="","",DB_Colleges!B157)</f>
        <v>Southeast Public</v>
      </c>
      <c r="D163" s="26" t="str">
        <f aca="false">IF(B163="","",DB_Colleges!C157&amp;", "&amp;DB_Colleges!D157)</f>
        <v>Clemson, SC</v>
      </c>
      <c r="E163" s="26" t="str">
        <f aca="false">IF(B163="","",IF(AND(NOT(ISNUMBER($X$4)),NOT(ISNUMBER($Y$4))),"Add scores",IF(NOT(ISNUMBER(DB_Colleges!Y157)),IF(OR(C163="Ivy League",C163="Highly Selective"),"Reach",IF(COUNT(U163:V163)=0,"No data",CHOOSE(W163+2,"Reach","Target","Likely"))),IF(DB_Colleges!Y157&lt;0.15,"Reach",IF(DB_Colleges!Y157&gt;=0.75,IF(W163&gt;=0,"Likely","Target"),IF(DB_Colleges!Y157&gt;=0.4,CHOOSE(W163+2,"Reach","Target","Likely"),IF(W163=1,"Target","Reach")))))))</f>
        <v>Reach</v>
      </c>
      <c r="F163" s="28" t="n">
        <f aca="false">IF(OR(B163="",NOT(ISNUMBER(DB_Colleges!Y157))),"",DB_Colleges!Y157)</f>
        <v>0.383</v>
      </c>
      <c r="G163" s="26" t="str">
        <f aca="false">IF(OR(B163="",NOT(ISNUMBER(DB_Colleges!Z157))),"",DB_Colleges!Z157&amp;"-"&amp;DB_Colleges!AA157)</f>
        <v>1250-1400</v>
      </c>
      <c r="H163" s="26" t="str">
        <f aca="false">IF(OR(B163="",NOT(ISNUMBER(DB_Colleges!AD157))),"",DB_Colleges!AD157)</f>
        <v/>
      </c>
      <c r="I163" s="29" t="n">
        <f aca="false">IF(B163="","",IF(COUNT(DB_Colleges!I157:O157)=0,IF(DB_Colleges!P157="Yes","Rolling","Check site"),MIN(DB_Colleges!I157:O157)))</f>
        <v>46310</v>
      </c>
      <c r="J163" s="26" t="str">
        <f aca="false">IF(OR(B163="",COUNT(DB_Colleges!I157:O157)=0),"",INDEX({"ED","ED II","EA","EA II","REA","RD","Priority"},MATCH(MIN(DB_Colleges!I157:O157),DB_Colleges!I157:O157,0)))</f>
        <v>EA</v>
      </c>
      <c r="K163" s="29" t="n">
        <f aca="false">IF(OR(B163="",NOT(ISNUMBER(DB_Colleges!N157))),"",DB_Colleges!N157)</f>
        <v>46388</v>
      </c>
      <c r="L163" s="26" t="str">
        <f aca="false">IF(B163="","",DB_Colleges!G157&amp;"")</f>
        <v>Common App; Coalition; School portal</v>
      </c>
      <c r="M163" s="30" t="n">
        <f aca="false">IF(OR(B163="",NOT(ISNUMBER(DB_Colleges!S157))),"",DB_Colleges!S157)</f>
        <v>70</v>
      </c>
      <c r="N163" s="26" t="str">
        <f aca="false">IF(B163="","",DB_Colleges!U157&amp;"")</f>
        <v>Optional</v>
      </c>
      <c r="O163" s="26" t="str">
        <f aca="false">IF(B163="","",IF(ISNUMBER(DB_Colleges!AH157),DB_Colleges!AH157,"Check"))</f>
        <v>Check</v>
      </c>
      <c r="P163" s="26" t="str">
        <f aca="false">IF(B163="","",DB_Colleges!W157&amp;"")</f>
        <v>Not required</v>
      </c>
      <c r="Q163" s="30" t="str">
        <f aca="false">IF(OR(B163="",NOT(ISNUMBER(DB_Colleges!AF157))),"",DB_Colleges!AF157)</f>
        <v/>
      </c>
      <c r="R163" s="28" t="str">
        <f aca="false">IF(OR(B163="",NOT(ISNUMBER(DB_Colleges!AG157))),"",DB_Colleges!AG157)</f>
        <v/>
      </c>
      <c r="S163" s="26" t="str">
        <f aca="false">IF(B163="","",DB_Colleges!AK157&amp;"")</f>
        <v>Mixed</v>
      </c>
      <c r="T163" s="26" t="str">
        <f aca="false">IF(B163="","",DB_Colleges!AI157&amp;"")</f>
        <v>https://www.clemson.edu/admissions/undergraduate-admissions/apply/first-year.html</v>
      </c>
      <c r="U163" s="1" t="n">
        <f aca="false">IF(AND(ISNUMBER($X$4),ISNUMBER(DB_Colleges!Z157),ISNUMBER(DB_Colleges!AA157)),IF($X$4&gt;=DB_Colleges!AA157,1,IF($X$4&lt;DB_Colleges!Z157,-1,0)),"")</f>
        <v>-1</v>
      </c>
      <c r="V163" s="1" t="str">
        <f aca="false">IF(AND(ISNUMBER($Y$4),ISNUMBER(DB_Colleges!AD157)),IF($Y$4&gt;=DB_Colleges!AD157+0.15,1,IF($Y$4&lt;DB_Colleges!AD157-0.2,-1,0)),"")</f>
        <v/>
      </c>
      <c r="W163" s="1" t="n">
        <f aca="false">IF(COUNT(U163:V163)=0,0,MIN(U163:V163))</f>
        <v>-1</v>
      </c>
    </row>
    <row r="164" customFormat="false" ht="15" hidden="false" customHeight="true" outlineLevel="0" collapsed="false">
      <c r="A164" s="26" t="str">
        <f aca="false">IF(B164="","",IF(COUNTIF('My Colleges'!$B$8:$B$27,B164)&gt;0,"On list",""))</f>
        <v/>
      </c>
      <c r="B164" s="27" t="str">
        <f aca="false">IF(DB_Colleges!A158="","",DB_Colleges!A158)</f>
        <v>University of South Carolina</v>
      </c>
      <c r="C164" s="26" t="str">
        <f aca="false">IF(B164="","",DB_Colleges!B158)</f>
        <v>Southeast Public</v>
      </c>
      <c r="D164" s="26" t="str">
        <f aca="false">IF(B164="","",DB_Colleges!C158&amp;", "&amp;DB_Colleges!D158)</f>
        <v>Columbia, SC</v>
      </c>
      <c r="E164" s="26" t="str">
        <f aca="false">IF(B164="","",IF(AND(NOT(ISNUMBER($X$4)),NOT(ISNUMBER($Y$4))),"Add scores",IF(NOT(ISNUMBER(DB_Colleges!Y158)),IF(OR(C164="Ivy League",C164="Highly Selective"),"Reach",IF(COUNT(U164:V164)=0,"No data",CHOOSE(W164+2,"Reach","Target","Likely"))),IF(DB_Colleges!Y158&lt;0.15,"Reach",IF(DB_Colleges!Y158&gt;=0.75,IF(W164&gt;=0,"Likely","Target"),IF(DB_Colleges!Y158&gt;=0.4,CHOOSE(W164+2,"Reach","Target","Likely"),IF(W164=1,"Target","Reach")))))))</f>
        <v>Reach</v>
      </c>
      <c r="F164" s="28" t="n">
        <f aca="false">IF(OR(B164="",NOT(ISNUMBER(DB_Colleges!Y158))),"",DB_Colleges!Y158)</f>
        <v>0.565</v>
      </c>
      <c r="G164" s="26" t="str">
        <f aca="false">IF(OR(B164="",NOT(ISNUMBER(DB_Colleges!Z158))),"",DB_Colleges!Z158&amp;"-"&amp;DB_Colleges!AA158)</f>
        <v>1200-1360</v>
      </c>
      <c r="H164" s="26" t="str">
        <f aca="false">IF(OR(B164="",NOT(ISNUMBER(DB_Colleges!AD158))),"",DB_Colleges!AD158)</f>
        <v/>
      </c>
      <c r="I164" s="29" t="n">
        <f aca="false">IF(B164="","",IF(COUNT(DB_Colleges!I158:O158)=0,IF(DB_Colleges!P158="Yes","Rolling","Check site"),MIN(DB_Colleges!I158:O158)))</f>
        <v>46310</v>
      </c>
      <c r="J164" s="26" t="str">
        <f aca="false">IF(OR(B164="",COUNT(DB_Colleges!I158:O158)=0),"",INDEX({"ED","ED II","EA","EA II","REA","RD","Priority"},MATCH(MIN(DB_Colleges!I158:O158),DB_Colleges!I158:O158,0)))</f>
        <v>EA</v>
      </c>
      <c r="K164" s="29" t="n">
        <f aca="false">IF(OR(B164="",NOT(ISNUMBER(DB_Colleges!N158))),"",DB_Colleges!N158)</f>
        <v>46357</v>
      </c>
      <c r="L164" s="26" t="str">
        <f aca="false">IF(B164="","",DB_Colleges!G158&amp;"")</f>
        <v>Common App; School portal</v>
      </c>
      <c r="M164" s="30" t="str">
        <f aca="false">IF(OR(B164="",NOT(ISNUMBER(DB_Colleges!S158))),"",DB_Colleges!S158)</f>
        <v/>
      </c>
      <c r="N164" s="26" t="str">
        <f aca="false">IF(B164="","",DB_Colleges!U158&amp;"")</f>
        <v>Optional</v>
      </c>
      <c r="O164" s="26" t="str">
        <f aca="false">IF(B164="","",IF(ISNUMBER(DB_Colleges!AH158),DB_Colleges!AH158,"Check"))</f>
        <v>Check</v>
      </c>
      <c r="P164" s="26" t="str">
        <f aca="false">IF(B164="","",DB_Colleges!W158&amp;"")</f>
        <v>Not required</v>
      </c>
      <c r="Q164" s="30" t="str">
        <f aca="false">IF(OR(B164="",NOT(ISNUMBER(DB_Colleges!AF158))),"",DB_Colleges!AF158)</f>
        <v/>
      </c>
      <c r="R164" s="28" t="str">
        <f aca="false">IF(OR(B164="",NOT(ISNUMBER(DB_Colleges!AG158))),"",DB_Colleges!AG158)</f>
        <v/>
      </c>
      <c r="S164" s="26" t="str">
        <f aca="false">IF(B164="","",DB_Colleges!AK158&amp;"")</f>
        <v>Mixed</v>
      </c>
      <c r="T164" s="26" t="str">
        <f aca="false">IF(B164="","",DB_Colleges!AI158&amp;"")</f>
        <v>https://www.sc.edu/about/offices_and_divisions/undergraduate_admissions/apply/for_freshmen/index.php</v>
      </c>
      <c r="U164" s="1" t="n">
        <f aca="false">IF(AND(ISNUMBER($X$4),ISNUMBER(DB_Colleges!Z158),ISNUMBER(DB_Colleges!AA158)),IF($X$4&gt;=DB_Colleges!AA158,1,IF($X$4&lt;DB_Colleges!Z158,-1,0)),"")</f>
        <v>-1</v>
      </c>
      <c r="V164" s="1" t="str">
        <f aca="false">IF(AND(ISNUMBER($Y$4),ISNUMBER(DB_Colleges!AD158)),IF($Y$4&gt;=DB_Colleges!AD158+0.15,1,IF($Y$4&lt;DB_Colleges!AD158-0.2,-1,0)),"")</f>
        <v/>
      </c>
      <c r="W164" s="1" t="n">
        <f aca="false">IF(COUNT(U164:V164)=0,0,MIN(U164:V164))</f>
        <v>-1</v>
      </c>
    </row>
    <row r="165" customFormat="false" ht="15" hidden="false" customHeight="true" outlineLevel="0" collapsed="false">
      <c r="A165" s="26" t="str">
        <f aca="false">IF(B165="","",IF(COUNTIF('My Colleges'!$B$8:$B$27,B165)&gt;0,"On list",""))</f>
        <v/>
      </c>
      <c r="B165" s="27" t="str">
        <f aca="false">IF(DB_Colleges!A159="","",DB_Colleges!A159)</f>
        <v>College of Charleston</v>
      </c>
      <c r="C165" s="26" t="str">
        <f aca="false">IF(B165="","",DB_Colleges!B159)</f>
        <v>Southeast Public</v>
      </c>
      <c r="D165" s="26" t="str">
        <f aca="false">IF(B165="","",DB_Colleges!C159&amp;", "&amp;DB_Colleges!D159)</f>
        <v>Charleston, SC</v>
      </c>
      <c r="E165" s="26" t="str">
        <f aca="false">IF(B165="","",IF(AND(NOT(ISNUMBER($X$4)),NOT(ISNUMBER($Y$4))),"Add scores",IF(NOT(ISNUMBER(DB_Colleges!Y159)),IF(OR(C165="Ivy League",C165="Highly Selective"),"Reach",IF(COUNT(U165:V165)=0,"No data",CHOOSE(W165+2,"Reach","Target","Likely"))),IF(DB_Colleges!Y159&lt;0.15,"Reach",IF(DB_Colleges!Y159&gt;=0.75,IF(W165&gt;=0,"Likely","Target"),IF(DB_Colleges!Y159&gt;=0.4,CHOOSE(W165+2,"Reach","Target","Likely"),IF(W165=1,"Target","Reach")))))))</f>
        <v>Reach</v>
      </c>
      <c r="F165" s="28" t="n">
        <f aca="false">IF(OR(B165="",NOT(ISNUMBER(DB_Colleges!Y159))),"",DB_Colleges!Y159)</f>
        <v>0.73</v>
      </c>
      <c r="G165" s="26" t="str">
        <f aca="false">IF(OR(B165="",NOT(ISNUMBER(DB_Colleges!Z159))),"",DB_Colleges!Z159&amp;"-"&amp;DB_Colleges!AA159)</f>
        <v>1200-1340</v>
      </c>
      <c r="H165" s="26" t="str">
        <f aca="false">IF(OR(B165="",NOT(ISNUMBER(DB_Colleges!AD159))),"",DB_Colleges!AD159)</f>
        <v/>
      </c>
      <c r="I165" s="29" t="n">
        <f aca="false">IF(B165="","",IF(COUNT(DB_Colleges!I159:O159)=0,IF(DB_Colleges!P159="Yes","Rolling","Check site"),MIN(DB_Colleges!I159:O159)))</f>
        <v>46328</v>
      </c>
      <c r="J165" s="26" t="str">
        <f aca="false">IF(OR(B165="",COUNT(DB_Colleges!I159:O159)=0),"",INDEX({"ED","ED II","EA","EA II","REA","RD","Priority"},MATCH(MIN(DB_Colleges!I159:O159),DB_Colleges!I159:O159,0)))</f>
        <v>ED</v>
      </c>
      <c r="K165" s="29" t="n">
        <f aca="false">IF(OR(B165="",NOT(ISNUMBER(DB_Colleges!N159))),"",DB_Colleges!N159)</f>
        <v>46402</v>
      </c>
      <c r="L165" s="26" t="str">
        <f aca="false">IF(B165="","",DB_Colleges!G159&amp;"")</f>
        <v>Common App; School portal</v>
      </c>
      <c r="M165" s="30" t="n">
        <f aca="false">IF(OR(B165="",NOT(ISNUMBER(DB_Colleges!S159))),"",DB_Colleges!S159)</f>
        <v>60</v>
      </c>
      <c r="N165" s="26" t="str">
        <f aca="false">IF(B165="","",DB_Colleges!U159&amp;"")</f>
        <v>Optional</v>
      </c>
      <c r="O165" s="26" t="str">
        <f aca="false">IF(B165="","",IF(ISNUMBER(DB_Colleges!AH159),DB_Colleges!AH159,"Check"))</f>
        <v>Check</v>
      </c>
      <c r="P165" s="26" t="str">
        <f aca="false">IF(B165="","",DB_Colleges!W159&amp;"")</f>
        <v>Not required</v>
      </c>
      <c r="Q165" s="30" t="str">
        <f aca="false">IF(OR(B165="",NOT(ISNUMBER(DB_Colleges!AF159))),"",DB_Colleges!AF159)</f>
        <v/>
      </c>
      <c r="R165" s="28" t="str">
        <f aca="false">IF(OR(B165="",NOT(ISNUMBER(DB_Colleges!AG159))),"",DB_Colleges!AG159)</f>
        <v/>
      </c>
      <c r="S165" s="26" t="str">
        <f aca="false">IF(B165="","",DB_Colleges!AK159&amp;"")</f>
        <v>Mixed</v>
      </c>
      <c r="T165" s="26" t="str">
        <f aca="false">IF(B165="","",DB_Colleges!AI159&amp;"")</f>
        <v>https://charleston.edu/admission/apply/undergraduate/index.php</v>
      </c>
      <c r="U165" s="1" t="n">
        <f aca="false">IF(AND(ISNUMBER($X$4),ISNUMBER(DB_Colleges!Z159),ISNUMBER(DB_Colleges!AA159)),IF($X$4&gt;=DB_Colleges!AA159,1,IF($X$4&lt;DB_Colleges!Z159,-1,0)),"")</f>
        <v>-1</v>
      </c>
      <c r="V165" s="1" t="str">
        <f aca="false">IF(AND(ISNUMBER($Y$4),ISNUMBER(DB_Colleges!AD159)),IF($Y$4&gt;=DB_Colleges!AD159+0.15,1,IF($Y$4&lt;DB_Colleges!AD159-0.2,-1,0)),"")</f>
        <v/>
      </c>
      <c r="W165" s="1" t="n">
        <f aca="false">IF(COUNT(U165:V165)=0,0,MIN(U165:V165))</f>
        <v>-1</v>
      </c>
    </row>
    <row r="166" customFormat="false" ht="15" hidden="false" customHeight="true" outlineLevel="0" collapsed="false">
      <c r="A166" s="26" t="str">
        <f aca="false">IF(B166="","",IF(COUNTIF('My Colleges'!$B$8:$B$27,B166)&gt;0,"On list",""))</f>
        <v/>
      </c>
      <c r="B166" s="27" t="str">
        <f aca="false">IF(DB_Colleges!A160="","",DB_Colleges!A160)</f>
        <v>University of North Carolina at Chapel Hill</v>
      </c>
      <c r="C166" s="26" t="str">
        <f aca="false">IF(B166="","",DB_Colleges!B160)</f>
        <v>Southeast Public</v>
      </c>
      <c r="D166" s="26" t="str">
        <f aca="false">IF(B166="","",DB_Colleges!C160&amp;", "&amp;DB_Colleges!D160)</f>
        <v>Chapel Hill, NC</v>
      </c>
      <c r="E166" s="26" t="str">
        <f aca="false">IF(B166="","",IF(AND(NOT(ISNUMBER($X$4)),NOT(ISNUMBER($Y$4))),"Add scores",IF(NOT(ISNUMBER(DB_Colleges!Y160)),IF(OR(C166="Ivy League",C166="Highly Selective"),"Reach",IF(COUNT(U166:V166)=0,"No data",CHOOSE(W166+2,"Reach","Target","Likely"))),IF(DB_Colleges!Y160&lt;0.15,"Reach",IF(DB_Colleges!Y160&gt;=0.75,IF(W166&gt;=0,"Likely","Target"),IF(DB_Colleges!Y160&gt;=0.4,CHOOSE(W166+2,"Reach","Target","Likely"),IF(W166=1,"Target","Reach")))))))</f>
        <v>Reach</v>
      </c>
      <c r="F166" s="28" t="n">
        <f aca="false">IF(OR(B166="",NOT(ISNUMBER(DB_Colleges!Y160))),"",DB_Colleges!Y160)</f>
        <v>0.167</v>
      </c>
      <c r="G166" s="26" t="str">
        <f aca="false">IF(OR(B166="",NOT(ISNUMBER(DB_Colleges!Z160))),"",DB_Colleges!Z160&amp;"-"&amp;DB_Colleges!AA160)</f>
        <v>1400-1530</v>
      </c>
      <c r="H166" s="26" t="str">
        <f aca="false">IF(OR(B166="",NOT(ISNUMBER(DB_Colleges!AD160))),"",DB_Colleges!AD160)</f>
        <v/>
      </c>
      <c r="I166" s="29" t="n">
        <f aca="false">IF(B166="","",IF(COUNT(DB_Colleges!I160:O160)=0,IF(DB_Colleges!P160="Yes","Rolling","Check site"),MIN(DB_Colleges!I160:O160)))</f>
        <v>46310</v>
      </c>
      <c r="J166" s="26" t="str">
        <f aca="false">IF(OR(B166="",COUNT(DB_Colleges!I160:O160)=0),"",INDEX({"ED","ED II","EA","EA II","REA","RD","Priority"},MATCH(MIN(DB_Colleges!I160:O160),DB_Colleges!I160:O160,0)))</f>
        <v>EA</v>
      </c>
      <c r="K166" s="29" t="n">
        <f aca="false">IF(OR(B166="",NOT(ISNUMBER(DB_Colleges!N160))),"",DB_Colleges!N160)</f>
        <v>46402</v>
      </c>
      <c r="L166" s="26" t="str">
        <f aca="false">IF(B166="","",DB_Colleges!G160&amp;"")</f>
        <v>Common App</v>
      </c>
      <c r="M166" s="30" t="n">
        <f aca="false">IF(OR(B166="",NOT(ISNUMBER(DB_Colleges!S160))),"",DB_Colleges!S160)</f>
        <v>85</v>
      </c>
      <c r="N166" s="26" t="str">
        <f aca="false">IF(B166="","",DB_Colleges!U160&amp;"")</f>
        <v>Optional</v>
      </c>
      <c r="O166" s="26" t="str">
        <f aca="false">IF(B166="","",IF(ISNUMBER(DB_Colleges!AH160),DB_Colleges!AH160,"Check"))</f>
        <v>Check</v>
      </c>
      <c r="P166" s="26" t="str">
        <f aca="false">IF(B166="","",DB_Colleges!W160&amp;"")</f>
        <v>Not required</v>
      </c>
      <c r="Q166" s="30" t="str">
        <f aca="false">IF(OR(B166="",NOT(ISNUMBER(DB_Colleges!AF160))),"",DB_Colleges!AF160)</f>
        <v/>
      </c>
      <c r="R166" s="28" t="str">
        <f aca="false">IF(OR(B166="",NOT(ISNUMBER(DB_Colleges!AG160))),"",DB_Colleges!AG160)</f>
        <v/>
      </c>
      <c r="S166" s="26" t="str">
        <f aca="false">IF(B166="","",DB_Colleges!AK160&amp;"")</f>
        <v>Mixed</v>
      </c>
      <c r="T166" s="26" t="str">
        <f aca="false">IF(B166="","",DB_Colleges!AI160&amp;"")</f>
        <v>https://admissions.unc.edu/apply/types-of-applications/first-year/</v>
      </c>
      <c r="U166" s="1" t="n">
        <f aca="false">IF(AND(ISNUMBER($X$4),ISNUMBER(DB_Colleges!Z160),ISNUMBER(DB_Colleges!AA160)),IF($X$4&gt;=DB_Colleges!AA160,1,IF($X$4&lt;DB_Colleges!Z160,-1,0)),"")</f>
        <v>-1</v>
      </c>
      <c r="V166" s="1" t="str">
        <f aca="false">IF(AND(ISNUMBER($Y$4),ISNUMBER(DB_Colleges!AD160)),IF($Y$4&gt;=DB_Colleges!AD160+0.15,1,IF($Y$4&lt;DB_Colleges!AD160-0.2,-1,0)),"")</f>
        <v/>
      </c>
      <c r="W166" s="1" t="n">
        <f aca="false">IF(COUNT(U166:V166)=0,0,MIN(U166:V166))</f>
        <v>-1</v>
      </c>
    </row>
    <row r="167" customFormat="false" ht="15" hidden="false" customHeight="true" outlineLevel="0" collapsed="false">
      <c r="A167" s="26" t="str">
        <f aca="false">IF(B167="","",IF(COUNTIF('My Colleges'!$B$8:$B$27,B167)&gt;0,"On list",""))</f>
        <v/>
      </c>
      <c r="B167" s="27" t="str">
        <f aca="false">IF(DB_Colleges!A161="","",DB_Colleges!A161)</f>
        <v>North Carolina State University</v>
      </c>
      <c r="C167" s="26" t="str">
        <f aca="false">IF(B167="","",DB_Colleges!B161)</f>
        <v>Southeast Public</v>
      </c>
      <c r="D167" s="26" t="str">
        <f aca="false">IF(B167="","",DB_Colleges!C161&amp;", "&amp;DB_Colleges!D161)</f>
        <v>Raleigh, NC</v>
      </c>
      <c r="E167" s="26" t="str">
        <f aca="false">IF(B167="","",IF(AND(NOT(ISNUMBER($X$4)),NOT(ISNUMBER($Y$4))),"Add scores",IF(NOT(ISNUMBER(DB_Colleges!Y161)),IF(OR(C167="Ivy League",C167="Highly Selective"),"Reach",IF(COUNT(U167:V167)=0,"No data",CHOOSE(W167+2,"Reach","Target","Likely"))),IF(DB_Colleges!Y161&lt;0.15,"Reach",IF(DB_Colleges!Y161&gt;=0.75,IF(W167&gt;=0,"Likely","Target"),IF(DB_Colleges!Y161&gt;=0.4,CHOOSE(W167+2,"Reach","Target","Likely"),IF(W167=1,"Target","Reach")))))))</f>
        <v>Reach</v>
      </c>
      <c r="F167" s="28" t="n">
        <f aca="false">IF(OR(B167="",NOT(ISNUMBER(DB_Colleges!Y161))),"",DB_Colleges!Y161)</f>
        <v>0.395</v>
      </c>
      <c r="G167" s="26" t="str">
        <f aca="false">IF(OR(B167="",NOT(ISNUMBER(DB_Colleges!Z161))),"",DB_Colleges!Z161&amp;"-"&amp;DB_Colleges!AA161)</f>
        <v>1310-1440</v>
      </c>
      <c r="H167" s="26" t="str">
        <f aca="false">IF(OR(B167="",NOT(ISNUMBER(DB_Colleges!AD161))),"",DB_Colleges!AD161)</f>
        <v/>
      </c>
      <c r="I167" s="29" t="n">
        <f aca="false">IF(B167="","",IF(COUNT(DB_Colleges!I161:O161)=0,IF(DB_Colleges!P161="Yes","Rolling","Check site"),MIN(DB_Colleges!I161:O161)))</f>
        <v>46402</v>
      </c>
      <c r="J167" s="26" t="str">
        <f aca="false">IF(OR(B167="",COUNT(DB_Colleges!I161:O161)=0),"",INDEX({"ED","ED II","EA","EA II","REA","RD","Priority"},MATCH(MIN(DB_Colleges!I161:O161),DB_Colleges!I161:O161,0)))</f>
        <v>RD</v>
      </c>
      <c r="K167" s="29" t="n">
        <f aca="false">IF(OR(B167="",NOT(ISNUMBER(DB_Colleges!N161))),"",DB_Colleges!N161)</f>
        <v>46402</v>
      </c>
      <c r="L167" s="26" t="str">
        <f aca="false">IF(B167="","",DB_Colleges!G161&amp;"")</f>
        <v>Common App; Coalition</v>
      </c>
      <c r="M167" s="30" t="n">
        <f aca="false">IF(OR(B167="",NOT(ISNUMBER(DB_Colleges!S161))),"",DB_Colleges!S161)</f>
        <v>85</v>
      </c>
      <c r="N167" s="26" t="str">
        <f aca="false">IF(B167="","",DB_Colleges!U161&amp;"")</f>
        <v>Optional</v>
      </c>
      <c r="O167" s="26" t="n">
        <f aca="false">IF(B167="","",IF(ISNUMBER(DB_Colleges!AH161),DB_Colleges!AH161,"Check"))</f>
        <v>1</v>
      </c>
      <c r="P167" s="26" t="str">
        <f aca="false">IF(B167="","",DB_Colleges!W161&amp;"")</f>
        <v>Not required</v>
      </c>
      <c r="Q167" s="30" t="str">
        <f aca="false">IF(OR(B167="",NOT(ISNUMBER(DB_Colleges!AF161))),"",DB_Colleges!AF161)</f>
        <v/>
      </c>
      <c r="R167" s="28" t="str">
        <f aca="false">IF(OR(B167="",NOT(ISNUMBER(DB_Colleges!AG161))),"",DB_Colleges!AG161)</f>
        <v/>
      </c>
      <c r="S167" s="26" t="str">
        <f aca="false">IF(B167="","",DB_Colleges!AK161&amp;"")</f>
        <v>Mixed</v>
      </c>
      <c r="T167" s="26" t="str">
        <f aca="false">IF(B167="","",DB_Colleges!AI161&amp;"")</f>
        <v>https://admissions.ncsu.edu/apply/first-year/</v>
      </c>
      <c r="U167" s="1" t="n">
        <f aca="false">IF(AND(ISNUMBER($X$4),ISNUMBER(DB_Colleges!Z161),ISNUMBER(DB_Colleges!AA161)),IF($X$4&gt;=DB_Colleges!AA161,1,IF($X$4&lt;DB_Colleges!Z161,-1,0)),"")</f>
        <v>-1</v>
      </c>
      <c r="V167" s="1" t="str">
        <f aca="false">IF(AND(ISNUMBER($Y$4),ISNUMBER(DB_Colleges!AD161)),IF($Y$4&gt;=DB_Colleges!AD161+0.15,1,IF($Y$4&lt;DB_Colleges!AD161-0.2,-1,0)),"")</f>
        <v/>
      </c>
      <c r="W167" s="1" t="n">
        <f aca="false">IF(COUNT(U167:V167)=0,0,MIN(U167:V167))</f>
        <v>-1</v>
      </c>
    </row>
    <row r="168" customFormat="false" ht="15" hidden="false" customHeight="true" outlineLevel="0" collapsed="false">
      <c r="A168" s="26" t="str">
        <f aca="false">IF(B168="","",IF(COUNTIF('My Colleges'!$B$8:$B$27,B168)&gt;0,"On list",""))</f>
        <v/>
      </c>
      <c r="B168" s="27" t="str">
        <f aca="false">IF(DB_Colleges!A162="","",DB_Colleges!A162)</f>
        <v>University of North Carolina at Charlotte</v>
      </c>
      <c r="C168" s="26" t="str">
        <f aca="false">IF(B168="","",DB_Colleges!B162)</f>
        <v>Southeast Public</v>
      </c>
      <c r="D168" s="26" t="str">
        <f aca="false">IF(B168="","",DB_Colleges!C162&amp;", "&amp;DB_Colleges!D162)</f>
        <v>Charlotte, NC</v>
      </c>
      <c r="E168" s="26" t="str">
        <f aca="false">IF(B168="","",IF(AND(NOT(ISNUMBER($X$4)),NOT(ISNUMBER($Y$4))),"Add scores",IF(NOT(ISNUMBER(DB_Colleges!Y162)),IF(OR(C168="Ivy League",C168="Highly Selective"),"Reach",IF(COUNT(U168:V168)=0,"No data",CHOOSE(W168+2,"Reach","Target","Likely"))),IF(DB_Colleges!Y162&lt;0.15,"Reach",IF(DB_Colleges!Y162&gt;=0.75,IF(W168&gt;=0,"Likely","Target"),IF(DB_Colleges!Y162&gt;=0.4,CHOOSE(W168+2,"Reach","Target","Likely"),IF(W168=1,"Target","Reach")))))))</f>
        <v>Target</v>
      </c>
      <c r="F168" s="28" t="n">
        <f aca="false">IF(OR(B168="",NOT(ISNUMBER(DB_Colleges!Y162))),"",DB_Colleges!Y162)</f>
        <v>0.778</v>
      </c>
      <c r="G168" s="26" t="str">
        <f aca="false">IF(OR(B168="",NOT(ISNUMBER(DB_Colleges!Z162))),"",DB_Colleges!Z162&amp;"-"&amp;DB_Colleges!AA162)</f>
        <v>1150-1340</v>
      </c>
      <c r="H168" s="26" t="str">
        <f aca="false">IF(OR(B168="",NOT(ISNUMBER(DB_Colleges!AD162))),"",DB_Colleges!AD162)</f>
        <v/>
      </c>
      <c r="I168" s="29" t="str">
        <f aca="false">IF(B168="","",IF(COUNT(DB_Colleges!I162:O162)=0,IF(DB_Colleges!P162="Yes","Rolling","Check site"),MIN(DB_Colleges!I162:O162)))</f>
        <v>Check site</v>
      </c>
      <c r="J168" s="26" t="str">
        <f aca="false">IF(OR(B168="",COUNT(DB_Colleges!I162:O162)=0),"",INDEX({"ED","ED II","EA","EA II","REA","RD","Priority"},MATCH(MIN(DB_Colleges!I162:O162),DB_Colleges!I162:O162,0)))</f>
        <v/>
      </c>
      <c r="K168" s="29" t="str">
        <f aca="false">IF(OR(B168="",NOT(ISNUMBER(DB_Colleges!N162))),"",DB_Colleges!N162)</f>
        <v/>
      </c>
      <c r="L168" s="26" t="str">
        <f aca="false">IF(B168="","",DB_Colleges!G162&amp;"")</f>
        <v>Common App; School portal</v>
      </c>
      <c r="M168" s="30" t="str">
        <f aca="false">IF(OR(B168="",NOT(ISNUMBER(DB_Colleges!S162))),"",DB_Colleges!S162)</f>
        <v/>
      </c>
      <c r="N168" s="26" t="str">
        <f aca="false">IF(B168="","",DB_Colleges!U162&amp;"")</f>
        <v/>
      </c>
      <c r="O168" s="26" t="str">
        <f aca="false">IF(B168="","",IF(ISNUMBER(DB_Colleges!AH162),DB_Colleges!AH162,"Check"))</f>
        <v>Check</v>
      </c>
      <c r="P168" s="26" t="str">
        <f aca="false">IF(B168="","",DB_Colleges!W162&amp;"")</f>
        <v>Not required</v>
      </c>
      <c r="Q168" s="30" t="str">
        <f aca="false">IF(OR(B168="",NOT(ISNUMBER(DB_Colleges!AF162))),"",DB_Colleges!AF162)</f>
        <v/>
      </c>
      <c r="R168" s="28" t="str">
        <f aca="false">IF(OR(B168="",NOT(ISNUMBER(DB_Colleges!AG162))),"",DB_Colleges!AG162)</f>
        <v/>
      </c>
      <c r="S168" s="26" t="str">
        <f aca="false">IF(B168="","",DB_Colleges!AK162&amp;"")</f>
        <v>Aggregator only</v>
      </c>
      <c r="T168" s="26" t="str">
        <f aca="false">IF(B168="","",DB_Colleges!AI162&amp;"")</f>
        <v>https://admissions.charlotte.edu/apply/first-year-students/application-requirements/</v>
      </c>
      <c r="U168" s="1" t="n">
        <f aca="false">IF(AND(ISNUMBER($X$4),ISNUMBER(DB_Colleges!Z162),ISNUMBER(DB_Colleges!AA162)),IF($X$4&gt;=DB_Colleges!AA162,1,IF($X$4&lt;DB_Colleges!Z162,-1,0)),"")</f>
        <v>-1</v>
      </c>
      <c r="V168" s="1" t="str">
        <f aca="false">IF(AND(ISNUMBER($Y$4),ISNUMBER(DB_Colleges!AD162)),IF($Y$4&gt;=DB_Colleges!AD162+0.15,1,IF($Y$4&lt;DB_Colleges!AD162-0.2,-1,0)),"")</f>
        <v/>
      </c>
      <c r="W168" s="1" t="n">
        <f aca="false">IF(COUNT(U168:V168)=0,0,MIN(U168:V168))</f>
        <v>-1</v>
      </c>
    </row>
    <row r="169" customFormat="false" ht="15" hidden="false" customHeight="true" outlineLevel="0" collapsed="false">
      <c r="A169" s="26" t="str">
        <f aca="false">IF(B169="","",IF(COUNTIF('My Colleges'!$B$8:$B$27,B169)&gt;0,"On list",""))</f>
        <v/>
      </c>
      <c r="B169" s="27" t="str">
        <f aca="false">IF(DB_Colleges!A163="","",DB_Colleges!A163)</f>
        <v>Appalachian State University</v>
      </c>
      <c r="C169" s="26" t="str">
        <f aca="false">IF(B169="","",DB_Colleges!B163)</f>
        <v>Southeast Public</v>
      </c>
      <c r="D169" s="26" t="str">
        <f aca="false">IF(B169="","",DB_Colleges!C163&amp;", "&amp;DB_Colleges!D163)</f>
        <v>Boone, NC</v>
      </c>
      <c r="E169" s="26" t="str">
        <f aca="false">IF(B169="","",IF(AND(NOT(ISNUMBER($X$4)),NOT(ISNUMBER($Y$4))),"Add scores",IF(NOT(ISNUMBER(DB_Colleges!Y163)),IF(OR(C169="Ivy League",C169="Highly Selective"),"Reach",IF(COUNT(U169:V169)=0,"No data",CHOOSE(W169+2,"Reach","Target","Likely"))),IF(DB_Colleges!Y163&lt;0.15,"Reach",IF(DB_Colleges!Y163&gt;=0.75,IF(W169&gt;=0,"Likely","Target"),IF(DB_Colleges!Y163&gt;=0.4,CHOOSE(W169+2,"Reach","Target","Likely"),IF(W169=1,"Target","Reach")))))))</f>
        <v>Target</v>
      </c>
      <c r="F169" s="28" t="n">
        <f aca="false">IF(OR(B169="",NOT(ISNUMBER(DB_Colleges!Y163))),"",DB_Colleges!Y163)</f>
        <v>0.901</v>
      </c>
      <c r="G169" s="26" t="str">
        <f aca="false">IF(OR(B169="",NOT(ISNUMBER(DB_Colleges!Z163))),"",DB_Colleges!Z163&amp;"-"&amp;DB_Colleges!AA163)</f>
        <v>1140-1270</v>
      </c>
      <c r="H169" s="26" t="str">
        <f aca="false">IF(OR(B169="",NOT(ISNUMBER(DB_Colleges!AD163))),"",DB_Colleges!AD163)</f>
        <v/>
      </c>
      <c r="I169" s="29" t="str">
        <f aca="false">IF(B169="","",IF(COUNT(DB_Colleges!I163:O163)=0,IF(DB_Colleges!P163="Yes","Rolling","Check site"),MIN(DB_Colleges!I163:O163)))</f>
        <v>Check site</v>
      </c>
      <c r="J169" s="26" t="str">
        <f aca="false">IF(OR(B169="",COUNT(DB_Colleges!I163:O163)=0),"",INDEX({"ED","ED II","EA","EA II","REA","RD","Priority"},MATCH(MIN(DB_Colleges!I163:O163),DB_Colleges!I163:O163,0)))</f>
        <v/>
      </c>
      <c r="K169" s="29" t="str">
        <f aca="false">IF(OR(B169="",NOT(ISNUMBER(DB_Colleges!N163))),"",DB_Colleges!N163)</f>
        <v/>
      </c>
      <c r="L169" s="26" t="str">
        <f aca="false">IF(B169="","",DB_Colleges!G163&amp;"")</f>
        <v>Common App; School portal</v>
      </c>
      <c r="M169" s="30" t="str">
        <f aca="false">IF(OR(B169="",NOT(ISNUMBER(DB_Colleges!S163))),"",DB_Colleges!S163)</f>
        <v/>
      </c>
      <c r="N169" s="26" t="str">
        <f aca="false">IF(B169="","",DB_Colleges!U163&amp;"")</f>
        <v/>
      </c>
      <c r="O169" s="26" t="str">
        <f aca="false">IF(B169="","",IF(ISNUMBER(DB_Colleges!AH163),DB_Colleges!AH163,"Check"))</f>
        <v>Check</v>
      </c>
      <c r="P169" s="26" t="str">
        <f aca="false">IF(B169="","",DB_Colleges!W163&amp;"")</f>
        <v>Not required</v>
      </c>
      <c r="Q169" s="30" t="str">
        <f aca="false">IF(OR(B169="",NOT(ISNUMBER(DB_Colleges!AF163))),"",DB_Colleges!AF163)</f>
        <v/>
      </c>
      <c r="R169" s="28" t="str">
        <f aca="false">IF(OR(B169="",NOT(ISNUMBER(DB_Colleges!AG163))),"",DB_Colleges!AG163)</f>
        <v/>
      </c>
      <c r="S169" s="26" t="str">
        <f aca="false">IF(B169="","",DB_Colleges!AK163&amp;"")</f>
        <v>Aggregator only</v>
      </c>
      <c r="T169" s="26" t="str">
        <f aca="false">IF(B169="","",DB_Colleges!AI163&amp;"")</f>
        <v>https://admissions.appstate.edu/apply/first-year-student</v>
      </c>
      <c r="U169" s="1" t="n">
        <f aca="false">IF(AND(ISNUMBER($X$4),ISNUMBER(DB_Colleges!Z163),ISNUMBER(DB_Colleges!AA163)),IF($X$4&gt;=DB_Colleges!AA163,1,IF($X$4&lt;DB_Colleges!Z163,-1,0)),"")</f>
        <v>-1</v>
      </c>
      <c r="V169" s="1" t="str">
        <f aca="false">IF(AND(ISNUMBER($Y$4),ISNUMBER(DB_Colleges!AD163)),IF($Y$4&gt;=DB_Colleges!AD163+0.15,1,IF($Y$4&lt;DB_Colleges!AD163-0.2,-1,0)),"")</f>
        <v/>
      </c>
      <c r="W169" s="1" t="n">
        <f aca="false">IF(COUNT(U169:V169)=0,0,MIN(U169:V169))</f>
        <v>-1</v>
      </c>
    </row>
    <row r="170" customFormat="false" ht="15" hidden="false" customHeight="true" outlineLevel="0" collapsed="false">
      <c r="A170" s="26" t="str">
        <f aca="false">IF(B170="","",IF(COUNTIF('My Colleges'!$B$8:$B$27,B170)&gt;0,"On list",""))</f>
        <v/>
      </c>
      <c r="B170" s="27" t="str">
        <f aca="false">IF(DB_Colleges!A164="","",DB_Colleges!A164)</f>
        <v>East Carolina University</v>
      </c>
      <c r="C170" s="26" t="str">
        <f aca="false">IF(B170="","",DB_Colleges!B164)</f>
        <v>Southeast Public</v>
      </c>
      <c r="D170" s="26" t="str">
        <f aca="false">IF(B170="","",DB_Colleges!C164&amp;", "&amp;DB_Colleges!D164)</f>
        <v>Greenville, NC</v>
      </c>
      <c r="E170" s="26" t="str">
        <f aca="false">IF(B170="","",IF(AND(NOT(ISNUMBER($X$4)),NOT(ISNUMBER($Y$4))),"Add scores",IF(NOT(ISNUMBER(DB_Colleges!Y164)),IF(OR(C170="Ivy League",C170="Highly Selective"),"Reach",IF(COUNT(U170:V170)=0,"No data",CHOOSE(W170+2,"Reach","Target","Likely"))),IF(DB_Colleges!Y164&lt;0.15,"Reach",IF(DB_Colleges!Y164&gt;=0.75,IF(W170&gt;=0,"Likely","Target"),IF(DB_Colleges!Y164&gt;=0.4,CHOOSE(W170+2,"Reach","Target","Likely"),IF(W170=1,"Target","Reach")))))))</f>
        <v>No data</v>
      </c>
      <c r="F170" s="28" t="str">
        <f aca="false">IF(OR(B170="",NOT(ISNUMBER(DB_Colleges!Y164))),"",DB_Colleges!Y164)</f>
        <v/>
      </c>
      <c r="G170" s="26" t="str">
        <f aca="false">IF(OR(B170="",NOT(ISNUMBER(DB_Colleges!Z164))),"",DB_Colleges!Z164&amp;"-"&amp;DB_Colleges!AA164)</f>
        <v/>
      </c>
      <c r="H170" s="26" t="str">
        <f aca="false">IF(OR(B170="",NOT(ISNUMBER(DB_Colleges!AD164))),"",DB_Colleges!AD164)</f>
        <v/>
      </c>
      <c r="I170" s="29" t="str">
        <f aca="false">IF(B170="","",IF(COUNT(DB_Colleges!I164:O164)=0,IF(DB_Colleges!P164="Yes","Rolling","Check site"),MIN(DB_Colleges!I164:O164)))</f>
        <v>Check site</v>
      </c>
      <c r="J170" s="26" t="str">
        <f aca="false">IF(OR(B170="",COUNT(DB_Colleges!I164:O164)=0),"",INDEX({"ED","ED II","EA","EA II","REA","RD","Priority"},MATCH(MIN(DB_Colleges!I164:O164),DB_Colleges!I164:O164,0)))</f>
        <v/>
      </c>
      <c r="K170" s="29" t="str">
        <f aca="false">IF(OR(B170="",NOT(ISNUMBER(DB_Colleges!N164))),"",DB_Colleges!N164)</f>
        <v/>
      </c>
      <c r="L170" s="26" t="str">
        <f aca="false">IF(B170="","",DB_Colleges!G164&amp;"")</f>
        <v>Common App; School portal</v>
      </c>
      <c r="M170" s="30" t="str">
        <f aca="false">IF(OR(B170="",NOT(ISNUMBER(DB_Colleges!S164))),"",DB_Colleges!S164)</f>
        <v/>
      </c>
      <c r="N170" s="26" t="str">
        <f aca="false">IF(B170="","",DB_Colleges!U164&amp;"")</f>
        <v/>
      </c>
      <c r="O170" s="26" t="str">
        <f aca="false">IF(B170="","",IF(ISNUMBER(DB_Colleges!AH164),DB_Colleges!AH164,"Check"))</f>
        <v>Check</v>
      </c>
      <c r="P170" s="26" t="str">
        <f aca="false">IF(B170="","",DB_Colleges!W164&amp;"")</f>
        <v>Not required</v>
      </c>
      <c r="Q170" s="30" t="str">
        <f aca="false">IF(OR(B170="",NOT(ISNUMBER(DB_Colleges!AF164))),"",DB_Colleges!AF164)</f>
        <v/>
      </c>
      <c r="R170" s="28" t="str">
        <f aca="false">IF(OR(B170="",NOT(ISNUMBER(DB_Colleges!AG164))),"",DB_Colleges!AG164)</f>
        <v/>
      </c>
      <c r="S170" s="26" t="str">
        <f aca="false">IF(B170="","",DB_Colleges!AK164&amp;"")</f>
        <v>Aggregator only</v>
      </c>
      <c r="T170" s="26" t="str">
        <f aca="false">IF(B170="","",DB_Colleges!AI164&amp;"")</f>
        <v>https://admissions.ecu.edu/apply/freshmen/</v>
      </c>
      <c r="U170" s="1" t="str">
        <f aca="false">IF(AND(ISNUMBER($X$4),ISNUMBER(DB_Colleges!Z164),ISNUMBER(DB_Colleges!AA164)),IF($X$4&gt;=DB_Colleges!AA164,1,IF($X$4&lt;DB_Colleges!Z164,-1,0)),"")</f>
        <v/>
      </c>
      <c r="V170" s="1" t="str">
        <f aca="false">IF(AND(ISNUMBER($Y$4),ISNUMBER(DB_Colleges!AD164)),IF($Y$4&gt;=DB_Colleges!AD164+0.15,1,IF($Y$4&lt;DB_Colleges!AD164-0.2,-1,0)),"")</f>
        <v/>
      </c>
      <c r="W170" s="1" t="n">
        <f aca="false">IF(COUNT(U170:V170)=0,0,MIN(U170:V170))</f>
        <v>0</v>
      </c>
    </row>
    <row r="171" customFormat="false" ht="15" hidden="false" customHeight="true" outlineLevel="0" collapsed="false">
      <c r="A171" s="26" t="str">
        <f aca="false">IF(B171="","",IF(COUNTIF('My Colleges'!$B$8:$B$27,B171)&gt;0,"On list",""))</f>
        <v/>
      </c>
      <c r="B171" s="27" t="str">
        <f aca="false">IF(DB_Colleges!A165="","",DB_Colleges!A165)</f>
        <v>University of North Carolina at Greensboro</v>
      </c>
      <c r="C171" s="26" t="str">
        <f aca="false">IF(B171="","",DB_Colleges!B165)</f>
        <v>Southeast Public</v>
      </c>
      <c r="D171" s="26" t="str">
        <f aca="false">IF(B171="","",DB_Colleges!C165&amp;", "&amp;DB_Colleges!D165)</f>
        <v>Greensboro, NC</v>
      </c>
      <c r="E171" s="26" t="str">
        <f aca="false">IF(B171="","",IF(AND(NOT(ISNUMBER($X$4)),NOT(ISNUMBER($Y$4))),"Add scores",IF(NOT(ISNUMBER(DB_Colleges!Y165)),IF(OR(C171="Ivy League",C171="Highly Selective"),"Reach",IF(COUNT(U171:V171)=0,"No data",CHOOSE(W171+2,"Reach","Target","Likely"))),IF(DB_Colleges!Y165&lt;0.15,"Reach",IF(DB_Colleges!Y165&gt;=0.75,IF(W171&gt;=0,"Likely","Target"),IF(DB_Colleges!Y165&gt;=0.4,CHOOSE(W171+2,"Reach","Target","Likely"),IF(W171=1,"Target","Reach")))))))</f>
        <v>No data</v>
      </c>
      <c r="F171" s="28" t="str">
        <f aca="false">IF(OR(B171="",NOT(ISNUMBER(DB_Colleges!Y165))),"",DB_Colleges!Y165)</f>
        <v/>
      </c>
      <c r="G171" s="26" t="str">
        <f aca="false">IF(OR(B171="",NOT(ISNUMBER(DB_Colleges!Z165))),"",DB_Colleges!Z165&amp;"-"&amp;DB_Colleges!AA165)</f>
        <v/>
      </c>
      <c r="H171" s="26" t="str">
        <f aca="false">IF(OR(B171="",NOT(ISNUMBER(DB_Colleges!AD165))),"",DB_Colleges!AD165)</f>
        <v/>
      </c>
      <c r="I171" s="29" t="str">
        <f aca="false">IF(B171="","",IF(COUNT(DB_Colleges!I165:O165)=0,IF(DB_Colleges!P165="Yes","Rolling","Check site"),MIN(DB_Colleges!I165:O165)))</f>
        <v>Rolling</v>
      </c>
      <c r="J171" s="26" t="str">
        <f aca="false">IF(OR(B171="",COUNT(DB_Colleges!I165:O165)=0),"",INDEX({"ED","ED II","EA","EA II","REA","RD","Priority"},MATCH(MIN(DB_Colleges!I165:O165),DB_Colleges!I165:O165,0)))</f>
        <v/>
      </c>
      <c r="K171" s="29" t="str">
        <f aca="false">IF(OR(B171="",NOT(ISNUMBER(DB_Colleges!N165))),"",DB_Colleges!N165)</f>
        <v/>
      </c>
      <c r="L171" s="26" t="str">
        <f aca="false">IF(B171="","",DB_Colleges!G165&amp;"")</f>
        <v>Common App; School portal</v>
      </c>
      <c r="M171" s="30" t="str">
        <f aca="false">IF(OR(B171="",NOT(ISNUMBER(DB_Colleges!S165))),"",DB_Colleges!S165)</f>
        <v/>
      </c>
      <c r="N171" s="26" t="str">
        <f aca="false">IF(B171="","",DB_Colleges!U165&amp;"")</f>
        <v/>
      </c>
      <c r="O171" s="26" t="str">
        <f aca="false">IF(B171="","",IF(ISNUMBER(DB_Colleges!AH165),DB_Colleges!AH165,"Check"))</f>
        <v>Check</v>
      </c>
      <c r="P171" s="26" t="str">
        <f aca="false">IF(B171="","",DB_Colleges!W165&amp;"")</f>
        <v>Not required</v>
      </c>
      <c r="Q171" s="30" t="str">
        <f aca="false">IF(OR(B171="",NOT(ISNUMBER(DB_Colleges!AF165))),"",DB_Colleges!AF165)</f>
        <v/>
      </c>
      <c r="R171" s="28" t="str">
        <f aca="false">IF(OR(B171="",NOT(ISNUMBER(DB_Colleges!AG165))),"",DB_Colleges!AG165)</f>
        <v/>
      </c>
      <c r="S171" s="26" t="str">
        <f aca="false">IF(B171="","",DB_Colleges!AK165&amp;"")</f>
        <v>Typical dates, confirm</v>
      </c>
      <c r="T171" s="26" t="str">
        <f aca="false">IF(B171="","",DB_Colleges!AI165&amp;"")</f>
        <v>https://admissions.uncg.edu/admissions/deadlines/</v>
      </c>
      <c r="U171" s="1" t="str">
        <f aca="false">IF(AND(ISNUMBER($X$4),ISNUMBER(DB_Colleges!Z165),ISNUMBER(DB_Colleges!AA165)),IF($X$4&gt;=DB_Colleges!AA165,1,IF($X$4&lt;DB_Colleges!Z165,-1,0)),"")</f>
        <v/>
      </c>
      <c r="V171" s="1" t="str">
        <f aca="false">IF(AND(ISNUMBER($Y$4),ISNUMBER(DB_Colleges!AD165)),IF($Y$4&gt;=DB_Colleges!AD165+0.15,1,IF($Y$4&lt;DB_Colleges!AD165-0.2,-1,0)),"")</f>
        <v/>
      </c>
      <c r="W171" s="1" t="n">
        <f aca="false">IF(COUNT(U171:V171)=0,0,MIN(U171:V171))</f>
        <v>0</v>
      </c>
    </row>
    <row r="172" customFormat="false" ht="15" hidden="false" customHeight="true" outlineLevel="0" collapsed="false">
      <c r="A172" s="26" t="str">
        <f aca="false">IF(B172="","",IF(COUNTIF('My Colleges'!$B$8:$B$27,B172)&gt;0,"On list",""))</f>
        <v/>
      </c>
      <c r="B172" s="27" t="str">
        <f aca="false">IF(DB_Colleges!A166="","",DB_Colleges!A166)</f>
        <v>University of Virginia</v>
      </c>
      <c r="C172" s="26" t="str">
        <f aca="false">IF(B172="","",DB_Colleges!B166)</f>
        <v>Southeast Public</v>
      </c>
      <c r="D172" s="26" t="str">
        <f aca="false">IF(B172="","",DB_Colleges!C166&amp;", "&amp;DB_Colleges!D166)</f>
        <v>Charlottesville, VA</v>
      </c>
      <c r="E172" s="26" t="str">
        <f aca="false">IF(B172="","",IF(AND(NOT(ISNUMBER($X$4)),NOT(ISNUMBER($Y$4))),"Add scores",IF(NOT(ISNUMBER(DB_Colleges!Y166)),IF(OR(C172="Ivy League",C172="Highly Selective"),"Reach",IF(COUNT(U172:V172)=0,"No data",CHOOSE(W172+2,"Reach","Target","Likely"))),IF(DB_Colleges!Y166&lt;0.15,"Reach",IF(DB_Colleges!Y166&gt;=0.75,IF(W172&gt;=0,"Likely","Target"),IF(DB_Colleges!Y166&gt;=0.4,CHOOSE(W172+2,"Reach","Target","Likely"),IF(W172=1,"Target","Reach")))))))</f>
        <v>Reach</v>
      </c>
      <c r="F172" s="28" t="n">
        <f aca="false">IF(OR(B172="",NOT(ISNUMBER(DB_Colleges!Y166))),"",DB_Colleges!Y166)</f>
        <v>0.156</v>
      </c>
      <c r="G172" s="26" t="str">
        <f aca="false">IF(OR(B172="",NOT(ISNUMBER(DB_Colleges!Z166))),"",DB_Colleges!Z166&amp;"-"&amp;DB_Colleges!AA166)</f>
        <v>1410-1510</v>
      </c>
      <c r="H172" s="26" t="str">
        <f aca="false">IF(OR(B172="",NOT(ISNUMBER(DB_Colleges!AD166))),"",DB_Colleges!AD166)</f>
        <v/>
      </c>
      <c r="I172" s="29" t="n">
        <f aca="false">IF(B172="","",IF(COUNT(DB_Colleges!I166:O166)=0,IF(DB_Colleges!P166="Yes","Rolling","Check site"),MIN(DB_Colleges!I166:O166)))</f>
        <v>46327</v>
      </c>
      <c r="J172" s="26" t="str">
        <f aca="false">IF(OR(B172="",COUNT(DB_Colleges!I166:O166)=0),"",INDEX({"ED","ED II","EA","EA II","REA","RD","Priority"},MATCH(MIN(DB_Colleges!I166:O166),DB_Colleges!I166:O166,0)))</f>
        <v>ED</v>
      </c>
      <c r="K172" s="29" t="n">
        <f aca="false">IF(OR(B172="",NOT(ISNUMBER(DB_Colleges!N166))),"",DB_Colleges!N166)</f>
        <v>46392</v>
      </c>
      <c r="L172" s="26" t="str">
        <f aca="false">IF(B172="","",DB_Colleges!G166&amp;"")</f>
        <v>Common App; Coalition</v>
      </c>
      <c r="M172" s="30" t="str">
        <f aca="false">IF(OR(B172="",NOT(ISNUMBER(DB_Colleges!S166))),"",DB_Colleges!S166)</f>
        <v/>
      </c>
      <c r="N172" s="26" t="str">
        <f aca="false">IF(B172="","",DB_Colleges!U166&amp;"")</f>
        <v/>
      </c>
      <c r="O172" s="26" t="str">
        <f aca="false">IF(B172="","",IF(ISNUMBER(DB_Colleges!AH166),DB_Colleges!AH166,"Check"))</f>
        <v>Check</v>
      </c>
      <c r="P172" s="26" t="str">
        <f aca="false">IF(B172="","",DB_Colleges!W166&amp;"")</f>
        <v>Not required</v>
      </c>
      <c r="Q172" s="30" t="str">
        <f aca="false">IF(OR(B172="",NOT(ISNUMBER(DB_Colleges!AF166))),"",DB_Colleges!AF166)</f>
        <v/>
      </c>
      <c r="R172" s="28" t="str">
        <f aca="false">IF(OR(B172="",NOT(ISNUMBER(DB_Colleges!AG166))),"",DB_Colleges!AG166)</f>
        <v/>
      </c>
      <c r="S172" s="26" t="str">
        <f aca="false">IF(B172="","",DB_Colleges!AK166&amp;"")</f>
        <v>Typical dates, confirm</v>
      </c>
      <c r="T172" s="26" t="str">
        <f aca="false">IF(B172="","",DB_Colleges!AI166&amp;"")</f>
        <v>https://admission.virginia.edu/apply</v>
      </c>
      <c r="U172" s="1" t="n">
        <f aca="false">IF(AND(ISNUMBER($X$4),ISNUMBER(DB_Colleges!Z166),ISNUMBER(DB_Colleges!AA166)),IF($X$4&gt;=DB_Colleges!AA166,1,IF($X$4&lt;DB_Colleges!Z166,-1,0)),"")</f>
        <v>-1</v>
      </c>
      <c r="V172" s="1" t="str">
        <f aca="false">IF(AND(ISNUMBER($Y$4),ISNUMBER(DB_Colleges!AD166)),IF($Y$4&gt;=DB_Colleges!AD166+0.15,1,IF($Y$4&lt;DB_Colleges!AD166-0.2,-1,0)),"")</f>
        <v/>
      </c>
      <c r="W172" s="1" t="n">
        <f aca="false">IF(COUNT(U172:V172)=0,0,MIN(U172:V172))</f>
        <v>-1</v>
      </c>
    </row>
    <row r="173" customFormat="false" ht="15" hidden="false" customHeight="true" outlineLevel="0" collapsed="false">
      <c r="A173" s="26" t="str">
        <f aca="false">IF(B173="","",IF(COUNTIF('My Colleges'!$B$8:$B$27,B173)&gt;0,"On list",""))</f>
        <v/>
      </c>
      <c r="B173" s="27" t="str">
        <f aca="false">IF(DB_Colleges!A167="","",DB_Colleges!A167)</f>
        <v>Virginia Tech</v>
      </c>
      <c r="C173" s="26" t="str">
        <f aca="false">IF(B173="","",DB_Colleges!B167)</f>
        <v>Southeast Public</v>
      </c>
      <c r="D173" s="26" t="str">
        <f aca="false">IF(B173="","",DB_Colleges!C167&amp;", "&amp;DB_Colleges!D167)</f>
        <v>Blacksburg, VA</v>
      </c>
      <c r="E173" s="26" t="str">
        <f aca="false">IF(B173="","",IF(AND(NOT(ISNUMBER($X$4)),NOT(ISNUMBER($Y$4))),"Add scores",IF(NOT(ISNUMBER(DB_Colleges!Y167)),IF(OR(C173="Ivy League",C173="Highly Selective"),"Reach",IF(COUNT(U173:V173)=0,"No data",CHOOSE(W173+2,"Reach","Target","Likely"))),IF(DB_Colleges!Y167&lt;0.15,"Reach",IF(DB_Colleges!Y167&gt;=0.75,IF(W173&gt;=0,"Likely","Target"),IF(DB_Colleges!Y167&gt;=0.4,CHOOSE(W173+2,"Reach","Target","Likely"),IF(W173=1,"Target","Reach")))))))</f>
        <v>Reach</v>
      </c>
      <c r="F173" s="28" t="n">
        <f aca="false">IF(OR(B173="",NOT(ISNUMBER(DB_Colleges!Y167))),"",DB_Colleges!Y167)</f>
        <v>0.5478</v>
      </c>
      <c r="G173" s="26" t="str">
        <f aca="false">IF(OR(B173="",NOT(ISNUMBER(DB_Colleges!Z167))),"",DB_Colleges!Z167&amp;"-"&amp;DB_Colleges!AA167)</f>
        <v>1280-1450</v>
      </c>
      <c r="H173" s="26" t="n">
        <f aca="false">IF(OR(B173="",NOT(ISNUMBER(DB_Colleges!AD167))),"",DB_Colleges!AD167)</f>
        <v>3.97</v>
      </c>
      <c r="I173" s="29" t="n">
        <f aca="false">IF(B173="","",IF(COUNT(DB_Colleges!I167:O167)=0,IF(DB_Colleges!P167="Yes","Rolling","Check site"),MIN(DB_Colleges!I167:O167)))</f>
        <v>46327</v>
      </c>
      <c r="J173" s="26" t="str">
        <f aca="false">IF(OR(B173="",COUNT(DB_Colleges!I167:O167)=0),"",INDEX({"ED","ED II","EA","EA II","REA","RD","Priority"},MATCH(MIN(DB_Colleges!I167:O167),DB_Colleges!I167:O167,0)))</f>
        <v>EA</v>
      </c>
      <c r="K173" s="29" t="n">
        <f aca="false">IF(OR(B173="",NOT(ISNUMBER(DB_Colleges!N167))),"",DB_Colleges!N167)</f>
        <v>46402</v>
      </c>
      <c r="L173" s="26" t="str">
        <f aca="false">IF(B173="","",DB_Colleges!G167&amp;"")</f>
        <v>Common App</v>
      </c>
      <c r="M173" s="30" t="n">
        <f aca="false">IF(OR(B173="",NOT(ISNUMBER(DB_Colleges!S167))),"",DB_Colleges!S167)</f>
        <v>60</v>
      </c>
      <c r="N173" s="26" t="str">
        <f aca="false">IF(B173="","",DB_Colleges!U167&amp;"")</f>
        <v>Optional</v>
      </c>
      <c r="O173" s="26" t="n">
        <f aca="false">IF(B173="","",IF(ISNUMBER(DB_Colleges!AH167),DB_Colleges!AH167,"Check"))</f>
        <v>4</v>
      </c>
      <c r="P173" s="26" t="str">
        <f aca="false">IF(B173="","",DB_Colleges!W167&amp;"")</f>
        <v/>
      </c>
      <c r="Q173" s="30" t="n">
        <f aca="false">IF(OR(B173="",NOT(ISNUMBER(DB_Colleges!AF167))),"",DB_Colleges!AF167)</f>
        <v>11689</v>
      </c>
      <c r="R173" s="28" t="n">
        <f aca="false">IF(OR(B173="",NOT(ISNUMBER(DB_Colleges!AG167))),"",DB_Colleges!AG167)</f>
        <v>0.86</v>
      </c>
      <c r="S173" s="26" t="str">
        <f aca="false">IF(B173="","",DB_Colleges!AK167&amp;"")</f>
        <v>Mixed</v>
      </c>
      <c r="T173" s="26" t="str">
        <f aca="false">IF(B173="","",DB_Colleges!AI167&amp;"")</f>
        <v>https://www.vt.edu/admissions/undergraduate/apply/dates-and-deadlines.html</v>
      </c>
      <c r="U173" s="1" t="n">
        <f aca="false">IF(AND(ISNUMBER($X$4),ISNUMBER(DB_Colleges!Z167),ISNUMBER(DB_Colleges!AA167)),IF($X$4&gt;=DB_Colleges!AA167,1,IF($X$4&lt;DB_Colleges!Z167,-1,0)),"")</f>
        <v>-1</v>
      </c>
      <c r="V173" s="1" t="n">
        <f aca="false">IF(AND(ISNUMBER($Y$4),ISNUMBER(DB_Colleges!AD167)),IF($Y$4&gt;=DB_Colleges!AD167+0.15,1,IF($Y$4&lt;DB_Colleges!AD167-0.2,-1,0)),"")</f>
        <v>-1</v>
      </c>
      <c r="W173" s="1" t="n">
        <f aca="false">IF(COUNT(U173:V173)=0,0,MIN(U173:V173))</f>
        <v>-1</v>
      </c>
    </row>
    <row r="174" customFormat="false" ht="15" hidden="false" customHeight="true" outlineLevel="0" collapsed="false">
      <c r="A174" s="26" t="str">
        <f aca="false">IF(B174="","",IF(COUNTIF('My Colleges'!$B$8:$B$27,B174)&gt;0,"On list",""))</f>
        <v/>
      </c>
      <c r="B174" s="27" t="str">
        <f aca="false">IF(DB_Colleges!A168="","",DB_Colleges!A168)</f>
        <v>William &amp; Mary</v>
      </c>
      <c r="C174" s="26" t="str">
        <f aca="false">IF(B174="","",DB_Colleges!B168)</f>
        <v>Southeast Public</v>
      </c>
      <c r="D174" s="26" t="str">
        <f aca="false">IF(B174="","",DB_Colleges!C168&amp;", "&amp;DB_Colleges!D168)</f>
        <v>Williamsburg, VA</v>
      </c>
      <c r="E174" s="26" t="str">
        <f aca="false">IF(B174="","",IF(AND(NOT(ISNUMBER($X$4)),NOT(ISNUMBER($Y$4))),"Add scores",IF(NOT(ISNUMBER(DB_Colleges!Y168)),IF(OR(C174="Ivy League",C174="Highly Selective"),"Reach",IF(COUNT(U174:V174)=0,"No data",CHOOSE(W174+2,"Reach","Target","Likely"))),IF(DB_Colleges!Y168&lt;0.15,"Reach",IF(DB_Colleges!Y168&gt;=0.75,IF(W174&gt;=0,"Likely","Target"),IF(DB_Colleges!Y168&gt;=0.4,CHOOSE(W174+2,"Reach","Target","Likely"),IF(W174=1,"Target","Reach")))))))</f>
        <v>Reach</v>
      </c>
      <c r="F174" s="28" t="n">
        <f aca="false">IF(OR(B174="",NOT(ISNUMBER(DB_Colleges!Y168))),"",DB_Colleges!Y168)</f>
        <v>0.3407</v>
      </c>
      <c r="G174" s="26" t="str">
        <f aca="false">IF(OR(B174="",NOT(ISNUMBER(DB_Colleges!Z168))),"",DB_Colleges!Z168&amp;"-"&amp;DB_Colleges!AA168)</f>
        <v>1400-1530</v>
      </c>
      <c r="H174" s="26" t="str">
        <f aca="false">IF(OR(B174="",NOT(ISNUMBER(DB_Colleges!AD168))),"",DB_Colleges!AD168)</f>
        <v/>
      </c>
      <c r="I174" s="29" t="n">
        <f aca="false">IF(B174="","",IF(COUNT(DB_Colleges!I168:O168)=0,IF(DB_Colleges!P168="Yes","Rolling","Check site"),MIN(DB_Colleges!I168:O168)))</f>
        <v>46327</v>
      </c>
      <c r="J174" s="26" t="str">
        <f aca="false">IF(OR(B174="",COUNT(DB_Colleges!I168:O168)=0),"",INDEX({"ED","ED II","EA","EA II","REA","RD","Priority"},MATCH(MIN(DB_Colleges!I168:O168),DB_Colleges!I168:O168,0)))</f>
        <v>ED</v>
      </c>
      <c r="K174" s="29" t="n">
        <f aca="false">IF(OR(B174="",NOT(ISNUMBER(DB_Colleges!N168))),"",DB_Colleges!N168)</f>
        <v>46392</v>
      </c>
      <c r="L174" s="26" t="str">
        <f aca="false">IF(B174="","",DB_Colleges!G168&amp;"")</f>
        <v>Common App</v>
      </c>
      <c r="M174" s="30" t="n">
        <f aca="false">IF(OR(B174="",NOT(ISNUMBER(DB_Colleges!S168))),"",DB_Colleges!S168)</f>
        <v>75</v>
      </c>
      <c r="N174" s="26" t="str">
        <f aca="false">IF(B174="","",DB_Colleges!U168&amp;"")</f>
        <v/>
      </c>
      <c r="O174" s="26" t="n">
        <f aca="false">IF(B174="","",IF(ISNUMBER(DB_Colleges!AH168),DB_Colleges!AH168,"Check"))</f>
        <v>0</v>
      </c>
      <c r="P174" s="26" t="str">
        <f aca="false">IF(B174="","",DB_Colleges!W168&amp;"")</f>
        <v>Required for some</v>
      </c>
      <c r="Q174" s="30" t="n">
        <f aca="false">IF(OR(B174="",NOT(ISNUMBER(DB_Colleges!AF168))),"",DB_Colleges!AF168)</f>
        <v>3106</v>
      </c>
      <c r="R174" s="28" t="n">
        <f aca="false">IF(OR(B174="",NOT(ISNUMBER(DB_Colleges!AG168))),"",DB_Colleges!AG168)</f>
        <v>0.89</v>
      </c>
      <c r="S174" s="26" t="str">
        <f aca="false">IF(B174="","",DB_Colleges!AK168&amp;"")</f>
        <v>Mixed</v>
      </c>
      <c r="T174" s="26" t="str">
        <f aca="false">IF(B174="","",DB_Colleges!AI168&amp;"")</f>
        <v>https://www.wm.edu/admission/undergraduateadmission/how-to-apply/first-year-applicants/application-checklist/</v>
      </c>
      <c r="U174" s="1" t="n">
        <f aca="false">IF(AND(ISNUMBER($X$4),ISNUMBER(DB_Colleges!Z168),ISNUMBER(DB_Colleges!AA168)),IF($X$4&gt;=DB_Colleges!AA168,1,IF($X$4&lt;DB_Colleges!Z168,-1,0)),"")</f>
        <v>-1</v>
      </c>
      <c r="V174" s="1" t="str">
        <f aca="false">IF(AND(ISNUMBER($Y$4),ISNUMBER(DB_Colleges!AD168)),IF($Y$4&gt;=DB_Colleges!AD168+0.15,1,IF($Y$4&lt;DB_Colleges!AD168-0.2,-1,0)),"")</f>
        <v/>
      </c>
      <c r="W174" s="1" t="n">
        <f aca="false">IF(COUNT(U174:V174)=0,0,MIN(U174:V174))</f>
        <v>-1</v>
      </c>
    </row>
    <row r="175" customFormat="false" ht="15" hidden="false" customHeight="true" outlineLevel="0" collapsed="false">
      <c r="A175" s="26" t="str">
        <f aca="false">IF(B175="","",IF(COUNTIF('My Colleges'!$B$8:$B$27,B175)&gt;0,"On list",""))</f>
        <v/>
      </c>
      <c r="B175" s="27" t="str">
        <f aca="false">IF(DB_Colleges!A169="","",DB_Colleges!A169)</f>
        <v>Virginia Commonwealth University</v>
      </c>
      <c r="C175" s="26" t="str">
        <f aca="false">IF(B175="","",DB_Colleges!B169)</f>
        <v>Southeast Public</v>
      </c>
      <c r="D175" s="26" t="str">
        <f aca="false">IF(B175="","",DB_Colleges!C169&amp;", "&amp;DB_Colleges!D169)</f>
        <v>Richmond, VA</v>
      </c>
      <c r="E175" s="26" t="str">
        <f aca="false">IF(B175="","",IF(AND(NOT(ISNUMBER($X$4)),NOT(ISNUMBER($Y$4))),"Add scores",IF(NOT(ISNUMBER(DB_Colleges!Y169)),IF(OR(C175="Ivy League",C175="Highly Selective"),"Reach",IF(COUNT(U175:V175)=0,"No data",CHOOSE(W175+2,"Reach","Target","Likely"))),IF(DB_Colleges!Y169&lt;0.15,"Reach",IF(DB_Colleges!Y169&gt;=0.75,IF(W175&gt;=0,"Likely","Target"),IF(DB_Colleges!Y169&gt;=0.4,CHOOSE(W175+2,"Reach","Target","Likely"),IF(W175=1,"Target","Reach")))))))</f>
        <v>Target</v>
      </c>
      <c r="F175" s="28" t="n">
        <f aca="false">IF(OR(B175="",NOT(ISNUMBER(DB_Colleges!Y169))),"",DB_Colleges!Y169)</f>
        <v>0.9262</v>
      </c>
      <c r="G175" s="26" t="str">
        <f aca="false">IF(OR(B175="",NOT(ISNUMBER(DB_Colleges!Z169))),"",DB_Colleges!Z169&amp;"-"&amp;DB_Colleges!AA169)</f>
        <v>1030-1270</v>
      </c>
      <c r="H175" s="26" t="n">
        <f aca="false">IF(OR(B175="",NOT(ISNUMBER(DB_Colleges!AD169))),"",DB_Colleges!AD169)</f>
        <v>3.75</v>
      </c>
      <c r="I175" s="29" t="n">
        <f aca="false">IF(B175="","",IF(COUNT(DB_Colleges!I169:O169)=0,IF(DB_Colleges!P169="Yes","Rolling","Check site"),MIN(DB_Colleges!I169:O169)))</f>
        <v>46327</v>
      </c>
      <c r="J175" s="26" t="str">
        <f aca="false">IF(OR(B175="",COUNT(DB_Colleges!I169:O169)=0),"",INDEX({"ED","ED II","EA","EA II","REA","RD","Priority"},MATCH(MIN(DB_Colleges!I169:O169),DB_Colleges!I169:O169,0)))</f>
        <v>Priority</v>
      </c>
      <c r="K175" s="29" t="n">
        <f aca="false">IF(OR(B175="",NOT(ISNUMBER(DB_Colleges!N169))),"",DB_Colleges!N169)</f>
        <v>46402</v>
      </c>
      <c r="L175" s="26" t="str">
        <f aca="false">IF(B175="","",DB_Colleges!G169&amp;"")</f>
        <v>Common App</v>
      </c>
      <c r="M175" s="30" t="n">
        <f aca="false">IF(OR(B175="",NOT(ISNUMBER(DB_Colleges!S169))),"",DB_Colleges!S169)</f>
        <v>70</v>
      </c>
      <c r="N175" s="26" t="str">
        <f aca="false">IF(B175="","",DB_Colleges!U169&amp;"")</f>
        <v>Optional</v>
      </c>
      <c r="O175" s="26" t="str">
        <f aca="false">IF(B175="","",IF(ISNUMBER(DB_Colleges!AH169),DB_Colleges!AH169,"Check"))</f>
        <v>Check</v>
      </c>
      <c r="P175" s="26" t="str">
        <f aca="false">IF(B175="","",DB_Colleges!W169&amp;"")</f>
        <v/>
      </c>
      <c r="Q175" s="30" t="n">
        <f aca="false">IF(OR(B175="",NOT(ISNUMBER(DB_Colleges!AF169))),"",DB_Colleges!AF169)</f>
        <v>17512</v>
      </c>
      <c r="R175" s="28" t="n">
        <f aca="false">IF(OR(B175="",NOT(ISNUMBER(DB_Colleges!AG169))),"",DB_Colleges!AG169)</f>
        <v>0.63</v>
      </c>
      <c r="S175" s="26" t="str">
        <f aca="false">IF(B175="","",DB_Colleges!AK169&amp;"")</f>
        <v>Mixed</v>
      </c>
      <c r="T175" s="26" t="str">
        <f aca="false">IF(B175="","",DB_Colleges!AI169&amp;"")</f>
        <v>https://admissions.vcu.edu/apply-to-vcu/undergraduate/first-year/</v>
      </c>
      <c r="U175" s="1" t="n">
        <f aca="false">IF(AND(ISNUMBER($X$4),ISNUMBER(DB_Colleges!Z169),ISNUMBER(DB_Colleges!AA169)),IF($X$4&gt;=DB_Colleges!AA169,1,IF($X$4&lt;DB_Colleges!Z169,-1,0)),"")</f>
        <v>-1</v>
      </c>
      <c r="V175" s="1" t="n">
        <f aca="false">IF(AND(ISNUMBER($Y$4),ISNUMBER(DB_Colleges!AD169)),IF($Y$4&gt;=DB_Colleges!AD169+0.15,1,IF($Y$4&lt;DB_Colleges!AD169-0.2,-1,0)),"")</f>
        <v>-1</v>
      </c>
      <c r="W175" s="1" t="n">
        <f aca="false">IF(COUNT(U175:V175)=0,0,MIN(U175:V175))</f>
        <v>-1</v>
      </c>
    </row>
    <row r="176" customFormat="false" ht="15" hidden="false" customHeight="true" outlineLevel="0" collapsed="false">
      <c r="A176" s="26" t="str">
        <f aca="false">IF(B176="","",IF(COUNTIF('My Colleges'!$B$8:$B$27,B176)&gt;0,"On list",""))</f>
        <v/>
      </c>
      <c r="B176" s="27" t="str">
        <f aca="false">IF(DB_Colleges!A170="","",DB_Colleges!A170)</f>
        <v>George Mason University</v>
      </c>
      <c r="C176" s="26" t="str">
        <f aca="false">IF(B176="","",DB_Colleges!B170)</f>
        <v>Southeast Public</v>
      </c>
      <c r="D176" s="26" t="str">
        <f aca="false">IF(B176="","",DB_Colleges!C170&amp;", "&amp;DB_Colleges!D170)</f>
        <v>Fairfax, VA</v>
      </c>
      <c r="E176" s="26" t="str">
        <f aca="false">IF(B176="","",IF(AND(NOT(ISNUMBER($X$4)),NOT(ISNUMBER($Y$4))),"Add scores",IF(NOT(ISNUMBER(DB_Colleges!Y170)),IF(OR(C176="Ivy League",C176="Highly Selective"),"Reach",IF(COUNT(U176:V176)=0,"No data",CHOOSE(W176+2,"Reach","Target","Likely"))),IF(DB_Colleges!Y170&lt;0.15,"Reach",IF(DB_Colleges!Y170&gt;=0.75,IF(W176&gt;=0,"Likely","Target"),IF(DB_Colleges!Y170&gt;=0.4,CHOOSE(W176+2,"Reach","Target","Likely"),IF(W176=1,"Target","Reach")))))))</f>
        <v>Target</v>
      </c>
      <c r="F176" s="28" t="n">
        <f aca="false">IF(OR(B176="",NOT(ISNUMBER(DB_Colleges!Y170))),"",DB_Colleges!Y170)</f>
        <v>0.8748</v>
      </c>
      <c r="G176" s="26" t="str">
        <f aca="false">IF(OR(B176="",NOT(ISNUMBER(DB_Colleges!Z170))),"",DB_Colleges!Z170&amp;"-"&amp;DB_Colleges!AA170)</f>
        <v>1160-1360</v>
      </c>
      <c r="H176" s="26" t="n">
        <f aca="false">IF(OR(B176="",NOT(ISNUMBER(DB_Colleges!AD170))),"",DB_Colleges!AD170)</f>
        <v>3.68</v>
      </c>
      <c r="I176" s="29" t="n">
        <f aca="false">IF(B176="","",IF(COUNT(DB_Colleges!I170:O170)=0,IF(DB_Colleges!P170="Yes","Rolling","Check site"),MIN(DB_Colleges!I170:O170)))</f>
        <v>46327</v>
      </c>
      <c r="J176" s="26" t="str">
        <f aca="false">IF(OR(B176="",COUNT(DB_Colleges!I170:O170)=0),"",INDEX({"ED","ED II","EA","EA II","REA","RD","Priority"},MATCH(MIN(DB_Colleges!I170:O170),DB_Colleges!I170:O170,0)))</f>
        <v>EA</v>
      </c>
      <c r="K176" s="29" t="n">
        <f aca="false">IF(OR(B176="",NOT(ISNUMBER(DB_Colleges!N170))),"",DB_Colleges!N170)</f>
        <v>46419</v>
      </c>
      <c r="L176" s="26" t="str">
        <f aca="false">IF(B176="","",DB_Colleges!G170&amp;"")</f>
        <v>Common App</v>
      </c>
      <c r="M176" s="30" t="str">
        <f aca="false">IF(OR(B176="",NOT(ISNUMBER(DB_Colleges!S170))),"",DB_Colleges!S170)</f>
        <v/>
      </c>
      <c r="N176" s="26" t="str">
        <f aca="false">IF(B176="","",DB_Colleges!U170&amp;"")</f>
        <v>Optional</v>
      </c>
      <c r="O176" s="26" t="str">
        <f aca="false">IF(B176="","",IF(ISNUMBER(DB_Colleges!AH170),DB_Colleges!AH170,"Check"))</f>
        <v>Check</v>
      </c>
      <c r="P176" s="26" t="str">
        <f aca="false">IF(B176="","",DB_Colleges!W170&amp;"")</f>
        <v/>
      </c>
      <c r="Q176" s="30" t="n">
        <f aca="false">IF(OR(B176="",NOT(ISNUMBER(DB_Colleges!AF170))),"",DB_Colleges!AF170)</f>
        <v>11942</v>
      </c>
      <c r="R176" s="28" t="n">
        <f aca="false">IF(OR(B176="",NOT(ISNUMBER(DB_Colleges!AG170))),"",DB_Colleges!AG170)</f>
        <v>0.68</v>
      </c>
      <c r="S176" s="26" t="str">
        <f aca="false">IF(B176="","",DB_Colleges!AK170&amp;"")</f>
        <v>Mixed</v>
      </c>
      <c r="T176" s="26" t="str">
        <f aca="false">IF(B176="","",DB_Colleges!AI170&amp;"")</f>
        <v>https://www.gmu.edu/freshman/dates-deadlines</v>
      </c>
      <c r="U176" s="1" t="n">
        <f aca="false">IF(AND(ISNUMBER($X$4),ISNUMBER(DB_Colleges!Z170),ISNUMBER(DB_Colleges!AA170)),IF($X$4&gt;=DB_Colleges!AA170,1,IF($X$4&lt;DB_Colleges!Z170,-1,0)),"")</f>
        <v>-1</v>
      </c>
      <c r="V176" s="1" t="n">
        <f aca="false">IF(AND(ISNUMBER($Y$4),ISNUMBER(DB_Colleges!AD170)),IF($Y$4&gt;=DB_Colleges!AD170+0.15,1,IF($Y$4&lt;DB_Colleges!AD170-0.2,-1,0)),"")</f>
        <v>0</v>
      </c>
      <c r="W176" s="1" t="n">
        <f aca="false">IF(COUNT(U176:V176)=0,0,MIN(U176:V176))</f>
        <v>-1</v>
      </c>
    </row>
    <row r="177" customFormat="false" ht="15" hidden="false" customHeight="true" outlineLevel="0" collapsed="false">
      <c r="A177" s="26" t="str">
        <f aca="false">IF(B177="","",IF(COUNTIF('My Colleges'!$B$8:$B$27,B177)&gt;0,"On list",""))</f>
        <v/>
      </c>
      <c r="B177" s="27" t="str">
        <f aca="false">IF(DB_Colleges!A171="","",DB_Colleges!A171)</f>
        <v>University of Mississippi</v>
      </c>
      <c r="C177" s="26" t="str">
        <f aca="false">IF(B177="","",DB_Colleges!B171)</f>
        <v>Southeast Public</v>
      </c>
      <c r="D177" s="26" t="str">
        <f aca="false">IF(B177="","",DB_Colleges!C171&amp;", "&amp;DB_Colleges!D171)</f>
        <v>University, MS</v>
      </c>
      <c r="E177" s="26" t="str">
        <f aca="false">IF(B177="","",IF(AND(NOT(ISNUMBER($X$4)),NOT(ISNUMBER($Y$4))),"Add scores",IF(NOT(ISNUMBER(DB_Colleges!Y171)),IF(OR(C177="Ivy League",C177="Highly Selective"),"Reach",IF(COUNT(U177:V177)=0,"No data",CHOOSE(W177+2,"Reach","Target","Likely"))),IF(DB_Colleges!Y171&lt;0.15,"Reach",IF(DB_Colleges!Y171&gt;=0.75,IF(W177&gt;=0,"Likely","Target"),IF(DB_Colleges!Y171&gt;=0.4,CHOOSE(W177+2,"Reach","Target","Likely"),IF(W177=1,"Target","Reach")))))))</f>
        <v>Target</v>
      </c>
      <c r="F177" s="28" t="n">
        <f aca="false">IF(OR(B177="",NOT(ISNUMBER(DB_Colleges!Y171))),"",DB_Colleges!Y171)</f>
        <v>0.9658</v>
      </c>
      <c r="G177" s="26" t="str">
        <f aca="false">IF(OR(B177="",NOT(ISNUMBER(DB_Colleges!Z171))),"",DB_Colleges!Z171&amp;"-"&amp;DB_Colleges!AA171)</f>
        <v>1000-1200</v>
      </c>
      <c r="H177" s="26" t="n">
        <f aca="false">IF(OR(B177="",NOT(ISNUMBER(DB_Colleges!AD171))),"",DB_Colleges!AD171)</f>
        <v>3.6</v>
      </c>
      <c r="I177" s="29" t="str">
        <f aca="false">IF(B177="","",IF(COUNT(DB_Colleges!I171:O171)=0,IF(DB_Colleges!P171="Yes","Rolling","Check site"),MIN(DB_Colleges!I171:O171)))</f>
        <v>Rolling</v>
      </c>
      <c r="J177" s="26" t="str">
        <f aca="false">IF(OR(B177="",COUNT(DB_Colleges!I171:O171)=0),"",INDEX({"ED","ED II","EA","EA II","REA","RD","Priority"},MATCH(MIN(DB_Colleges!I171:O171),DB_Colleges!I171:O171,0)))</f>
        <v/>
      </c>
      <c r="K177" s="29" t="str">
        <f aca="false">IF(OR(B177="",NOT(ISNUMBER(DB_Colleges!N171))),"",DB_Colleges!N171)</f>
        <v/>
      </c>
      <c r="L177" s="26" t="str">
        <f aca="false">IF(B177="","",DB_Colleges!G171&amp;"")</f>
        <v>Common App; School portal</v>
      </c>
      <c r="M177" s="30" t="str">
        <f aca="false">IF(OR(B177="",NOT(ISNUMBER(DB_Colleges!S171))),"",DB_Colleges!S171)</f>
        <v/>
      </c>
      <c r="N177" s="26" t="str">
        <f aca="false">IF(B177="","",DB_Colleges!U171&amp;"")</f>
        <v>Flexible</v>
      </c>
      <c r="O177" s="26" t="str">
        <f aca="false">IF(B177="","",IF(ISNUMBER(DB_Colleges!AH171),DB_Colleges!AH171,"Check"))</f>
        <v>Check</v>
      </c>
      <c r="P177" s="26" t="str">
        <f aca="false">IF(B177="","",DB_Colleges!W171&amp;"")</f>
        <v/>
      </c>
      <c r="Q177" s="30" t="n">
        <f aca="false">IF(OR(B177="",NOT(ISNUMBER(DB_Colleges!AF171))),"",DB_Colleges!AF171)</f>
        <v>8945</v>
      </c>
      <c r="R177" s="28" t="n">
        <f aca="false">IF(OR(B177="",NOT(ISNUMBER(DB_Colleges!AG171))),"",DB_Colleges!AG171)</f>
        <v>0.72</v>
      </c>
      <c r="S177" s="26" t="str">
        <f aca="false">IF(B177="","",DB_Colleges!AK171&amp;"")</f>
        <v>Typical dates, confirm</v>
      </c>
      <c r="T177" s="26" t="str">
        <f aca="false">IF(B177="","",DB_Colleges!AI171&amp;"")</f>
        <v>https://olemiss.edu/admissions/undergraduate-admissions/application-process/</v>
      </c>
      <c r="U177" s="1" t="n">
        <f aca="false">IF(AND(ISNUMBER($X$4),ISNUMBER(DB_Colleges!Z171),ISNUMBER(DB_Colleges!AA171)),IF($X$4&gt;=DB_Colleges!AA171,1,IF($X$4&lt;DB_Colleges!Z171,-1,0)),"")</f>
        <v>-1</v>
      </c>
      <c r="V177" s="1" t="n">
        <f aca="false">IF(AND(ISNUMBER($Y$4),ISNUMBER(DB_Colleges!AD171)),IF($Y$4&gt;=DB_Colleges!AD171+0.15,1,IF($Y$4&lt;DB_Colleges!AD171-0.2,-1,0)),"")</f>
        <v>0</v>
      </c>
      <c r="W177" s="1" t="n">
        <f aca="false">IF(COUNT(U177:V177)=0,0,MIN(U177:V177))</f>
        <v>-1</v>
      </c>
    </row>
    <row r="178" customFormat="false" ht="15" hidden="false" customHeight="true" outlineLevel="0" collapsed="false">
      <c r="A178" s="26" t="str">
        <f aca="false">IF(B178="","",IF(COUNTIF('My Colleges'!$B$8:$B$27,B178)&gt;0,"On list",""))</f>
        <v/>
      </c>
      <c r="B178" s="27" t="str">
        <f aca="false">IF(DB_Colleges!A172="","",DB_Colleges!A172)</f>
        <v>Mississippi State University</v>
      </c>
      <c r="C178" s="26" t="str">
        <f aca="false">IF(B178="","",DB_Colleges!B172)</f>
        <v>Southeast Public</v>
      </c>
      <c r="D178" s="26" t="str">
        <f aca="false">IF(B178="","",DB_Colleges!C172&amp;", "&amp;DB_Colleges!D172)</f>
        <v>Mississippi State, MS</v>
      </c>
      <c r="E178" s="26" t="str">
        <f aca="false">IF(B178="","",IF(AND(NOT(ISNUMBER($X$4)),NOT(ISNUMBER($Y$4))),"Add scores",IF(NOT(ISNUMBER(DB_Colleges!Y172)),IF(OR(C178="Ivy League",C178="Highly Selective"),"Reach",IF(COUNT(U178:V178)=0,"No data",CHOOSE(W178+2,"Reach","Target","Likely"))),IF(DB_Colleges!Y172&lt;0.15,"Reach",IF(DB_Colleges!Y172&gt;=0.75,IF(W178&gt;=0,"Likely","Target"),IF(DB_Colleges!Y172&gt;=0.4,CHOOSE(W178+2,"Reach","Target","Likely"),IF(W178=1,"Target","Reach")))))))</f>
        <v>Target</v>
      </c>
      <c r="F178" s="28" t="n">
        <f aca="false">IF(OR(B178="",NOT(ISNUMBER(DB_Colleges!Y172))),"",DB_Colleges!Y172)</f>
        <v>0.7764</v>
      </c>
      <c r="G178" s="26" t="str">
        <f aca="false">IF(OR(B178="",NOT(ISNUMBER(DB_Colleges!Z172))),"",DB_Colleges!Z172&amp;"-"&amp;DB_Colleges!AA172)</f>
        <v>1100-1350</v>
      </c>
      <c r="H178" s="26" t="n">
        <f aca="false">IF(OR(B178="",NOT(ISNUMBER(DB_Colleges!AD172))),"",DB_Colleges!AD172)</f>
        <v>3.58</v>
      </c>
      <c r="I178" s="29" t="str">
        <f aca="false">IF(B178="","",IF(COUNT(DB_Colleges!I172:O172)=0,IF(DB_Colleges!P172="Yes","Rolling","Check site"),MIN(DB_Colleges!I172:O172)))</f>
        <v>Rolling</v>
      </c>
      <c r="J178" s="26" t="str">
        <f aca="false">IF(OR(B178="",COUNT(DB_Colleges!I172:O172)=0),"",INDEX({"ED","ED II","EA","EA II","REA","RD","Priority"},MATCH(MIN(DB_Colleges!I172:O172),DB_Colleges!I172:O172,0)))</f>
        <v/>
      </c>
      <c r="K178" s="29" t="str">
        <f aca="false">IF(OR(B178="",NOT(ISNUMBER(DB_Colleges!N172))),"",DB_Colleges!N172)</f>
        <v/>
      </c>
      <c r="L178" s="26" t="str">
        <f aca="false">IF(B178="","",DB_Colleges!G172&amp;"")</f>
        <v>Common App</v>
      </c>
      <c r="M178" s="30" t="str">
        <f aca="false">IF(OR(B178="",NOT(ISNUMBER(DB_Colleges!S172))),"",DB_Colleges!S172)</f>
        <v/>
      </c>
      <c r="N178" s="26" t="str">
        <f aca="false">IF(B178="","",DB_Colleges!U172&amp;"")</f>
        <v>Flexible</v>
      </c>
      <c r="O178" s="26" t="str">
        <f aca="false">IF(B178="","",IF(ISNUMBER(DB_Colleges!AH172),DB_Colleges!AH172,"Check"))</f>
        <v>Check</v>
      </c>
      <c r="P178" s="26" t="str">
        <f aca="false">IF(B178="","",DB_Colleges!W172&amp;"")</f>
        <v/>
      </c>
      <c r="Q178" s="30" t="n">
        <f aca="false">IF(OR(B178="",NOT(ISNUMBER(DB_Colleges!AF172))),"",DB_Colleges!AF172)</f>
        <v>14332</v>
      </c>
      <c r="R178" s="28" t="n">
        <f aca="false">IF(OR(B178="",NOT(ISNUMBER(DB_Colleges!AG172))),"",DB_Colleges!AG172)</f>
        <v>0.67</v>
      </c>
      <c r="S178" s="26" t="str">
        <f aca="false">IF(B178="","",DB_Colleges!AK172&amp;"")</f>
        <v>Typical dates, confirm</v>
      </c>
      <c r="T178" s="26" t="str">
        <f aca="false">IF(B178="","",DB_Colleges!AI172&amp;"")</f>
        <v>https://www.admissions.msstate.edu/</v>
      </c>
      <c r="U178" s="1" t="n">
        <f aca="false">IF(AND(ISNUMBER($X$4),ISNUMBER(DB_Colleges!Z172),ISNUMBER(DB_Colleges!AA172)),IF($X$4&gt;=DB_Colleges!AA172,1,IF($X$4&lt;DB_Colleges!Z172,-1,0)),"")</f>
        <v>-1</v>
      </c>
      <c r="V178" s="1" t="n">
        <f aca="false">IF(AND(ISNUMBER($Y$4),ISNUMBER(DB_Colleges!AD172)),IF($Y$4&gt;=DB_Colleges!AD172+0.15,1,IF($Y$4&lt;DB_Colleges!AD172-0.2,-1,0)),"")</f>
        <v>0</v>
      </c>
      <c r="W178" s="1" t="n">
        <f aca="false">IF(COUNT(U178:V178)=0,0,MIN(U178:V178))</f>
        <v>-1</v>
      </c>
    </row>
    <row r="179" customFormat="false" ht="15" hidden="false" customHeight="true" outlineLevel="0" collapsed="false">
      <c r="A179" s="26" t="str">
        <f aca="false">IF(B179="","",IF(COUNTIF('My Colleges'!$B$8:$B$27,B179)&gt;0,"On list",""))</f>
        <v/>
      </c>
      <c r="B179" s="27" t="str">
        <f aca="false">IF(DB_Colleges!A173="","",DB_Colleges!A173)</f>
        <v>Louisiana State University</v>
      </c>
      <c r="C179" s="26" t="str">
        <f aca="false">IF(B179="","",DB_Colleges!B173)</f>
        <v>Southeast Public</v>
      </c>
      <c r="D179" s="26" t="str">
        <f aca="false">IF(B179="","",DB_Colleges!C173&amp;", "&amp;DB_Colleges!D173)</f>
        <v>Baton Rouge, LA</v>
      </c>
      <c r="E179" s="26" t="str">
        <f aca="false">IF(B179="","",IF(AND(NOT(ISNUMBER($X$4)),NOT(ISNUMBER($Y$4))),"Add scores",IF(NOT(ISNUMBER(DB_Colleges!Y173)),IF(OR(C179="Ivy League",C179="Highly Selective"),"Reach",IF(COUNT(U179:V179)=0,"No data",CHOOSE(W179+2,"Reach","Target","Likely"))),IF(DB_Colleges!Y173&lt;0.15,"Reach",IF(DB_Colleges!Y173&gt;=0.75,IF(W179&gt;=0,"Likely","Target"),IF(DB_Colleges!Y173&gt;=0.4,CHOOSE(W179+2,"Reach","Target","Likely"),IF(W179=1,"Target","Reach")))))))</f>
        <v>Reach</v>
      </c>
      <c r="F179" s="28" t="n">
        <f aca="false">IF(OR(B179="",NOT(ISNUMBER(DB_Colleges!Y173))),"",DB_Colleges!Y173)</f>
        <v>0.7333</v>
      </c>
      <c r="G179" s="26" t="str">
        <f aca="false">IF(OR(B179="",NOT(ISNUMBER(DB_Colleges!Z173))),"",DB_Colleges!Z173&amp;"-"&amp;DB_Colleges!AA173)</f>
        <v>1150-1330</v>
      </c>
      <c r="H179" s="26" t="n">
        <f aca="false">IF(OR(B179="",NOT(ISNUMBER(DB_Colleges!AD173))),"",DB_Colleges!AD173)</f>
        <v>3.77</v>
      </c>
      <c r="I179" s="29" t="str">
        <f aca="false">IF(B179="","",IF(COUNT(DB_Colleges!I173:O173)=0,IF(DB_Colleges!P173="Yes","Rolling","Check site"),MIN(DB_Colleges!I173:O173)))</f>
        <v>Check site</v>
      </c>
      <c r="J179" s="26" t="str">
        <f aca="false">IF(OR(B179="",COUNT(DB_Colleges!I173:O173)=0),"",INDEX({"ED","ED II","EA","EA II","REA","RD","Priority"},MATCH(MIN(DB_Colleges!I173:O173),DB_Colleges!I173:O173,0)))</f>
        <v/>
      </c>
      <c r="K179" s="29" t="str">
        <f aca="false">IF(OR(B179="",NOT(ISNUMBER(DB_Colleges!N173))),"",DB_Colleges!N173)</f>
        <v/>
      </c>
      <c r="L179" s="26" t="str">
        <f aca="false">IF(B179="","",DB_Colleges!G173&amp;"")</f>
        <v/>
      </c>
      <c r="M179" s="30" t="n">
        <f aca="false">IF(OR(B179="",NOT(ISNUMBER(DB_Colleges!S173))),"",DB_Colleges!S173)</f>
        <v>50</v>
      </c>
      <c r="N179" s="26" t="str">
        <f aca="false">IF(B179="","",DB_Colleges!U173&amp;"")</f>
        <v/>
      </c>
      <c r="O179" s="26" t="str">
        <f aca="false">IF(B179="","",IF(ISNUMBER(DB_Colleges!AH173),DB_Colleges!AH173,"Check"))</f>
        <v>Check</v>
      </c>
      <c r="P179" s="26" t="str">
        <f aca="false">IF(B179="","",DB_Colleges!W173&amp;"")</f>
        <v/>
      </c>
      <c r="Q179" s="30" t="n">
        <f aca="false">IF(OR(B179="",NOT(ISNUMBER(DB_Colleges!AF173))),"",DB_Colleges!AF173)</f>
        <v>13056</v>
      </c>
      <c r="R179" s="28" t="n">
        <f aca="false">IF(OR(B179="",NOT(ISNUMBER(DB_Colleges!AG173))),"",DB_Colleges!AG173)</f>
        <v>0.69</v>
      </c>
      <c r="S179" s="26" t="str">
        <f aca="false">IF(B179="","",DB_Colleges!AK173&amp;"")</f>
        <v>Aggregator only</v>
      </c>
      <c r="T179" s="26" t="str">
        <f aca="false">IF(B179="","",DB_Colleges!AI173&amp;"")</f>
        <v/>
      </c>
      <c r="U179" s="1" t="n">
        <f aca="false">IF(AND(ISNUMBER($X$4),ISNUMBER(DB_Colleges!Z173),ISNUMBER(DB_Colleges!AA173)),IF($X$4&gt;=DB_Colleges!AA173,1,IF($X$4&lt;DB_Colleges!Z173,-1,0)),"")</f>
        <v>-1</v>
      </c>
      <c r="V179" s="1" t="n">
        <f aca="false">IF(AND(ISNUMBER($Y$4),ISNUMBER(DB_Colleges!AD173)),IF($Y$4&gt;=DB_Colleges!AD173+0.15,1,IF($Y$4&lt;DB_Colleges!AD173-0.2,-1,0)),"")</f>
        <v>-1</v>
      </c>
      <c r="W179" s="1" t="n">
        <f aca="false">IF(COUNT(U179:V179)=0,0,MIN(U179:V179))</f>
        <v>-1</v>
      </c>
    </row>
    <row r="180" customFormat="false" ht="15" hidden="false" customHeight="true" outlineLevel="0" collapsed="false">
      <c r="A180" s="26" t="str">
        <f aca="false">IF(B180="","",IF(COUNTIF('My Colleges'!$B$8:$B$27,B180)&gt;0,"On list",""))</f>
        <v/>
      </c>
      <c r="B180" s="27" t="str">
        <f aca="false">IF(DB_Colleges!A174="","",DB_Colleges!A174)</f>
        <v>University of Kentucky</v>
      </c>
      <c r="C180" s="26" t="str">
        <f aca="false">IF(B180="","",DB_Colleges!B174)</f>
        <v>Southeast Public</v>
      </c>
      <c r="D180" s="26" t="str">
        <f aca="false">IF(B180="","",DB_Colleges!C174&amp;", "&amp;DB_Colleges!D174)</f>
        <v>Lexington, KY</v>
      </c>
      <c r="E180" s="26" t="str">
        <f aca="false">IF(B180="","",IF(AND(NOT(ISNUMBER($X$4)),NOT(ISNUMBER($Y$4))),"Add scores",IF(NOT(ISNUMBER(DB_Colleges!Y174)),IF(OR(C180="Ivy League",C180="Highly Selective"),"Reach",IF(COUNT(U180:V180)=0,"No data",CHOOSE(W180+2,"Reach","Target","Likely"))),IF(DB_Colleges!Y174&lt;0.15,"Reach",IF(DB_Colleges!Y174&gt;=0.75,IF(W180&gt;=0,"Likely","Target"),IF(DB_Colleges!Y174&gt;=0.4,CHOOSE(W180+2,"Reach","Target","Likely"),IF(W180=1,"Target","Reach")))))))</f>
        <v>Target</v>
      </c>
      <c r="F180" s="28" t="n">
        <f aca="false">IF(OR(B180="",NOT(ISNUMBER(DB_Colleges!Y174))),"",DB_Colleges!Y174)</f>
        <v>0.9294</v>
      </c>
      <c r="G180" s="26" t="str">
        <f aca="false">IF(OR(B180="",NOT(ISNUMBER(DB_Colleges!Z174))),"",DB_Colleges!Z174&amp;"-"&amp;DB_Colleges!AA174)</f>
        <v>1070-1290</v>
      </c>
      <c r="H180" s="26" t="n">
        <f aca="false">IF(OR(B180="",NOT(ISNUMBER(DB_Colleges!AD174))),"",DB_Colleges!AD174)</f>
        <v>3.59</v>
      </c>
      <c r="I180" s="29" t="str">
        <f aca="false">IF(B180="","",IF(COUNT(DB_Colleges!I174:O174)=0,IF(DB_Colleges!P174="Yes","Rolling","Check site"),MIN(DB_Colleges!I174:O174)))</f>
        <v>Check site</v>
      </c>
      <c r="J180" s="26" t="str">
        <f aca="false">IF(OR(B180="",COUNT(DB_Colleges!I174:O174)=0),"",INDEX({"ED","ED II","EA","EA II","REA","RD","Priority"},MATCH(MIN(DB_Colleges!I174:O174),DB_Colleges!I174:O174,0)))</f>
        <v/>
      </c>
      <c r="K180" s="29" t="str">
        <f aca="false">IF(OR(B180="",NOT(ISNUMBER(DB_Colleges!N174))),"",DB_Colleges!N174)</f>
        <v/>
      </c>
      <c r="L180" s="26" t="str">
        <f aca="false">IF(B180="","",DB_Colleges!G174&amp;"")</f>
        <v/>
      </c>
      <c r="M180" s="30" t="str">
        <f aca="false">IF(OR(B180="",NOT(ISNUMBER(DB_Colleges!S174))),"",DB_Colleges!S174)</f>
        <v/>
      </c>
      <c r="N180" s="26" t="str">
        <f aca="false">IF(B180="","",DB_Colleges!U174&amp;"")</f>
        <v/>
      </c>
      <c r="O180" s="26" t="str">
        <f aca="false">IF(B180="","",IF(ISNUMBER(DB_Colleges!AH174),DB_Colleges!AH174,"Check"))</f>
        <v>Check</v>
      </c>
      <c r="P180" s="26" t="str">
        <f aca="false">IF(B180="","",DB_Colleges!W174&amp;"")</f>
        <v/>
      </c>
      <c r="Q180" s="30" t="n">
        <f aca="false">IF(OR(B180="",NOT(ISNUMBER(DB_Colleges!AF174))),"",DB_Colleges!AF174)</f>
        <v>12182</v>
      </c>
      <c r="R180" s="28" t="n">
        <f aca="false">IF(OR(B180="",NOT(ISNUMBER(DB_Colleges!AG174))),"",DB_Colleges!AG174)</f>
        <v>0.71</v>
      </c>
      <c r="S180" s="26" t="str">
        <f aca="false">IF(B180="","",DB_Colleges!AK174&amp;"")</f>
        <v>Aggregator only</v>
      </c>
      <c r="T180" s="26" t="str">
        <f aca="false">IF(B180="","",DB_Colleges!AI174&amp;"")</f>
        <v/>
      </c>
      <c r="U180" s="1" t="n">
        <f aca="false">IF(AND(ISNUMBER($X$4),ISNUMBER(DB_Colleges!Z174),ISNUMBER(DB_Colleges!AA174)),IF($X$4&gt;=DB_Colleges!AA174,1,IF($X$4&lt;DB_Colleges!Z174,-1,0)),"")</f>
        <v>-1</v>
      </c>
      <c r="V180" s="1" t="n">
        <f aca="false">IF(AND(ISNUMBER($Y$4),ISNUMBER(DB_Colleges!AD174)),IF($Y$4&gt;=DB_Colleges!AD174+0.15,1,IF($Y$4&lt;DB_Colleges!AD174-0.2,-1,0)),"")</f>
        <v>0</v>
      </c>
      <c r="W180" s="1" t="n">
        <f aca="false">IF(COUNT(U180:V180)=0,0,MIN(U180:V180))</f>
        <v>-1</v>
      </c>
    </row>
    <row r="181" customFormat="false" ht="15" hidden="false" customHeight="true" outlineLevel="0" collapsed="false">
      <c r="A181" s="26" t="str">
        <f aca="false">IF(B181="","",IF(COUNTIF('My Colleges'!$B$8:$B$27,B181)&gt;0,"On list",""))</f>
        <v/>
      </c>
      <c r="B181" s="27" t="str">
        <f aca="false">IF(DB_Colleges!A175="","",DB_Colleges!A175)</f>
        <v>University of Louisville</v>
      </c>
      <c r="C181" s="26" t="str">
        <f aca="false">IF(B181="","",DB_Colleges!B175)</f>
        <v>Southeast Public</v>
      </c>
      <c r="D181" s="26" t="str">
        <f aca="false">IF(B181="","",DB_Colleges!C175&amp;", "&amp;DB_Colleges!D175)</f>
        <v>Louisville, KY</v>
      </c>
      <c r="E181" s="26" t="str">
        <f aca="false">IF(B181="","",IF(AND(NOT(ISNUMBER($X$4)),NOT(ISNUMBER($Y$4))),"Add scores",IF(NOT(ISNUMBER(DB_Colleges!Y175)),IF(OR(C181="Ivy League",C181="Highly Selective"),"Reach",IF(COUNT(U181:V181)=0,"No data",CHOOSE(W181+2,"Reach","Target","Likely"))),IF(DB_Colleges!Y175&lt;0.15,"Reach",IF(DB_Colleges!Y175&gt;=0.75,IF(W181&gt;=0,"Likely","Target"),IF(DB_Colleges!Y175&gt;=0.4,CHOOSE(W181+2,"Reach","Target","Likely"),IF(W181=1,"Target","Reach")))))))</f>
        <v>Target</v>
      </c>
      <c r="F181" s="28" t="n">
        <f aca="false">IF(OR(B181="",NOT(ISNUMBER(DB_Colleges!Y175))),"",DB_Colleges!Y175)</f>
        <v>0.7941</v>
      </c>
      <c r="G181" s="26" t="str">
        <f aca="false">IF(OR(B181="",NOT(ISNUMBER(DB_Colleges!Z175))),"",DB_Colleges!Z175&amp;"-"&amp;DB_Colleges!AA175)</f>
        <v>1040-1270</v>
      </c>
      <c r="H181" s="26" t="n">
        <f aca="false">IF(OR(B181="",NOT(ISNUMBER(DB_Colleges!AD175))),"",DB_Colleges!AD175)</f>
        <v>3.64</v>
      </c>
      <c r="I181" s="29" t="str">
        <f aca="false">IF(B181="","",IF(COUNT(DB_Colleges!I175:O175)=0,IF(DB_Colleges!P175="Yes","Rolling","Check site"),MIN(DB_Colleges!I175:O175)))</f>
        <v>Rolling</v>
      </c>
      <c r="J181" s="26" t="str">
        <f aca="false">IF(OR(B181="",COUNT(DB_Colleges!I175:O175)=0),"",INDEX({"ED","ED II","EA","EA II","REA","RD","Priority"},MATCH(MIN(DB_Colleges!I175:O175),DB_Colleges!I175:O175,0)))</f>
        <v/>
      </c>
      <c r="K181" s="29" t="str">
        <f aca="false">IF(OR(B181="",NOT(ISNUMBER(DB_Colleges!N175))),"",DB_Colleges!N175)</f>
        <v/>
      </c>
      <c r="L181" s="26" t="str">
        <f aca="false">IF(B181="","",DB_Colleges!G175&amp;"")</f>
        <v/>
      </c>
      <c r="M181" s="30" t="str">
        <f aca="false">IF(OR(B181="",NOT(ISNUMBER(DB_Colleges!S175))),"",DB_Colleges!S175)</f>
        <v/>
      </c>
      <c r="N181" s="26" t="str">
        <f aca="false">IF(B181="","",DB_Colleges!U175&amp;"")</f>
        <v/>
      </c>
      <c r="O181" s="26" t="str">
        <f aca="false">IF(B181="","",IF(ISNUMBER(DB_Colleges!AH175),DB_Colleges!AH175,"Check"))</f>
        <v>Check</v>
      </c>
      <c r="P181" s="26" t="str">
        <f aca="false">IF(B181="","",DB_Colleges!W175&amp;"")</f>
        <v/>
      </c>
      <c r="Q181" s="30" t="n">
        <f aca="false">IF(OR(B181="",NOT(ISNUMBER(DB_Colleges!AF175))),"",DB_Colleges!AF175)</f>
        <v>15138</v>
      </c>
      <c r="R181" s="28" t="n">
        <f aca="false">IF(OR(B181="",NOT(ISNUMBER(DB_Colleges!AG175))),"",DB_Colleges!AG175)</f>
        <v>0.61</v>
      </c>
      <c r="S181" s="26" t="str">
        <f aca="false">IF(B181="","",DB_Colleges!AK175&amp;"")</f>
        <v>Typical dates, confirm</v>
      </c>
      <c r="T181" s="26" t="str">
        <f aca="false">IF(B181="","",DB_Colleges!AI175&amp;"")</f>
        <v/>
      </c>
      <c r="U181" s="1" t="n">
        <f aca="false">IF(AND(ISNUMBER($X$4),ISNUMBER(DB_Colleges!Z175),ISNUMBER(DB_Colleges!AA175)),IF($X$4&gt;=DB_Colleges!AA175,1,IF($X$4&lt;DB_Colleges!Z175,-1,0)),"")</f>
        <v>-1</v>
      </c>
      <c r="V181" s="1" t="n">
        <f aca="false">IF(AND(ISNUMBER($Y$4),ISNUMBER(DB_Colleges!AD175)),IF($Y$4&gt;=DB_Colleges!AD175+0.15,1,IF($Y$4&lt;DB_Colleges!AD175-0.2,-1,0)),"")</f>
        <v>0</v>
      </c>
      <c r="W181" s="1" t="n">
        <f aca="false">IF(COUNT(U181:V181)=0,0,MIN(U181:V181))</f>
        <v>-1</v>
      </c>
    </row>
    <row r="182" customFormat="false" ht="15" hidden="false" customHeight="true" outlineLevel="0" collapsed="false">
      <c r="A182" s="26" t="str">
        <f aca="false">IF(B182="","",IF(COUNTIF('My Colleges'!$B$8:$B$27,B182)&gt;0,"On list",""))</f>
        <v/>
      </c>
      <c r="B182" s="27" t="str">
        <f aca="false">IF(DB_Colleges!A176="","",DB_Colleges!A176)</f>
        <v>University of Memphis</v>
      </c>
      <c r="C182" s="26" t="str">
        <f aca="false">IF(B182="","",DB_Colleges!B176)</f>
        <v>Southeast Public</v>
      </c>
      <c r="D182" s="26" t="str">
        <f aca="false">IF(B182="","",DB_Colleges!C176&amp;", "&amp;DB_Colleges!D176)</f>
        <v>Memphis, TN</v>
      </c>
      <c r="E182" s="26" t="str">
        <f aca="false">IF(B182="","",IF(AND(NOT(ISNUMBER($X$4)),NOT(ISNUMBER($Y$4))),"Add scores",IF(NOT(ISNUMBER(DB_Colleges!Y176)),IF(OR(C182="Ivy League",C182="Highly Selective"),"Reach",IF(COUNT(U182:V182)=0,"No data",CHOOSE(W182+2,"Reach","Target","Likely"))),IF(DB_Colleges!Y176&lt;0.15,"Reach",IF(DB_Colleges!Y176&gt;=0.75,IF(W182&gt;=0,"Likely","Target"),IF(DB_Colleges!Y176&gt;=0.4,CHOOSE(W182+2,"Reach","Target","Likely"),IF(W182=1,"Target","Reach")))))))</f>
        <v>Reach</v>
      </c>
      <c r="F182" s="28" t="n">
        <f aca="false">IF(OR(B182="",NOT(ISNUMBER(DB_Colleges!Y176))),"",DB_Colleges!Y176)</f>
        <v>0.7203</v>
      </c>
      <c r="G182" s="26" t="str">
        <f aca="false">IF(OR(B182="",NOT(ISNUMBER(DB_Colleges!Z176))),"",DB_Colleges!Z176&amp;"-"&amp;DB_Colleges!AA176)</f>
        <v>915-1180</v>
      </c>
      <c r="H182" s="26" t="n">
        <f aca="false">IF(OR(B182="",NOT(ISNUMBER(DB_Colleges!AD176))),"",DB_Colleges!AD176)</f>
        <v>3.48</v>
      </c>
      <c r="I182" s="29" t="str">
        <f aca="false">IF(B182="","",IF(COUNT(DB_Colleges!I176:O176)=0,IF(DB_Colleges!P176="Yes","Rolling","Check site"),MIN(DB_Colleges!I176:O176)))</f>
        <v>Rolling</v>
      </c>
      <c r="J182" s="26" t="str">
        <f aca="false">IF(OR(B182="",COUNT(DB_Colleges!I176:O176)=0),"",INDEX({"ED","ED II","EA","EA II","REA","RD","Priority"},MATCH(MIN(DB_Colleges!I176:O176),DB_Colleges!I176:O176,0)))</f>
        <v/>
      </c>
      <c r="K182" s="29" t="str">
        <f aca="false">IF(OR(B182="",NOT(ISNUMBER(DB_Colleges!N176))),"",DB_Colleges!N176)</f>
        <v/>
      </c>
      <c r="L182" s="26" t="str">
        <f aca="false">IF(B182="","",DB_Colleges!G176&amp;"")</f>
        <v/>
      </c>
      <c r="M182" s="30" t="str">
        <f aca="false">IF(OR(B182="",NOT(ISNUMBER(DB_Colleges!S176))),"",DB_Colleges!S176)</f>
        <v/>
      </c>
      <c r="N182" s="26" t="str">
        <f aca="false">IF(B182="","",DB_Colleges!U176&amp;"")</f>
        <v/>
      </c>
      <c r="O182" s="26" t="str">
        <f aca="false">IF(B182="","",IF(ISNUMBER(DB_Colleges!AH176),DB_Colleges!AH176,"Check"))</f>
        <v>Check</v>
      </c>
      <c r="P182" s="26" t="str">
        <f aca="false">IF(B182="","",DB_Colleges!W176&amp;"")</f>
        <v/>
      </c>
      <c r="Q182" s="30" t="n">
        <f aca="false">IF(OR(B182="",NOT(ISNUMBER(DB_Colleges!AF176))),"",DB_Colleges!AF176)</f>
        <v>10607</v>
      </c>
      <c r="R182" s="28" t="n">
        <f aca="false">IF(OR(B182="",NOT(ISNUMBER(DB_Colleges!AG176))),"",DB_Colleges!AG176)</f>
        <v>0.51</v>
      </c>
      <c r="S182" s="26" t="str">
        <f aca="false">IF(B182="","",DB_Colleges!AK176&amp;"")</f>
        <v>Typical dates, confirm</v>
      </c>
      <c r="T182" s="26" t="str">
        <f aca="false">IF(B182="","",DB_Colleges!AI176&amp;"")</f>
        <v/>
      </c>
      <c r="U182" s="1" t="n">
        <f aca="false">IF(AND(ISNUMBER($X$4),ISNUMBER(DB_Colleges!Z176),ISNUMBER(DB_Colleges!AA176)),IF($X$4&gt;=DB_Colleges!AA176,1,IF($X$4&lt;DB_Colleges!Z176,-1,0)),"")</f>
        <v>-1</v>
      </c>
      <c r="V182" s="1" t="n">
        <f aca="false">IF(AND(ISNUMBER($Y$4),ISNUMBER(DB_Colleges!AD176)),IF($Y$4&gt;=DB_Colleges!AD176+0.15,1,IF($Y$4&lt;DB_Colleges!AD176-0.2,-1,0)),"")</f>
        <v>0</v>
      </c>
      <c r="W182" s="1" t="n">
        <f aca="false">IF(COUNT(U182:V182)=0,0,MIN(U182:V182))</f>
        <v>-1</v>
      </c>
    </row>
    <row r="183" customFormat="false" ht="15" hidden="false" customHeight="true" outlineLevel="0" collapsed="false">
      <c r="A183" s="26" t="str">
        <f aca="false">IF(B183="","",IF(COUNTIF('My Colleges'!$B$8:$B$27,B183)&gt;0,"On list",""))</f>
        <v/>
      </c>
      <c r="B183" s="27" t="str">
        <f aca="false">IF(DB_Colleges!A177="","",DB_Colleges!A177)</f>
        <v>Middle Tennessee State University</v>
      </c>
      <c r="C183" s="26" t="str">
        <f aca="false">IF(B183="","",DB_Colleges!B177)</f>
        <v>Southeast Public</v>
      </c>
      <c r="D183" s="26" t="str">
        <f aca="false">IF(B183="","",DB_Colleges!C177&amp;", "&amp;DB_Colleges!D177)</f>
        <v>Murfreesboro, TN</v>
      </c>
      <c r="E183" s="26" t="str">
        <f aca="false">IF(B183="","",IF(AND(NOT(ISNUMBER($X$4)),NOT(ISNUMBER($Y$4))),"Add scores",IF(NOT(ISNUMBER(DB_Colleges!Y177)),IF(OR(C183="Ivy League",C183="Highly Selective"),"Reach",IF(COUNT(U183:V183)=0,"No data",CHOOSE(W183+2,"Reach","Target","Likely"))),IF(DB_Colleges!Y177&lt;0.15,"Reach",IF(DB_Colleges!Y177&gt;=0.75,IF(W183&gt;=0,"Likely","Target"),IF(DB_Colleges!Y177&gt;=0.4,CHOOSE(W183+2,"Reach","Target","Likely"),IF(W183=1,"Target","Reach")))))))</f>
        <v>Reach</v>
      </c>
      <c r="F183" s="28" t="n">
        <f aca="false">IF(OR(B183="",NOT(ISNUMBER(DB_Colleges!Y177))),"",DB_Colleges!Y177)</f>
        <v>0.6909</v>
      </c>
      <c r="G183" s="26" t="str">
        <f aca="false">IF(OR(B183="",NOT(ISNUMBER(DB_Colleges!Z177))),"",DB_Colleges!Z177&amp;"-"&amp;DB_Colleges!AA177)</f>
        <v>1010-1230</v>
      </c>
      <c r="H183" s="26" t="n">
        <f aca="false">IF(OR(B183="",NOT(ISNUMBER(DB_Colleges!AD177))),"",DB_Colleges!AD177)</f>
        <v>3.64</v>
      </c>
      <c r="I183" s="29" t="str">
        <f aca="false">IF(B183="","",IF(COUNT(DB_Colleges!I177:O177)=0,IF(DB_Colleges!P177="Yes","Rolling","Check site"),MIN(DB_Colleges!I177:O177)))</f>
        <v>Check site</v>
      </c>
      <c r="J183" s="26" t="str">
        <f aca="false">IF(OR(B183="",COUNT(DB_Colleges!I177:O177)=0),"",INDEX({"ED","ED II","EA","EA II","REA","RD","Priority"},MATCH(MIN(DB_Colleges!I177:O177),DB_Colleges!I177:O177,0)))</f>
        <v/>
      </c>
      <c r="K183" s="29" t="str">
        <f aca="false">IF(OR(B183="",NOT(ISNUMBER(DB_Colleges!N177))),"",DB_Colleges!N177)</f>
        <v/>
      </c>
      <c r="L183" s="26" t="str">
        <f aca="false">IF(B183="","",DB_Colleges!G177&amp;"")</f>
        <v/>
      </c>
      <c r="M183" s="30" t="str">
        <f aca="false">IF(OR(B183="",NOT(ISNUMBER(DB_Colleges!S177))),"",DB_Colleges!S177)</f>
        <v/>
      </c>
      <c r="N183" s="26" t="str">
        <f aca="false">IF(B183="","",DB_Colleges!U177&amp;"")</f>
        <v/>
      </c>
      <c r="O183" s="26" t="str">
        <f aca="false">IF(B183="","",IF(ISNUMBER(DB_Colleges!AH177),DB_Colleges!AH177,"Check"))</f>
        <v>Check</v>
      </c>
      <c r="P183" s="26" t="str">
        <f aca="false">IF(B183="","",DB_Colleges!W177&amp;"")</f>
        <v/>
      </c>
      <c r="Q183" s="30" t="n">
        <f aca="false">IF(OR(B183="",NOT(ISNUMBER(DB_Colleges!AF177))),"",DB_Colleges!AF177)</f>
        <v>9289</v>
      </c>
      <c r="R183" s="28" t="n">
        <f aca="false">IF(OR(B183="",NOT(ISNUMBER(DB_Colleges!AG177))),"",DB_Colleges!AG177)</f>
        <v>0.54</v>
      </c>
      <c r="S183" s="26" t="str">
        <f aca="false">IF(B183="","",DB_Colleges!AK177&amp;"")</f>
        <v>Aggregator only</v>
      </c>
      <c r="T183" s="26" t="str">
        <f aca="false">IF(B183="","",DB_Colleges!AI177&amp;"")</f>
        <v/>
      </c>
      <c r="U183" s="1" t="n">
        <f aca="false">IF(AND(ISNUMBER($X$4),ISNUMBER(DB_Colleges!Z177),ISNUMBER(DB_Colleges!AA177)),IF($X$4&gt;=DB_Colleges!AA177,1,IF($X$4&lt;DB_Colleges!Z177,-1,0)),"")</f>
        <v>-1</v>
      </c>
      <c r="V183" s="1" t="n">
        <f aca="false">IF(AND(ISNUMBER($Y$4),ISNUMBER(DB_Colleges!AD177)),IF($Y$4&gt;=DB_Colleges!AD177+0.15,1,IF($Y$4&lt;DB_Colleges!AD177-0.2,-1,0)),"")</f>
        <v>0</v>
      </c>
      <c r="W183" s="1" t="n">
        <f aca="false">IF(COUNT(U183:V183)=0,0,MIN(U183:V183))</f>
        <v>-1</v>
      </c>
    </row>
    <row r="184" customFormat="false" ht="15" hidden="false" customHeight="true" outlineLevel="0" collapsed="false">
      <c r="A184" s="26" t="str">
        <f aca="false">IF(B184="","",IF(COUNTIF('My Colleges'!$B$8:$B$27,B184)&gt;0,"On list",""))</f>
        <v/>
      </c>
      <c r="B184" s="27" t="str">
        <f aca="false">IF(DB_Colleges!A178="","",DB_Colleges!A178)</f>
        <v>Coastal Carolina University</v>
      </c>
      <c r="C184" s="26" t="str">
        <f aca="false">IF(B184="","",DB_Colleges!B178)</f>
        <v>Southeast Public</v>
      </c>
      <c r="D184" s="26" t="str">
        <f aca="false">IF(B184="","",DB_Colleges!C178&amp;", "&amp;DB_Colleges!D178)</f>
        <v>Conway, SC</v>
      </c>
      <c r="E184" s="26" t="str">
        <f aca="false">IF(B184="","",IF(AND(NOT(ISNUMBER($X$4)),NOT(ISNUMBER($Y$4))),"Add scores",IF(NOT(ISNUMBER(DB_Colleges!Y178)),IF(OR(C184="Ivy League",C184="Highly Selective"),"Reach",IF(COUNT(U184:V184)=0,"No data",CHOOSE(W184+2,"Reach","Target","Likely"))),IF(DB_Colleges!Y178&lt;0.15,"Reach",IF(DB_Colleges!Y178&gt;=0.75,IF(W184&gt;=0,"Likely","Target"),IF(DB_Colleges!Y178&gt;=0.4,CHOOSE(W184+2,"Reach","Target","Likely"),IF(W184=1,"Target","Reach")))))))</f>
        <v>Target</v>
      </c>
      <c r="F184" s="28" t="n">
        <f aca="false">IF(OR(B184="",NOT(ISNUMBER(DB_Colleges!Y178))),"",DB_Colleges!Y178)</f>
        <v>0.753</v>
      </c>
      <c r="G184" s="26" t="str">
        <f aca="false">IF(OR(B184="",NOT(ISNUMBER(DB_Colleges!Z178))),"",DB_Colleges!Z178&amp;"-"&amp;DB_Colleges!AA178)</f>
        <v>1050-1220</v>
      </c>
      <c r="H184" s="26" t="n">
        <f aca="false">IF(OR(B184="",NOT(ISNUMBER(DB_Colleges!AD178))),"",DB_Colleges!AD178)</f>
        <v>3.72</v>
      </c>
      <c r="I184" s="29" t="str">
        <f aca="false">IF(B184="","",IF(COUNT(DB_Colleges!I178:O178)=0,IF(DB_Colleges!P178="Yes","Rolling","Check site"),MIN(DB_Colleges!I178:O178)))</f>
        <v>Rolling</v>
      </c>
      <c r="J184" s="26" t="str">
        <f aca="false">IF(OR(B184="",COUNT(DB_Colleges!I178:O178)=0),"",INDEX({"ED","ED II","EA","EA II","REA","RD","Priority"},MATCH(MIN(DB_Colleges!I178:O178),DB_Colleges!I178:O178,0)))</f>
        <v/>
      </c>
      <c r="K184" s="29" t="str">
        <f aca="false">IF(OR(B184="",NOT(ISNUMBER(DB_Colleges!N178))),"",DB_Colleges!N178)</f>
        <v/>
      </c>
      <c r="L184" s="26" t="str">
        <f aca="false">IF(B184="","",DB_Colleges!G178&amp;"")</f>
        <v/>
      </c>
      <c r="M184" s="30" t="str">
        <f aca="false">IF(OR(B184="",NOT(ISNUMBER(DB_Colleges!S178))),"",DB_Colleges!S178)</f>
        <v/>
      </c>
      <c r="N184" s="26" t="str">
        <f aca="false">IF(B184="","",DB_Colleges!U178&amp;"")</f>
        <v/>
      </c>
      <c r="O184" s="26" t="str">
        <f aca="false">IF(B184="","",IF(ISNUMBER(DB_Colleges!AH178),DB_Colleges!AH178,"Check"))</f>
        <v>Check</v>
      </c>
      <c r="P184" s="26" t="str">
        <f aca="false">IF(B184="","",DB_Colleges!W178&amp;"")</f>
        <v/>
      </c>
      <c r="Q184" s="30" t="n">
        <f aca="false">IF(OR(B184="",NOT(ISNUMBER(DB_Colleges!AF178))),"",DB_Colleges!AF178)</f>
        <v>9563</v>
      </c>
      <c r="R184" s="28" t="str">
        <f aca="false">IF(OR(B184="",NOT(ISNUMBER(DB_Colleges!AG178))),"",DB_Colleges!AG178)</f>
        <v/>
      </c>
      <c r="S184" s="26" t="str">
        <f aca="false">IF(B184="","",DB_Colleges!AK178&amp;"")</f>
        <v>Typical dates, confirm</v>
      </c>
      <c r="T184" s="26" t="str">
        <f aca="false">IF(B184="","",DB_Colleges!AI178&amp;"")</f>
        <v/>
      </c>
      <c r="U184" s="1" t="n">
        <f aca="false">IF(AND(ISNUMBER($X$4),ISNUMBER(DB_Colleges!Z178),ISNUMBER(DB_Colleges!AA178)),IF($X$4&gt;=DB_Colleges!AA178,1,IF($X$4&lt;DB_Colleges!Z178,-1,0)),"")</f>
        <v>-1</v>
      </c>
      <c r="V184" s="1" t="n">
        <f aca="false">IF(AND(ISNUMBER($Y$4),ISNUMBER(DB_Colleges!AD178)),IF($Y$4&gt;=DB_Colleges!AD178+0.15,1,IF($Y$4&lt;DB_Colleges!AD178-0.2,-1,0)),"")</f>
        <v>-1</v>
      </c>
      <c r="W184" s="1" t="n">
        <f aca="false">IF(COUNT(U184:V184)=0,0,MIN(U184:V184))</f>
        <v>-1</v>
      </c>
    </row>
    <row r="185" customFormat="false" ht="15" hidden="false" customHeight="true" outlineLevel="0" collapsed="false">
      <c r="A185" s="26" t="str">
        <f aca="false">IF(B185="","",IF(COUNTIF('My Colleges'!$B$8:$B$27,B185)&gt;0,"On list",""))</f>
        <v/>
      </c>
      <c r="B185" s="27" t="str">
        <f aca="false">IF(DB_Colleges!A179="","",DB_Colleges!A179)</f>
        <v>Winthrop University</v>
      </c>
      <c r="C185" s="26" t="str">
        <f aca="false">IF(B185="","",DB_Colleges!B179)</f>
        <v>Southeast Public</v>
      </c>
      <c r="D185" s="26" t="str">
        <f aca="false">IF(B185="","",DB_Colleges!C179&amp;", "&amp;DB_Colleges!D179)</f>
        <v>Rock Hill, SC</v>
      </c>
      <c r="E185" s="26" t="str">
        <f aca="false">IF(B185="","",IF(AND(NOT(ISNUMBER($X$4)),NOT(ISNUMBER($Y$4))),"Add scores",IF(NOT(ISNUMBER(DB_Colleges!Y179)),IF(OR(C185="Ivy League",C185="Highly Selective"),"Reach",IF(COUNT(U185:V185)=0,"No data",CHOOSE(W185+2,"Reach","Target","Likely"))),IF(DB_Colleges!Y179&lt;0.15,"Reach",IF(DB_Colleges!Y179&gt;=0.75,IF(W185&gt;=0,"Likely","Target"),IF(DB_Colleges!Y179&gt;=0.4,CHOOSE(W185+2,"Reach","Target","Likely"),IF(W185=1,"Target","Reach")))))))</f>
        <v>Target</v>
      </c>
      <c r="F185" s="28" t="n">
        <f aca="false">IF(OR(B185="",NOT(ISNUMBER(DB_Colleges!Y179))),"",DB_Colleges!Y179)</f>
        <v>0.7925</v>
      </c>
      <c r="G185" s="26" t="str">
        <f aca="false">IF(OR(B185="",NOT(ISNUMBER(DB_Colleges!Z179))),"",DB_Colleges!Z179&amp;"-"&amp;DB_Colleges!AA179)</f>
        <v>1010-1220</v>
      </c>
      <c r="H185" s="26" t="n">
        <f aca="false">IF(OR(B185="",NOT(ISNUMBER(DB_Colleges!AD179))),"",DB_Colleges!AD179)</f>
        <v>4</v>
      </c>
      <c r="I185" s="29" t="str">
        <f aca="false">IF(B185="","",IF(COUNT(DB_Colleges!I179:O179)=0,IF(DB_Colleges!P179="Yes","Rolling","Check site"),MIN(DB_Colleges!I179:O179)))</f>
        <v>Check site</v>
      </c>
      <c r="J185" s="26" t="str">
        <f aca="false">IF(OR(B185="",COUNT(DB_Colleges!I179:O179)=0),"",INDEX({"ED","ED II","EA","EA II","REA","RD","Priority"},MATCH(MIN(DB_Colleges!I179:O179),DB_Colleges!I179:O179,0)))</f>
        <v/>
      </c>
      <c r="K185" s="29" t="str">
        <f aca="false">IF(OR(B185="",NOT(ISNUMBER(DB_Colleges!N179))),"",DB_Colleges!N179)</f>
        <v/>
      </c>
      <c r="L185" s="26" t="str">
        <f aca="false">IF(B185="","",DB_Colleges!G179&amp;"")</f>
        <v/>
      </c>
      <c r="M185" s="30" t="str">
        <f aca="false">IF(OR(B185="",NOT(ISNUMBER(DB_Colleges!S179))),"",DB_Colleges!S179)</f>
        <v/>
      </c>
      <c r="N185" s="26" t="str">
        <f aca="false">IF(B185="","",DB_Colleges!U179&amp;"")</f>
        <v/>
      </c>
      <c r="O185" s="26" t="str">
        <f aca="false">IF(B185="","",IF(ISNUMBER(DB_Colleges!AH179),DB_Colleges!AH179,"Check"))</f>
        <v>Check</v>
      </c>
      <c r="P185" s="26" t="str">
        <f aca="false">IF(B185="","",DB_Colleges!W179&amp;"")</f>
        <v/>
      </c>
      <c r="Q185" s="30" t="n">
        <f aca="false">IF(OR(B185="",NOT(ISNUMBER(DB_Colleges!AF179))),"",DB_Colleges!AF179)</f>
        <v>12608</v>
      </c>
      <c r="R185" s="28" t="n">
        <f aca="false">IF(OR(B185="",NOT(ISNUMBER(DB_Colleges!AG179))),"",DB_Colleges!AG179)</f>
        <v>0.57</v>
      </c>
      <c r="S185" s="26" t="str">
        <f aca="false">IF(B185="","",DB_Colleges!AK179&amp;"")</f>
        <v>Aggregator only</v>
      </c>
      <c r="T185" s="26" t="str">
        <f aca="false">IF(B185="","",DB_Colleges!AI179&amp;"")</f>
        <v/>
      </c>
      <c r="U185" s="1" t="n">
        <f aca="false">IF(AND(ISNUMBER($X$4),ISNUMBER(DB_Colleges!Z179),ISNUMBER(DB_Colleges!AA179)),IF($X$4&gt;=DB_Colleges!AA179,1,IF($X$4&lt;DB_Colleges!Z179,-1,0)),"")</f>
        <v>-1</v>
      </c>
      <c r="V185" s="1" t="n">
        <f aca="false">IF(AND(ISNUMBER($Y$4),ISNUMBER(DB_Colleges!AD179)),IF($Y$4&gt;=DB_Colleges!AD179+0.15,1,IF($Y$4&lt;DB_Colleges!AD179-0.2,-1,0)),"")</f>
        <v>-1</v>
      </c>
      <c r="W185" s="1" t="n">
        <f aca="false">IF(COUNT(U185:V185)=0,0,MIN(U185:V185))</f>
        <v>-1</v>
      </c>
    </row>
    <row r="186" customFormat="false" ht="15" hidden="false" customHeight="true" outlineLevel="0" collapsed="false">
      <c r="A186" s="26" t="str">
        <f aca="false">IF(B186="","",IF(COUNTIF('My Colleges'!$B$8:$B$27,B186)&gt;0,"On list",""))</f>
        <v/>
      </c>
      <c r="B186" s="27" t="str">
        <f aca="false">IF(DB_Colleges!A180="","",DB_Colleges!A180)</f>
        <v>University of Michigan</v>
      </c>
      <c r="C186" s="26" t="str">
        <f aca="false">IF(B186="","",DB_Colleges!B180)</f>
        <v>National Public</v>
      </c>
      <c r="D186" s="26" t="str">
        <f aca="false">IF(B186="","",DB_Colleges!C180&amp;", "&amp;DB_Colleges!D180)</f>
        <v>Ann Arbor, MI</v>
      </c>
      <c r="E186" s="26" t="str">
        <f aca="false">IF(B186="","",IF(AND(NOT(ISNUMBER($X$4)),NOT(ISNUMBER($Y$4))),"Add scores",IF(NOT(ISNUMBER(DB_Colleges!Y180)),IF(OR(C186="Ivy League",C186="Highly Selective"),"Reach",IF(COUNT(U186:V186)=0,"No data",CHOOSE(W186+2,"Reach","Target","Likely"))),IF(DB_Colleges!Y180&lt;0.15,"Reach",IF(DB_Colleges!Y180&gt;=0.75,IF(W186&gt;=0,"Likely","Target"),IF(DB_Colleges!Y180&gt;=0.4,CHOOSE(W186+2,"Reach","Target","Likely"),IF(W186=1,"Target","Reach")))))))</f>
        <v>Reach</v>
      </c>
      <c r="F186" s="28" t="n">
        <f aca="false">IF(OR(B186="",NOT(ISNUMBER(DB_Colleges!Y180))),"",DB_Colleges!Y180)</f>
        <v>0.1564</v>
      </c>
      <c r="G186" s="26" t="str">
        <f aca="false">IF(OR(B186="",NOT(ISNUMBER(DB_Colleges!Z180))),"",DB_Colleges!Z180&amp;"-"&amp;DB_Colleges!AA180)</f>
        <v>1360-1530</v>
      </c>
      <c r="H186" s="26" t="n">
        <f aca="false">IF(OR(B186="",NOT(ISNUMBER(DB_Colleges!AD180))),"",DB_Colleges!AD180)</f>
        <v>3.88</v>
      </c>
      <c r="I186" s="29" t="n">
        <f aca="false">IF(B186="","",IF(COUNT(DB_Colleges!I180:O180)=0,IF(DB_Colleges!P180="Yes","Rolling","Check site"),MIN(DB_Colleges!I180:O180)))</f>
        <v>46327</v>
      </c>
      <c r="J186" s="26" t="str">
        <f aca="false">IF(OR(B186="",COUNT(DB_Colleges!I180:O180)=0),"",INDEX({"ED","ED II","EA","EA II","REA","RD","Priority"},MATCH(MIN(DB_Colleges!I180:O180),DB_Colleges!I180:O180,0)))</f>
        <v>EA</v>
      </c>
      <c r="K186" s="29" t="n">
        <f aca="false">IF(OR(B186="",NOT(ISNUMBER(DB_Colleges!N180))),"",DB_Colleges!N180)</f>
        <v>46419</v>
      </c>
      <c r="L186" s="26" t="str">
        <f aca="false">IF(B186="","",DB_Colleges!G180&amp;"")</f>
        <v/>
      </c>
      <c r="M186" s="30" t="n">
        <f aca="false">IF(OR(B186="",NOT(ISNUMBER(DB_Colleges!S180))),"",DB_Colleges!S180)</f>
        <v>75</v>
      </c>
      <c r="N186" s="26" t="str">
        <f aca="false">IF(B186="","",DB_Colleges!U180&amp;"")</f>
        <v/>
      </c>
      <c r="O186" s="26" t="str">
        <f aca="false">IF(B186="","",IF(ISNUMBER(DB_Colleges!AH180),DB_Colleges!AH180,"Check"))</f>
        <v>Check</v>
      </c>
      <c r="P186" s="26" t="str">
        <f aca="false">IF(B186="","",DB_Colleges!W180&amp;"")</f>
        <v/>
      </c>
      <c r="Q186" s="30" t="n">
        <f aca="false">IF(OR(B186="",NOT(ISNUMBER(DB_Colleges!AF180))),"",DB_Colleges!AF180)</f>
        <v>1043</v>
      </c>
      <c r="R186" s="28" t="n">
        <f aca="false">IF(OR(B186="",NOT(ISNUMBER(DB_Colleges!AG180))),"",DB_Colleges!AG180)</f>
        <v>0.93</v>
      </c>
      <c r="S186" s="26" t="str">
        <f aca="false">IF(B186="","",DB_Colleges!AK180&amp;"")</f>
        <v>Typical dates, confirm</v>
      </c>
      <c r="T186" s="26" t="str">
        <f aca="false">IF(B186="","",DB_Colleges!AI180&amp;"")</f>
        <v/>
      </c>
      <c r="U186" s="1" t="n">
        <f aca="false">IF(AND(ISNUMBER($X$4),ISNUMBER(DB_Colleges!Z180),ISNUMBER(DB_Colleges!AA180)),IF($X$4&gt;=DB_Colleges!AA180,1,IF($X$4&lt;DB_Colleges!Z180,-1,0)),"")</f>
        <v>-1</v>
      </c>
      <c r="V186" s="1" t="n">
        <f aca="false">IF(AND(ISNUMBER($Y$4),ISNUMBER(DB_Colleges!AD180)),IF($Y$4&gt;=DB_Colleges!AD180+0.15,1,IF($Y$4&lt;DB_Colleges!AD180-0.2,-1,0)),"")</f>
        <v>-1</v>
      </c>
      <c r="W186" s="1" t="n">
        <f aca="false">IF(COUNT(U186:V186)=0,0,MIN(U186:V186))</f>
        <v>-1</v>
      </c>
    </row>
    <row r="187" customFormat="false" ht="15" hidden="false" customHeight="true" outlineLevel="0" collapsed="false">
      <c r="A187" s="26" t="str">
        <f aca="false">IF(B187="","",IF(COUNTIF('My Colleges'!$B$8:$B$27,B187)&gt;0,"On list",""))</f>
        <v/>
      </c>
      <c r="B187" s="27" t="str">
        <f aca="false">IF(DB_Colleges!A181="","",DB_Colleges!A181)</f>
        <v>Ohio State University</v>
      </c>
      <c r="C187" s="26" t="str">
        <f aca="false">IF(B187="","",DB_Colleges!B181)</f>
        <v>National Public</v>
      </c>
      <c r="D187" s="26" t="str">
        <f aca="false">IF(B187="","",DB_Colleges!C181&amp;", "&amp;DB_Colleges!D181)</f>
        <v>Columbus, OH</v>
      </c>
      <c r="E187" s="26" t="str">
        <f aca="false">IF(B187="","",IF(AND(NOT(ISNUMBER($X$4)),NOT(ISNUMBER($Y$4))),"Add scores",IF(NOT(ISNUMBER(DB_Colleges!Y181)),IF(OR(C187="Ivy League",C187="Highly Selective"),"Reach",IF(COUNT(U187:V187)=0,"No data",CHOOSE(W187+2,"Reach","Target","Likely"))),IF(DB_Colleges!Y181&lt;0.15,"Reach",IF(DB_Colleges!Y181&gt;=0.75,IF(W187&gt;=0,"Likely","Target"),IF(DB_Colleges!Y181&gt;=0.4,CHOOSE(W187+2,"Reach","Target","Likely"),IF(W187=1,"Target","Reach")))))))</f>
        <v>Reach</v>
      </c>
      <c r="F187" s="28" t="n">
        <f aca="false">IF(OR(B187="",NOT(ISNUMBER(DB_Colleges!Y181))),"",DB_Colleges!Y181)</f>
        <v>0.6057</v>
      </c>
      <c r="G187" s="26" t="str">
        <f aca="false">IF(OR(B187="",NOT(ISNUMBER(DB_Colleges!Z181))),"",DB_Colleges!Z181&amp;"-"&amp;DB_Colleges!AA181)</f>
        <v>1310-1480</v>
      </c>
      <c r="H187" s="26" t="str">
        <f aca="false">IF(OR(B187="",NOT(ISNUMBER(DB_Colleges!AD181))),"",DB_Colleges!AD181)</f>
        <v/>
      </c>
      <c r="I187" s="29" t="n">
        <f aca="false">IF(B187="","",IF(COUNT(DB_Colleges!I181:O181)=0,IF(DB_Colleges!P181="Yes","Rolling","Check site"),MIN(DB_Colleges!I181:O181)))</f>
        <v>46327</v>
      </c>
      <c r="J187" s="26" t="str">
        <f aca="false">IF(OR(B187="",COUNT(DB_Colleges!I181:O181)=0),"",INDEX({"ED","ED II","EA","EA II","REA","RD","Priority"},MATCH(MIN(DB_Colleges!I181:O181),DB_Colleges!I181:O181,0)))</f>
        <v>EA</v>
      </c>
      <c r="K187" s="29" t="n">
        <f aca="false">IF(OR(B187="",NOT(ISNUMBER(DB_Colleges!N181))),"",DB_Colleges!N181)</f>
        <v>46419</v>
      </c>
      <c r="L187" s="26" t="str">
        <f aca="false">IF(B187="","",DB_Colleges!G181&amp;"")</f>
        <v/>
      </c>
      <c r="M187" s="30" t="str">
        <f aca="false">IF(OR(B187="",NOT(ISNUMBER(DB_Colleges!S181))),"",DB_Colleges!S181)</f>
        <v/>
      </c>
      <c r="N187" s="26" t="str">
        <f aca="false">IF(B187="","",DB_Colleges!U181&amp;"")</f>
        <v/>
      </c>
      <c r="O187" s="26" t="str">
        <f aca="false">IF(B187="","",IF(ISNUMBER(DB_Colleges!AH181),DB_Colleges!AH181,"Check"))</f>
        <v>Check</v>
      </c>
      <c r="P187" s="26" t="str">
        <f aca="false">IF(B187="","",DB_Colleges!W181&amp;"")</f>
        <v/>
      </c>
      <c r="Q187" s="30" t="n">
        <f aca="false">IF(OR(B187="",NOT(ISNUMBER(DB_Colleges!AF181))),"",DB_Colleges!AF181)</f>
        <v>4885</v>
      </c>
      <c r="R187" s="28" t="n">
        <f aca="false">IF(OR(B187="",NOT(ISNUMBER(DB_Colleges!AG181))),"",DB_Colleges!AG181)</f>
        <v>0.88</v>
      </c>
      <c r="S187" s="26" t="str">
        <f aca="false">IF(B187="","",DB_Colleges!AK181&amp;"")</f>
        <v>Typical dates, confirm</v>
      </c>
      <c r="T187" s="26" t="str">
        <f aca="false">IF(B187="","",DB_Colleges!AI181&amp;"")</f>
        <v/>
      </c>
      <c r="U187" s="1" t="n">
        <f aca="false">IF(AND(ISNUMBER($X$4),ISNUMBER(DB_Colleges!Z181),ISNUMBER(DB_Colleges!AA181)),IF($X$4&gt;=DB_Colleges!AA181,1,IF($X$4&lt;DB_Colleges!Z181,-1,0)),"")</f>
        <v>-1</v>
      </c>
      <c r="V187" s="1" t="str">
        <f aca="false">IF(AND(ISNUMBER($Y$4),ISNUMBER(DB_Colleges!AD181)),IF($Y$4&gt;=DB_Colleges!AD181+0.15,1,IF($Y$4&lt;DB_Colleges!AD181-0.2,-1,0)),"")</f>
        <v/>
      </c>
      <c r="W187" s="1" t="n">
        <f aca="false">IF(COUNT(U187:V187)=0,0,MIN(U187:V187))</f>
        <v>-1</v>
      </c>
    </row>
    <row r="188" customFormat="false" ht="15" hidden="false" customHeight="true" outlineLevel="0" collapsed="false">
      <c r="A188" s="26" t="str">
        <f aca="false">IF(B188="","",IF(COUNTIF('My Colleges'!$B$8:$B$27,B188)&gt;0,"On list",""))</f>
        <v/>
      </c>
      <c r="B188" s="27" t="str">
        <f aca="false">IF(DB_Colleges!A182="","",DB_Colleges!A182)</f>
        <v>Penn State University</v>
      </c>
      <c r="C188" s="26" t="str">
        <f aca="false">IF(B188="","",DB_Colleges!B182)</f>
        <v>National Public</v>
      </c>
      <c r="D188" s="26" t="str">
        <f aca="false">IF(B188="","",DB_Colleges!C182&amp;", "&amp;DB_Colleges!D182)</f>
        <v>University Park, PA</v>
      </c>
      <c r="E188" s="26" t="str">
        <f aca="false">IF(B188="","",IF(AND(NOT(ISNUMBER($X$4)),NOT(ISNUMBER($Y$4))),"Add scores",IF(NOT(ISNUMBER(DB_Colleges!Y182)),IF(OR(C188="Ivy League",C188="Highly Selective"),"Reach",IF(COUNT(U188:V188)=0,"No data",CHOOSE(W188+2,"Reach","Target","Likely"))),IF(DB_Colleges!Y182&lt;0.15,"Reach",IF(DB_Colleges!Y182&gt;=0.75,IF(W188&gt;=0,"Likely","Target"),IF(DB_Colleges!Y182&gt;=0.4,CHOOSE(W188+2,"Reach","Target","Likely"),IF(W188=1,"Target","Reach")))))))</f>
        <v>Reach</v>
      </c>
      <c r="F188" s="28" t="n">
        <f aca="false">IF(OR(B188="",NOT(ISNUMBER(DB_Colleges!Y182))),"",DB_Colleges!Y182)</f>
        <v>0.606</v>
      </c>
      <c r="G188" s="26" t="str">
        <f aca="false">IF(OR(B188="",NOT(ISNUMBER(DB_Colleges!Z182))),"",DB_Colleges!Z182&amp;"-"&amp;DB_Colleges!AA182)</f>
        <v>1240-1420</v>
      </c>
      <c r="H188" s="26" t="str">
        <f aca="false">IF(OR(B188="",NOT(ISNUMBER(DB_Colleges!AD182))),"",DB_Colleges!AD182)</f>
        <v/>
      </c>
      <c r="I188" s="29" t="n">
        <f aca="false">IF(B188="","",IF(COUNT(DB_Colleges!I182:O182)=0,IF(DB_Colleges!P182="Yes","Rolling","Check site"),MIN(DB_Colleges!I182:O182)))</f>
        <v>46327</v>
      </c>
      <c r="J188" s="26" t="str">
        <f aca="false">IF(OR(B188="",COUNT(DB_Colleges!I182:O182)=0),"",INDEX({"ED","ED II","EA","EA II","REA","RD","Priority"},MATCH(MIN(DB_Colleges!I182:O182),DB_Colleges!I182:O182,0)))</f>
        <v>EA</v>
      </c>
      <c r="K188" s="29" t="str">
        <f aca="false">IF(OR(B188="",NOT(ISNUMBER(DB_Colleges!N182))),"",DB_Colleges!N182)</f>
        <v/>
      </c>
      <c r="L188" s="26" t="str">
        <f aca="false">IF(B188="","",DB_Colleges!G182&amp;"")</f>
        <v>Common App; School portal</v>
      </c>
      <c r="M188" s="30" t="n">
        <f aca="false">IF(OR(B188="",NOT(ISNUMBER(DB_Colleges!S182))),"",DB_Colleges!S182)</f>
        <v>65</v>
      </c>
      <c r="N188" s="26" t="str">
        <f aca="false">IF(B188="","",DB_Colleges!U182&amp;"")</f>
        <v>Optional</v>
      </c>
      <c r="O188" s="26" t="str">
        <f aca="false">IF(B188="","",IF(ISNUMBER(DB_Colleges!AH182),DB_Colleges!AH182,"Check"))</f>
        <v>Check</v>
      </c>
      <c r="P188" s="26" t="str">
        <f aca="false">IF(B188="","",DB_Colleges!W182&amp;"")</f>
        <v>Not required</v>
      </c>
      <c r="Q188" s="30" t="n">
        <f aca="false">IF(OR(B188="",NOT(ISNUMBER(DB_Colleges!AF182))),"",DB_Colleges!AF182)</f>
        <v>20814</v>
      </c>
      <c r="R188" s="28" t="n">
        <f aca="false">IF(OR(B188="",NOT(ISNUMBER(DB_Colleges!AG182))),"",DB_Colleges!AG182)</f>
        <v>0.87</v>
      </c>
      <c r="S188" s="26" t="str">
        <f aca="false">IF(B188="","",DB_Colleges!AK182&amp;"")</f>
        <v>Mixed</v>
      </c>
      <c r="T188" s="26" t="str">
        <f aca="false">IF(B188="","",DB_Colleges!AI182&amp;"")</f>
        <v>https://www.psu.edu/admission/undergraduate/how-to-apply</v>
      </c>
      <c r="U188" s="1" t="n">
        <f aca="false">IF(AND(ISNUMBER($X$4),ISNUMBER(DB_Colleges!Z182),ISNUMBER(DB_Colleges!AA182)),IF($X$4&gt;=DB_Colleges!AA182,1,IF($X$4&lt;DB_Colleges!Z182,-1,0)),"")</f>
        <v>-1</v>
      </c>
      <c r="V188" s="1" t="str">
        <f aca="false">IF(AND(ISNUMBER($Y$4),ISNUMBER(DB_Colleges!AD182)),IF($Y$4&gt;=DB_Colleges!AD182+0.15,1,IF($Y$4&lt;DB_Colleges!AD182-0.2,-1,0)),"")</f>
        <v/>
      </c>
      <c r="W188" s="1" t="n">
        <f aca="false">IF(COUNT(U188:V188)=0,0,MIN(U188:V188))</f>
        <v>-1</v>
      </c>
    </row>
    <row r="189" customFormat="false" ht="15" hidden="false" customHeight="true" outlineLevel="0" collapsed="false">
      <c r="A189" s="26" t="str">
        <f aca="false">IF(B189="","",IF(COUNTIF('My Colleges'!$B$8:$B$27,B189)&gt;0,"On list",""))</f>
        <v/>
      </c>
      <c r="B189" s="27" t="str">
        <f aca="false">IF(DB_Colleges!A183="","",DB_Colleges!A183)</f>
        <v>University of Texas at Austin</v>
      </c>
      <c r="C189" s="26" t="str">
        <f aca="false">IF(B189="","",DB_Colleges!B183)</f>
        <v>National Public</v>
      </c>
      <c r="D189" s="26" t="str">
        <f aca="false">IF(B189="","",DB_Colleges!C183&amp;", "&amp;DB_Colleges!D183)</f>
        <v>Austin, TX</v>
      </c>
      <c r="E189" s="26" t="str">
        <f aca="false">IF(B189="","",IF(AND(NOT(ISNUMBER($X$4)),NOT(ISNUMBER($Y$4))),"Add scores",IF(NOT(ISNUMBER(DB_Colleges!Y183)),IF(OR(C189="Ivy League",C189="Highly Selective"),"Reach",IF(COUNT(U189:V189)=0,"No data",CHOOSE(W189+2,"Reach","Target","Likely"))),IF(DB_Colleges!Y183&lt;0.15,"Reach",IF(DB_Colleges!Y183&gt;=0.75,IF(W189&gt;=0,"Likely","Target"),IF(DB_Colleges!Y183&gt;=0.4,CHOOSE(W189+2,"Reach","Target","Likely"),IF(W189=1,"Target","Reach")))))))</f>
        <v>Reach</v>
      </c>
      <c r="F189" s="28" t="n">
        <f aca="false">IF(OR(B189="",NOT(ISNUMBER(DB_Colleges!Y183))),"",DB_Colleges!Y183)</f>
        <v>0.266</v>
      </c>
      <c r="G189" s="26" t="str">
        <f aca="false">IF(OR(B189="",NOT(ISNUMBER(DB_Colleges!Z183))),"",DB_Colleges!Z183&amp;"-"&amp;DB_Colleges!AA183)</f>
        <v>1250-1510</v>
      </c>
      <c r="H189" s="26" t="str">
        <f aca="false">IF(OR(B189="",NOT(ISNUMBER(DB_Colleges!AD183))),"",DB_Colleges!AD183)</f>
        <v/>
      </c>
      <c r="I189" s="29" t="n">
        <f aca="false">IF(B189="","",IF(COUNT(DB_Colleges!I183:O183)=0,IF(DB_Colleges!P183="Yes","Rolling","Check site"),MIN(DB_Colleges!I183:O183)))</f>
        <v>46310</v>
      </c>
      <c r="J189" s="26" t="str">
        <f aca="false">IF(OR(B189="",COUNT(DB_Colleges!I183:O183)=0),"",INDEX({"ED","ED II","EA","EA II","REA","RD","Priority"},MATCH(MIN(DB_Colleges!I183:O183),DB_Colleges!I183:O183,0)))</f>
        <v>EA</v>
      </c>
      <c r="K189" s="29" t="n">
        <f aca="false">IF(OR(B189="",NOT(ISNUMBER(DB_Colleges!N183))),"",DB_Colleges!N183)</f>
        <v>46357</v>
      </c>
      <c r="L189" s="26" t="str">
        <f aca="false">IF(B189="","",DB_Colleges!G183&amp;"")</f>
        <v>Common App; ApplyTexas</v>
      </c>
      <c r="M189" s="30" t="n">
        <f aca="false">IF(OR(B189="",NOT(ISNUMBER(DB_Colleges!S183))),"",DB_Colleges!S183)</f>
        <v>75</v>
      </c>
      <c r="N189" s="26" t="str">
        <f aca="false">IF(B189="","",DB_Colleges!U183&amp;"")</f>
        <v>Required</v>
      </c>
      <c r="O189" s="26" t="n">
        <f aca="false">IF(B189="","",IF(ISNUMBER(DB_Colleges!AH183),DB_Colleges!AH183,"Check"))</f>
        <v>2</v>
      </c>
      <c r="P189" s="26" t="str">
        <f aca="false">IF(B189="","",DB_Colleges!W183&amp;"")</f>
        <v>Not required</v>
      </c>
      <c r="Q189" s="30" t="str">
        <f aca="false">IF(OR(B189="",NOT(ISNUMBER(DB_Colleges!AF183))),"",DB_Colleges!AF183)</f>
        <v/>
      </c>
      <c r="R189" s="28" t="str">
        <f aca="false">IF(OR(B189="",NOT(ISNUMBER(DB_Colleges!AG183))),"",DB_Colleges!AG183)</f>
        <v/>
      </c>
      <c r="S189" s="26" t="str">
        <f aca="false">IF(B189="","",DB_Colleges!AK183&amp;"")</f>
        <v>Official 2026-27</v>
      </c>
      <c r="T189" s="26" t="str">
        <f aca="false">IF(B189="","",DB_Colleges!AI183&amp;"")</f>
        <v>https://admissions.utexas.edu/apply/freshman/</v>
      </c>
      <c r="U189" s="1" t="n">
        <f aca="false">IF(AND(ISNUMBER($X$4),ISNUMBER(DB_Colleges!Z183),ISNUMBER(DB_Colleges!AA183)),IF($X$4&gt;=DB_Colleges!AA183,1,IF($X$4&lt;DB_Colleges!Z183,-1,0)),"")</f>
        <v>-1</v>
      </c>
      <c r="V189" s="1" t="str">
        <f aca="false">IF(AND(ISNUMBER($Y$4),ISNUMBER(DB_Colleges!AD183)),IF($Y$4&gt;=DB_Colleges!AD183+0.15,1,IF($Y$4&lt;DB_Colleges!AD183-0.2,-1,0)),"")</f>
        <v/>
      </c>
      <c r="W189" s="1" t="n">
        <f aca="false">IF(COUNT(U189:V189)=0,0,MIN(U189:V189))</f>
        <v>-1</v>
      </c>
    </row>
    <row r="190" customFormat="false" ht="15" hidden="false" customHeight="true" outlineLevel="0" collapsed="false">
      <c r="A190" s="26" t="str">
        <f aca="false">IF(B190="","",IF(COUNTIF('My Colleges'!$B$8:$B$27,B190)&gt;0,"On list",""))</f>
        <v/>
      </c>
      <c r="B190" s="27" t="str">
        <f aca="false">IF(DB_Colleges!A184="","",DB_Colleges!A184)</f>
        <v>Texas A&amp;M University</v>
      </c>
      <c r="C190" s="26" t="str">
        <f aca="false">IF(B190="","",DB_Colleges!B184)</f>
        <v>National Public</v>
      </c>
      <c r="D190" s="26" t="str">
        <f aca="false">IF(B190="","",DB_Colleges!C184&amp;", "&amp;DB_Colleges!D184)</f>
        <v>College Station, TX</v>
      </c>
      <c r="E190" s="26" t="str">
        <f aca="false">IF(B190="","",IF(AND(NOT(ISNUMBER($X$4)),NOT(ISNUMBER($Y$4))),"Add scores",IF(NOT(ISNUMBER(DB_Colleges!Y184)),IF(OR(C190="Ivy League",C190="Highly Selective"),"Reach",IF(COUNT(U190:V190)=0,"No data",CHOOSE(W190+2,"Reach","Target","Likely"))),IF(DB_Colleges!Y184&lt;0.15,"Reach",IF(DB_Colleges!Y184&gt;=0.75,IF(W190&gt;=0,"Likely","Target"),IF(DB_Colleges!Y184&gt;=0.4,CHOOSE(W190+2,"Reach","Target","Likely"),IF(W190=1,"Target","Reach")))))))</f>
        <v>No data</v>
      </c>
      <c r="F190" s="28" t="str">
        <f aca="false">IF(OR(B190="",NOT(ISNUMBER(DB_Colleges!Y184))),"",DB_Colleges!Y184)</f>
        <v/>
      </c>
      <c r="G190" s="26" t="str">
        <f aca="false">IF(OR(B190="",NOT(ISNUMBER(DB_Colleges!Z184))),"",DB_Colleges!Z184&amp;"-"&amp;DB_Colleges!AA184)</f>
        <v/>
      </c>
      <c r="H190" s="26" t="str">
        <f aca="false">IF(OR(B190="",NOT(ISNUMBER(DB_Colleges!AD184))),"",DB_Colleges!AD184)</f>
        <v/>
      </c>
      <c r="I190" s="29" t="n">
        <f aca="false">IF(B190="","",IF(COUNT(DB_Colleges!I184:O184)=0,IF(DB_Colleges!P184="Yes","Rolling","Check site"),MIN(DB_Colleges!I184:O184)))</f>
        <v>46357</v>
      </c>
      <c r="J190" s="26" t="str">
        <f aca="false">IF(OR(B190="",COUNT(DB_Colleges!I184:O184)=0),"",INDEX({"ED","ED II","EA","EA II","REA","RD","Priority"},MATCH(MIN(DB_Colleges!I184:O184),DB_Colleges!I184:O184,0)))</f>
        <v>RD</v>
      </c>
      <c r="K190" s="29" t="n">
        <f aca="false">IF(OR(B190="",NOT(ISNUMBER(DB_Colleges!N184))),"",DB_Colleges!N184)</f>
        <v>46357</v>
      </c>
      <c r="L190" s="26" t="str">
        <f aca="false">IF(B190="","",DB_Colleges!G184&amp;"")</f>
        <v>Common App; ApplyTexas</v>
      </c>
      <c r="M190" s="30" t="n">
        <f aca="false">IF(OR(B190="",NOT(ISNUMBER(DB_Colleges!S184))),"",DB_Colleges!S184)</f>
        <v>75</v>
      </c>
      <c r="N190" s="26" t="str">
        <f aca="false">IF(B190="","",DB_Colleges!U184&amp;"")</f>
        <v>Optional</v>
      </c>
      <c r="O190" s="26" t="n">
        <f aca="false">IF(B190="","",IF(ISNUMBER(DB_Colleges!AH184),DB_Colleges!AH184,"Check"))</f>
        <v>5</v>
      </c>
      <c r="P190" s="26" t="str">
        <f aca="false">IF(B190="","",DB_Colleges!W184&amp;"")</f>
        <v>Not required</v>
      </c>
      <c r="Q190" s="30" t="str">
        <f aca="false">IF(OR(B190="",NOT(ISNUMBER(DB_Colleges!AF184))),"",DB_Colleges!AF184)</f>
        <v/>
      </c>
      <c r="R190" s="28" t="str">
        <f aca="false">IF(OR(B190="",NOT(ISNUMBER(DB_Colleges!AG184))),"",DB_Colleges!AG184)</f>
        <v/>
      </c>
      <c r="S190" s="26" t="str">
        <f aca="false">IF(B190="","",DB_Colleges!AK184&amp;"")</f>
        <v>Mixed</v>
      </c>
      <c r="T190" s="26" t="str">
        <f aca="false">IF(B190="","",DB_Colleges!AI184&amp;"")</f>
        <v>https://www.tamu.edu/admissions/how-to-apply/apply-as-freshman.html</v>
      </c>
      <c r="U190" s="1" t="str">
        <f aca="false">IF(AND(ISNUMBER($X$4),ISNUMBER(DB_Colleges!Z184),ISNUMBER(DB_Colleges!AA184)),IF($X$4&gt;=DB_Colleges!AA184,1,IF($X$4&lt;DB_Colleges!Z184,-1,0)),"")</f>
        <v/>
      </c>
      <c r="V190" s="1" t="str">
        <f aca="false">IF(AND(ISNUMBER($Y$4),ISNUMBER(DB_Colleges!AD184)),IF($Y$4&gt;=DB_Colleges!AD184+0.15,1,IF($Y$4&lt;DB_Colleges!AD184-0.2,-1,0)),"")</f>
        <v/>
      </c>
      <c r="W190" s="1" t="n">
        <f aca="false">IF(COUNT(U190:V190)=0,0,MIN(U190:V190))</f>
        <v>0</v>
      </c>
    </row>
    <row r="191" customFormat="false" ht="15" hidden="false" customHeight="true" outlineLevel="0" collapsed="false">
      <c r="A191" s="26" t="str">
        <f aca="false">IF(B191="","",IF(COUNTIF('My Colleges'!$B$8:$B$27,B191)&gt;0,"On list",""))</f>
        <v/>
      </c>
      <c r="B191" s="27" t="str">
        <f aca="false">IF(DB_Colleges!A185="","",DB_Colleges!A185)</f>
        <v>University of Maryland, College Park</v>
      </c>
      <c r="C191" s="26" t="str">
        <f aca="false">IF(B191="","",DB_Colleges!B185)</f>
        <v>National Public</v>
      </c>
      <c r="D191" s="26" t="str">
        <f aca="false">IF(B191="","",DB_Colleges!C185&amp;", "&amp;DB_Colleges!D185)</f>
        <v>College Park, MD</v>
      </c>
      <c r="E191" s="26" t="str">
        <f aca="false">IF(B191="","",IF(AND(NOT(ISNUMBER($X$4)),NOT(ISNUMBER($Y$4))),"Add scores",IF(NOT(ISNUMBER(DB_Colleges!Y185)),IF(OR(C191="Ivy League",C191="Highly Selective"),"Reach",IF(COUNT(U191:V191)=0,"No data",CHOOSE(W191+2,"Reach","Target","Likely"))),IF(DB_Colleges!Y185&lt;0.15,"Reach",IF(DB_Colleges!Y185&gt;=0.75,IF(W191&gt;=0,"Likely","Target"),IF(DB_Colleges!Y185&gt;=0.4,CHOOSE(W191+2,"Reach","Target","Likely"),IF(W191=1,"Target","Reach")))))))</f>
        <v>Reach</v>
      </c>
      <c r="F191" s="28" t="n">
        <f aca="false">IF(OR(B191="",NOT(ISNUMBER(DB_Colleges!Y185))),"",DB_Colleges!Y185)</f>
        <v>0.448</v>
      </c>
      <c r="G191" s="26" t="str">
        <f aca="false">IF(OR(B191="",NOT(ISNUMBER(DB_Colleges!Z185))),"",DB_Colleges!Z185&amp;"-"&amp;DB_Colleges!AA185)</f>
        <v>1400-1530</v>
      </c>
      <c r="H191" s="26" t="str">
        <f aca="false">IF(OR(B191="",NOT(ISNUMBER(DB_Colleges!AD185))),"",DB_Colleges!AD185)</f>
        <v/>
      </c>
      <c r="I191" s="29" t="n">
        <f aca="false">IF(B191="","",IF(COUNT(DB_Colleges!I185:O185)=0,IF(DB_Colleges!P185="Yes","Rolling","Check site"),MIN(DB_Colleges!I185:O185)))</f>
        <v>46327</v>
      </c>
      <c r="J191" s="26" t="str">
        <f aca="false">IF(OR(B191="",COUNT(DB_Colleges!I185:O185)=0),"",INDEX({"ED","ED II","EA","EA II","REA","RD","Priority"},MATCH(MIN(DB_Colleges!I185:O185),DB_Colleges!I185:O185,0)))</f>
        <v>EA</v>
      </c>
      <c r="K191" s="29" t="n">
        <f aca="false">IF(OR(B191="",NOT(ISNUMBER(DB_Colleges!N185))),"",DB_Colleges!N185)</f>
        <v>46407</v>
      </c>
      <c r="L191" s="26" t="str">
        <f aca="false">IF(B191="","",DB_Colleges!G185&amp;"")</f>
        <v>Common App; ApplyWeb</v>
      </c>
      <c r="M191" s="30" t="n">
        <f aca="false">IF(OR(B191="",NOT(ISNUMBER(DB_Colleges!S185))),"",DB_Colleges!S185)</f>
        <v>80</v>
      </c>
      <c r="N191" s="26" t="str">
        <f aca="false">IF(B191="","",DB_Colleges!U185&amp;"")</f>
        <v>Optional</v>
      </c>
      <c r="O191" s="26" t="n">
        <f aca="false">IF(B191="","",IF(ISNUMBER(DB_Colleges!AH185),DB_Colleges!AH185,"Check"))</f>
        <v>0</v>
      </c>
      <c r="P191" s="26" t="str">
        <f aca="false">IF(B191="","",DB_Colleges!W185&amp;"")</f>
        <v>Not required</v>
      </c>
      <c r="Q191" s="30" t="n">
        <f aca="false">IF(OR(B191="",NOT(ISNUMBER(DB_Colleges!AF185))),"",DB_Colleges!AF185)</f>
        <v>8054</v>
      </c>
      <c r="R191" s="28" t="str">
        <f aca="false">IF(OR(B191="",NOT(ISNUMBER(DB_Colleges!AG185))),"",DB_Colleges!AG185)</f>
        <v/>
      </c>
      <c r="S191" s="26" t="str">
        <f aca="false">IF(B191="","",DB_Colleges!AK185&amp;"")</f>
        <v>Official 2026-27</v>
      </c>
      <c r="T191" s="26" t="str">
        <f aca="false">IF(B191="","",DB_Colleges!AI185&amp;"")</f>
        <v>https://admissions.umd.edu/apply/freshman-applicants</v>
      </c>
      <c r="U191" s="1" t="n">
        <f aca="false">IF(AND(ISNUMBER($X$4),ISNUMBER(DB_Colleges!Z185),ISNUMBER(DB_Colleges!AA185)),IF($X$4&gt;=DB_Colleges!AA185,1,IF($X$4&lt;DB_Colleges!Z185,-1,0)),"")</f>
        <v>-1</v>
      </c>
      <c r="V191" s="1" t="str">
        <f aca="false">IF(AND(ISNUMBER($Y$4),ISNUMBER(DB_Colleges!AD185)),IF($Y$4&gt;=DB_Colleges!AD185+0.15,1,IF($Y$4&lt;DB_Colleges!AD185-0.2,-1,0)),"")</f>
        <v/>
      </c>
      <c r="W191" s="1" t="n">
        <f aca="false">IF(COUNT(U191:V191)=0,0,MIN(U191:V191))</f>
        <v>-1</v>
      </c>
    </row>
    <row r="192" customFormat="false" ht="15" hidden="false" customHeight="true" outlineLevel="0" collapsed="false">
      <c r="A192" s="26" t="str">
        <f aca="false">IF(B192="","",IF(COUNTIF('My Colleges'!$B$8:$B$27,B192)&gt;0,"On list",""))</f>
        <v/>
      </c>
      <c r="B192" s="27" t="str">
        <f aca="false">IF(DB_Colleges!A186="","",DB_Colleges!A186)</f>
        <v>Purdue University</v>
      </c>
      <c r="C192" s="26" t="str">
        <f aca="false">IF(B192="","",DB_Colleges!B186)</f>
        <v>National Public</v>
      </c>
      <c r="D192" s="26" t="str">
        <f aca="false">IF(B192="","",DB_Colleges!C186&amp;", "&amp;DB_Colleges!D186)</f>
        <v>West Lafayette, IN</v>
      </c>
      <c r="E192" s="26" t="str">
        <f aca="false">IF(B192="","",IF(AND(NOT(ISNUMBER($X$4)),NOT(ISNUMBER($Y$4))),"Add scores",IF(NOT(ISNUMBER(DB_Colleges!Y186)),IF(OR(C192="Ivy League",C192="Highly Selective"),"Reach",IF(COUNT(U192:V192)=0,"No data",CHOOSE(W192+2,"Reach","Target","Likely"))),IF(DB_Colleges!Y186&lt;0.15,"Reach",IF(DB_Colleges!Y186&gt;=0.75,IF(W192&gt;=0,"Likely","Target"),IF(DB_Colleges!Y186&gt;=0.4,CHOOSE(W192+2,"Reach","Target","Likely"),IF(W192=1,"Target","Reach")))))))</f>
        <v>Reach</v>
      </c>
      <c r="F192" s="28" t="n">
        <f aca="false">IF(OR(B192="",NOT(ISNUMBER(DB_Colleges!Y186))),"",DB_Colleges!Y186)</f>
        <v>0.499</v>
      </c>
      <c r="G192" s="26" t="str">
        <f aca="false">IF(OR(B192="",NOT(ISNUMBER(DB_Colleges!Z186))),"",DB_Colleges!Z186&amp;"-"&amp;DB_Colleges!AA186)</f>
        <v>1200-1480</v>
      </c>
      <c r="H192" s="26" t="n">
        <f aca="false">IF(OR(B192="",NOT(ISNUMBER(DB_Colleges!AD186))),"",DB_Colleges!AD186)</f>
        <v>3.67</v>
      </c>
      <c r="I192" s="29" t="n">
        <f aca="false">IF(B192="","",IF(COUNT(DB_Colleges!I186:O186)=0,IF(DB_Colleges!P186="Yes","Rolling","Check site"),MIN(DB_Colleges!I186:O186)))</f>
        <v>46327</v>
      </c>
      <c r="J192" s="26" t="str">
        <f aca="false">IF(OR(B192="",COUNT(DB_Colleges!I186:O186)=0),"",INDEX({"ED","ED II","EA","EA II","REA","RD","Priority"},MATCH(MIN(DB_Colleges!I186:O186),DB_Colleges!I186:O186,0)))</f>
        <v>EA</v>
      </c>
      <c r="K192" s="29" t="n">
        <f aca="false">IF(OR(B192="",NOT(ISNUMBER(DB_Colleges!N186))),"",DB_Colleges!N186)</f>
        <v>46402</v>
      </c>
      <c r="L192" s="26" t="str">
        <f aca="false">IF(B192="","",DB_Colleges!G186&amp;"")</f>
        <v>Common App; School portal</v>
      </c>
      <c r="M192" s="30" t="str">
        <f aca="false">IF(OR(B192="",NOT(ISNUMBER(DB_Colleges!S186))),"",DB_Colleges!S186)</f>
        <v/>
      </c>
      <c r="N192" s="26" t="str">
        <f aca="false">IF(B192="","",DB_Colleges!U186&amp;"")</f>
        <v/>
      </c>
      <c r="O192" s="26" t="str">
        <f aca="false">IF(B192="","",IF(ISNUMBER(DB_Colleges!AH186),DB_Colleges!AH186,"Check"))</f>
        <v>Check</v>
      </c>
      <c r="P192" s="26" t="str">
        <f aca="false">IF(B192="","",DB_Colleges!W186&amp;"")</f>
        <v/>
      </c>
      <c r="Q192" s="30" t="n">
        <f aca="false">IF(OR(B192="",NOT(ISNUMBER(DB_Colleges!AF186))),"",DB_Colleges!AF186)</f>
        <v>5483</v>
      </c>
      <c r="R192" s="28" t="str">
        <f aca="false">IF(OR(B192="",NOT(ISNUMBER(DB_Colleges!AG186))),"",DB_Colleges!AG186)</f>
        <v/>
      </c>
      <c r="S192" s="26" t="str">
        <f aca="false">IF(B192="","",DB_Colleges!AK186&amp;"")</f>
        <v>Typical dates, confirm</v>
      </c>
      <c r="T192" s="26" t="str">
        <f aca="false">IF(B192="","",DB_Colleges!AI186&amp;"")</f>
        <v>https://admissions.purdue.edu/become-student/apply/</v>
      </c>
      <c r="U192" s="1" t="n">
        <f aca="false">IF(AND(ISNUMBER($X$4),ISNUMBER(DB_Colleges!Z186),ISNUMBER(DB_Colleges!AA186)),IF($X$4&gt;=DB_Colleges!AA186,1,IF($X$4&lt;DB_Colleges!Z186,-1,0)),"")</f>
        <v>-1</v>
      </c>
      <c r="V192" s="1" t="n">
        <f aca="false">IF(AND(ISNUMBER($Y$4),ISNUMBER(DB_Colleges!AD186)),IF($Y$4&gt;=DB_Colleges!AD186+0.15,1,IF($Y$4&lt;DB_Colleges!AD186-0.2,-1,0)),"")</f>
        <v>0</v>
      </c>
      <c r="W192" s="1" t="n">
        <f aca="false">IF(COUNT(U192:V192)=0,0,MIN(U192:V192))</f>
        <v>-1</v>
      </c>
    </row>
    <row r="193" customFormat="false" ht="15" hidden="false" customHeight="true" outlineLevel="0" collapsed="false">
      <c r="A193" s="26" t="str">
        <f aca="false">IF(B193="","",IF(COUNTIF('My Colleges'!$B$8:$B$27,B193)&gt;0,"On list",""))</f>
        <v/>
      </c>
      <c r="B193" s="27" t="str">
        <f aca="false">IF(DB_Colleges!A187="","",DB_Colleges!A187)</f>
        <v>Indiana University Bloomington</v>
      </c>
      <c r="C193" s="26" t="str">
        <f aca="false">IF(B193="","",DB_Colleges!B187)</f>
        <v>National Public</v>
      </c>
      <c r="D193" s="26" t="str">
        <f aca="false">IF(B193="","",DB_Colleges!C187&amp;", "&amp;DB_Colleges!D187)</f>
        <v>Bloomington, IN</v>
      </c>
      <c r="E193" s="26" t="str">
        <f aca="false">IF(B193="","",IF(AND(NOT(ISNUMBER($X$4)),NOT(ISNUMBER($Y$4))),"Add scores",IF(NOT(ISNUMBER(DB_Colleges!Y187)),IF(OR(C193="Ivy League",C193="Highly Selective"),"Reach",IF(COUNT(U193:V193)=0,"No data",CHOOSE(W193+2,"Reach","Target","Likely"))),IF(DB_Colleges!Y187&lt;0.15,"Reach",IF(DB_Colleges!Y187&gt;=0.75,IF(W193&gt;=0,"Likely","Target"),IF(DB_Colleges!Y187&gt;=0.4,CHOOSE(W193+2,"Reach","Target","Likely"),IF(W193=1,"Target","Reach")))))))</f>
        <v>Target</v>
      </c>
      <c r="F193" s="28" t="n">
        <f aca="false">IF(OR(B193="",NOT(ISNUMBER(DB_Colleges!Y187))),"",DB_Colleges!Y187)</f>
        <v>0.782</v>
      </c>
      <c r="G193" s="26" t="str">
        <f aca="false">IF(OR(B193="",NOT(ISNUMBER(DB_Colleges!Z187))),"",DB_Colleges!Z187&amp;"-"&amp;DB_Colleges!AA187)</f>
        <v>1170-1400</v>
      </c>
      <c r="H193" s="26" t="n">
        <f aca="false">IF(OR(B193="",NOT(ISNUMBER(DB_Colleges!AD187))),"",DB_Colleges!AD187)</f>
        <v>3.74</v>
      </c>
      <c r="I193" s="29" t="n">
        <f aca="false">IF(B193="","",IF(COUNT(DB_Colleges!I187:O187)=0,IF(DB_Colleges!P187="Yes","Rolling","Check site"),MIN(DB_Colleges!I187:O187)))</f>
        <v>46327</v>
      </c>
      <c r="J193" s="26" t="str">
        <f aca="false">IF(OR(B193="",COUNT(DB_Colleges!I187:O187)=0),"",INDEX({"ED","ED II","EA","EA II","REA","RD","Priority"},MATCH(MIN(DB_Colleges!I187:O187),DB_Colleges!I187:O187,0)))</f>
        <v>EA</v>
      </c>
      <c r="K193" s="29" t="n">
        <f aca="false">IF(OR(B193="",NOT(ISNUMBER(DB_Colleges!N187))),"",DB_Colleges!N187)</f>
        <v>46419</v>
      </c>
      <c r="L193" s="26" t="str">
        <f aca="false">IF(B193="","",DB_Colleges!G187&amp;"")</f>
        <v>Common App; Apply IU</v>
      </c>
      <c r="M193" s="30" t="n">
        <f aca="false">IF(OR(B193="",NOT(ISNUMBER(DB_Colleges!S187))),"",DB_Colleges!S187)</f>
        <v>65</v>
      </c>
      <c r="N193" s="26" t="str">
        <f aca="false">IF(B193="","",DB_Colleges!U187&amp;"")</f>
        <v>Optional</v>
      </c>
      <c r="O193" s="26" t="n">
        <f aca="false">IF(B193="","",IF(ISNUMBER(DB_Colleges!AH187),DB_Colleges!AH187,"Check"))</f>
        <v>0</v>
      </c>
      <c r="P193" s="26" t="str">
        <f aca="false">IF(B193="","",DB_Colleges!W187&amp;"")</f>
        <v/>
      </c>
      <c r="Q193" s="30" t="n">
        <f aca="false">IF(OR(B193="",NOT(ISNUMBER(DB_Colleges!AF187))),"",DB_Colleges!AF187)</f>
        <v>4969</v>
      </c>
      <c r="R193" s="28" t="str">
        <f aca="false">IF(OR(B193="",NOT(ISNUMBER(DB_Colleges!AG187))),"",DB_Colleges!AG187)</f>
        <v/>
      </c>
      <c r="S193" s="26" t="str">
        <f aca="false">IF(B193="","",DB_Colleges!AK187&amp;"")</f>
        <v>Official 2026-27</v>
      </c>
      <c r="T193" s="26" t="str">
        <f aca="false">IF(B193="","",DB_Colleges!AI187&amp;"")</f>
        <v>https://bloomington.iu.edu/admissions/apply/freshman/</v>
      </c>
      <c r="U193" s="1" t="n">
        <f aca="false">IF(AND(ISNUMBER($X$4),ISNUMBER(DB_Colleges!Z187),ISNUMBER(DB_Colleges!AA187)),IF($X$4&gt;=DB_Colleges!AA187,1,IF($X$4&lt;DB_Colleges!Z187,-1,0)),"")</f>
        <v>-1</v>
      </c>
      <c r="V193" s="1" t="n">
        <f aca="false">IF(AND(ISNUMBER($Y$4),ISNUMBER(DB_Colleges!AD187)),IF($Y$4&gt;=DB_Colleges!AD187+0.15,1,IF($Y$4&lt;DB_Colleges!AD187-0.2,-1,0)),"")</f>
        <v>-1</v>
      </c>
      <c r="W193" s="1" t="n">
        <f aca="false">IF(COUNT(U193:V193)=0,0,MIN(U193:V193))</f>
        <v>-1</v>
      </c>
    </row>
    <row r="194" customFormat="false" ht="15" hidden="false" customHeight="true" outlineLevel="0" collapsed="false">
      <c r="A194" s="26" t="str">
        <f aca="false">IF(B194="","",IF(COUNTIF('My Colleges'!$B$8:$B$27,B194)&gt;0,"On list",""))</f>
        <v/>
      </c>
      <c r="B194" s="27" t="str">
        <f aca="false">IF(DB_Colleges!A188="","",DB_Colleges!A188)</f>
        <v>University of Illinois Urbana-Champaign</v>
      </c>
      <c r="C194" s="26" t="str">
        <f aca="false">IF(B194="","",DB_Colleges!B188)</f>
        <v>National Public</v>
      </c>
      <c r="D194" s="26" t="str">
        <f aca="false">IF(B194="","",DB_Colleges!C188&amp;", "&amp;DB_Colleges!D188)</f>
        <v>Champaign, IL</v>
      </c>
      <c r="E194" s="26" t="str">
        <f aca="false">IF(B194="","",IF(AND(NOT(ISNUMBER($X$4)),NOT(ISNUMBER($Y$4))),"Add scores",IF(NOT(ISNUMBER(DB_Colleges!Y188)),IF(OR(C194="Ivy League",C194="Highly Selective"),"Reach",IF(COUNT(U194:V194)=0,"No data",CHOOSE(W194+2,"Reach","Target","Likely"))),IF(DB_Colleges!Y188&lt;0.15,"Reach",IF(DB_Colleges!Y188&gt;=0.75,IF(W194&gt;=0,"Likely","Target"),IF(DB_Colleges!Y188&gt;=0.4,CHOOSE(W194+2,"Reach","Target","Likely"),IF(W194=1,"Target","Reach")))))))</f>
        <v>No data</v>
      </c>
      <c r="F194" s="28" t="str">
        <f aca="false">IF(OR(B194="",NOT(ISNUMBER(DB_Colleges!Y188))),"",DB_Colleges!Y188)</f>
        <v/>
      </c>
      <c r="G194" s="26" t="str">
        <f aca="false">IF(OR(B194="",NOT(ISNUMBER(DB_Colleges!Z188))),"",DB_Colleges!Z188&amp;"-"&amp;DB_Colleges!AA188)</f>
        <v/>
      </c>
      <c r="H194" s="26" t="str">
        <f aca="false">IF(OR(B194="",NOT(ISNUMBER(DB_Colleges!AD188))),"",DB_Colleges!AD188)</f>
        <v/>
      </c>
      <c r="I194" s="29" t="n">
        <f aca="false">IF(B194="","",IF(COUNT(DB_Colleges!I188:O188)=0,IF(DB_Colleges!P188="Yes","Rolling","Check site"),MIN(DB_Colleges!I188:O188)))</f>
        <v>46327</v>
      </c>
      <c r="J194" s="26" t="str">
        <f aca="false">IF(OR(B194="",COUNT(DB_Colleges!I188:O188)=0),"",INDEX({"ED","ED II","EA","EA II","REA","RD","Priority"},MATCH(MIN(DB_Colleges!I188:O188),DB_Colleges!I188:O188,0)))</f>
        <v>EA</v>
      </c>
      <c r="K194" s="29" t="n">
        <f aca="false">IF(OR(B194="",NOT(ISNUMBER(DB_Colleges!N188))),"",DB_Colleges!N188)</f>
        <v>46392</v>
      </c>
      <c r="L194" s="26" t="str">
        <f aca="false">IF(B194="","",DB_Colleges!G188&amp;"")</f>
        <v>Common App; School portal</v>
      </c>
      <c r="M194" s="30" t="str">
        <f aca="false">IF(OR(B194="",NOT(ISNUMBER(DB_Colleges!S188))),"",DB_Colleges!S188)</f>
        <v/>
      </c>
      <c r="N194" s="26" t="str">
        <f aca="false">IF(B194="","",DB_Colleges!U188&amp;"")</f>
        <v/>
      </c>
      <c r="O194" s="26" t="str">
        <f aca="false">IF(B194="","",IF(ISNUMBER(DB_Colleges!AH188),DB_Colleges!AH188,"Check"))</f>
        <v>Check</v>
      </c>
      <c r="P194" s="26" t="str">
        <f aca="false">IF(B194="","",DB_Colleges!W188&amp;"")</f>
        <v/>
      </c>
      <c r="Q194" s="30" t="n">
        <f aca="false">IF(OR(B194="",NOT(ISNUMBER(DB_Colleges!AF188))),"",DB_Colleges!AF188)</f>
        <v>5477</v>
      </c>
      <c r="R194" s="28" t="str">
        <f aca="false">IF(OR(B194="",NOT(ISNUMBER(DB_Colleges!AG188))),"",DB_Colleges!AG188)</f>
        <v/>
      </c>
      <c r="S194" s="26" t="str">
        <f aca="false">IF(B194="","",DB_Colleges!AK188&amp;"")</f>
        <v>Typical dates, confirm</v>
      </c>
      <c r="T194" s="26" t="str">
        <f aca="false">IF(B194="","",DB_Colleges!AI188&amp;"")</f>
        <v>https://admissions.illinois.edu/apply/freshman/process</v>
      </c>
      <c r="U194" s="1" t="str">
        <f aca="false">IF(AND(ISNUMBER($X$4),ISNUMBER(DB_Colleges!Z188),ISNUMBER(DB_Colleges!AA188)),IF($X$4&gt;=DB_Colleges!AA188,1,IF($X$4&lt;DB_Colleges!Z188,-1,0)),"")</f>
        <v/>
      </c>
      <c r="V194" s="1" t="str">
        <f aca="false">IF(AND(ISNUMBER($Y$4),ISNUMBER(DB_Colleges!AD188)),IF($Y$4&gt;=DB_Colleges!AD188+0.15,1,IF($Y$4&lt;DB_Colleges!AD188-0.2,-1,0)),"")</f>
        <v/>
      </c>
      <c r="W194" s="1" t="n">
        <f aca="false">IF(COUNT(U194:V194)=0,0,MIN(U194:V194))</f>
        <v>0</v>
      </c>
    </row>
    <row r="195" customFormat="false" ht="15" hidden="false" customHeight="true" outlineLevel="0" collapsed="false">
      <c r="A195" s="26" t="str">
        <f aca="false">IF(B195="","",IF(COUNTIF('My Colleges'!$B$8:$B$27,B195)&gt;0,"On list",""))</f>
        <v/>
      </c>
      <c r="B195" s="27" t="str">
        <f aca="false">IF(DB_Colleges!A189="","",DB_Colleges!A189)</f>
        <v>University of Wisconsin-Madison</v>
      </c>
      <c r="C195" s="26" t="str">
        <f aca="false">IF(B195="","",DB_Colleges!B189)</f>
        <v>National Public</v>
      </c>
      <c r="D195" s="26" t="str">
        <f aca="false">IF(B195="","",DB_Colleges!C189&amp;", "&amp;DB_Colleges!D189)</f>
        <v>Madison, WI</v>
      </c>
      <c r="E195" s="26" t="str">
        <f aca="false">IF(B195="","",IF(AND(NOT(ISNUMBER($X$4)),NOT(ISNUMBER($Y$4))),"Add scores",IF(NOT(ISNUMBER(DB_Colleges!Y189)),IF(OR(C195="Ivy League",C195="Highly Selective"),"Reach",IF(COUNT(U195:V195)=0,"No data",CHOOSE(W195+2,"Reach","Target","Likely"))),IF(DB_Colleges!Y189&lt;0.15,"Reach",IF(DB_Colleges!Y189&gt;=0.75,IF(W195&gt;=0,"Likely","Target"),IF(DB_Colleges!Y189&gt;=0.4,CHOOSE(W195+2,"Reach","Target","Likely"),IF(W195=1,"Target","Reach")))))))</f>
        <v>Reach</v>
      </c>
      <c r="F195" s="28" t="n">
        <f aca="false">IF(OR(B195="",NOT(ISNUMBER(DB_Colleges!Y189))),"",DB_Colleges!Y189)</f>
        <v>0.452</v>
      </c>
      <c r="G195" s="26" t="str">
        <f aca="false">IF(OR(B195="",NOT(ISNUMBER(DB_Colleges!Z189))),"",DB_Colleges!Z189&amp;"-"&amp;DB_Colleges!AA189)</f>
        <v>1380-1520</v>
      </c>
      <c r="H195" s="26" t="n">
        <f aca="false">IF(OR(B195="",NOT(ISNUMBER(DB_Colleges!AD189))),"",DB_Colleges!AD189)</f>
        <v>3.88</v>
      </c>
      <c r="I195" s="29" t="n">
        <f aca="false">IF(B195="","",IF(COUNT(DB_Colleges!I189:O189)=0,IF(DB_Colleges!P189="Yes","Rolling","Check site"),MIN(DB_Colleges!I189:O189)))</f>
        <v>46327</v>
      </c>
      <c r="J195" s="26" t="str">
        <f aca="false">IF(OR(B195="",COUNT(DB_Colleges!I189:O189)=0),"",INDEX({"ED","ED II","EA","EA II","REA","RD","Priority"},MATCH(MIN(DB_Colleges!I189:O189),DB_Colleges!I189:O189,0)))</f>
        <v>EA</v>
      </c>
      <c r="K195" s="29" t="n">
        <f aca="false">IF(OR(B195="",NOT(ISNUMBER(DB_Colleges!N189))),"",DB_Colleges!N189)</f>
        <v>46402</v>
      </c>
      <c r="L195" s="26" t="str">
        <f aca="false">IF(B195="","",DB_Colleges!G189&amp;"")</f>
        <v>Common App; School portal</v>
      </c>
      <c r="M195" s="30" t="str">
        <f aca="false">IF(OR(B195="",NOT(ISNUMBER(DB_Colleges!S189))),"",DB_Colleges!S189)</f>
        <v/>
      </c>
      <c r="N195" s="26" t="str">
        <f aca="false">IF(B195="","",DB_Colleges!U189&amp;"")</f>
        <v/>
      </c>
      <c r="O195" s="26" t="str">
        <f aca="false">IF(B195="","",IF(ISNUMBER(DB_Colleges!AH189),DB_Colleges!AH189,"Check"))</f>
        <v>Check</v>
      </c>
      <c r="P195" s="26" t="str">
        <f aca="false">IF(B195="","",DB_Colleges!W189&amp;"")</f>
        <v/>
      </c>
      <c r="Q195" s="30" t="n">
        <f aca="false">IF(OR(B195="",NOT(ISNUMBER(DB_Colleges!AF189))),"",DB_Colleges!AF189)</f>
        <v>4367</v>
      </c>
      <c r="R195" s="28" t="str">
        <f aca="false">IF(OR(B195="",NOT(ISNUMBER(DB_Colleges!AG189))),"",DB_Colleges!AG189)</f>
        <v/>
      </c>
      <c r="S195" s="26" t="str">
        <f aca="false">IF(B195="","",DB_Colleges!AK189&amp;"")</f>
        <v>Typical dates, confirm</v>
      </c>
      <c r="T195" s="26" t="str">
        <f aca="false">IF(B195="","",DB_Colleges!AI189&amp;"")</f>
        <v>https://admissions.wisc.edu/apply-as-a-freshman/</v>
      </c>
      <c r="U195" s="1" t="n">
        <f aca="false">IF(AND(ISNUMBER($X$4),ISNUMBER(DB_Colleges!Z189),ISNUMBER(DB_Colleges!AA189)),IF($X$4&gt;=DB_Colleges!AA189,1,IF($X$4&lt;DB_Colleges!Z189,-1,0)),"")</f>
        <v>-1</v>
      </c>
      <c r="V195" s="1" t="n">
        <f aca="false">IF(AND(ISNUMBER($Y$4),ISNUMBER(DB_Colleges!AD189)),IF($Y$4&gt;=DB_Colleges!AD189+0.15,1,IF($Y$4&lt;DB_Colleges!AD189-0.2,-1,0)),"")</f>
        <v>-1</v>
      </c>
      <c r="W195" s="1" t="n">
        <f aca="false">IF(COUNT(U195:V195)=0,0,MIN(U195:V195))</f>
        <v>-1</v>
      </c>
    </row>
    <row r="196" customFormat="false" ht="15" hidden="false" customHeight="true" outlineLevel="0" collapsed="false">
      <c r="A196" s="26" t="str">
        <f aca="false">IF(B196="","",IF(COUNTIF('My Colleges'!$B$8:$B$27,B196)&gt;0,"On list",""))</f>
        <v/>
      </c>
      <c r="B196" s="27" t="str">
        <f aca="false">IF(DB_Colleges!A190="","",DB_Colleges!A190)</f>
        <v>Rutgers University-New Brunswick</v>
      </c>
      <c r="C196" s="26" t="str">
        <f aca="false">IF(B196="","",DB_Colleges!B190)</f>
        <v>National Public</v>
      </c>
      <c r="D196" s="26" t="str">
        <f aca="false">IF(B196="","",DB_Colleges!C190&amp;", "&amp;DB_Colleges!D190)</f>
        <v>New Brunswick, NJ</v>
      </c>
      <c r="E196" s="26" t="str">
        <f aca="false">IF(B196="","",IF(AND(NOT(ISNUMBER($X$4)),NOT(ISNUMBER($Y$4))),"Add scores",IF(NOT(ISNUMBER(DB_Colleges!Y190)),IF(OR(C196="Ivy League",C196="Highly Selective"),"Reach",IF(COUNT(U196:V196)=0,"No data",CHOOSE(W196+2,"Reach","Target","Likely"))),IF(DB_Colleges!Y190&lt;0.15,"Reach",IF(DB_Colleges!Y190&gt;=0.75,IF(W196&gt;=0,"Likely","Target"),IF(DB_Colleges!Y190&gt;=0.4,CHOOSE(W196+2,"Reach","Target","Likely"),IF(W196=1,"Target","Reach")))))))</f>
        <v>Reach</v>
      </c>
      <c r="F196" s="28" t="n">
        <f aca="false">IF(OR(B196="",NOT(ISNUMBER(DB_Colleges!Y190))),"",DB_Colleges!Y190)</f>
        <v>0.581</v>
      </c>
      <c r="G196" s="26" t="str">
        <f aca="false">IF(OR(B196="",NOT(ISNUMBER(DB_Colleges!Z190))),"",DB_Colleges!Z190&amp;"-"&amp;DB_Colleges!AA190)</f>
        <v>1310-1500</v>
      </c>
      <c r="H196" s="26" t="str">
        <f aca="false">IF(OR(B196="",NOT(ISNUMBER(DB_Colleges!AD190))),"",DB_Colleges!AD190)</f>
        <v/>
      </c>
      <c r="I196" s="29" t="n">
        <f aca="false">IF(B196="","",IF(COUNT(DB_Colleges!I190:O190)=0,IF(DB_Colleges!P190="Yes","Rolling","Check site"),MIN(DB_Colleges!I190:O190)))</f>
        <v>46327</v>
      </c>
      <c r="J196" s="26" t="str">
        <f aca="false">IF(OR(B196="",COUNT(DB_Colleges!I190:O190)=0),"",INDEX({"ED","ED II","EA","EA II","REA","RD","Priority"},MATCH(MIN(DB_Colleges!I190:O190),DB_Colleges!I190:O190,0)))</f>
        <v>EA</v>
      </c>
      <c r="K196" s="29" t="n">
        <f aca="false">IF(OR(B196="",NOT(ISNUMBER(DB_Colleges!N190))),"",DB_Colleges!N190)</f>
        <v>46357</v>
      </c>
      <c r="L196" s="26" t="str">
        <f aca="false">IF(B196="","",DB_Colleges!G190&amp;"")</f>
        <v>Common App; School portal</v>
      </c>
      <c r="M196" s="30" t="str">
        <f aca="false">IF(OR(B196="",NOT(ISNUMBER(DB_Colleges!S190))),"",DB_Colleges!S190)</f>
        <v/>
      </c>
      <c r="N196" s="26" t="str">
        <f aca="false">IF(B196="","",DB_Colleges!U190&amp;"")</f>
        <v/>
      </c>
      <c r="O196" s="26" t="str">
        <f aca="false">IF(B196="","",IF(ISNUMBER(DB_Colleges!AH190),DB_Colleges!AH190,"Check"))</f>
        <v>Check</v>
      </c>
      <c r="P196" s="26" t="str">
        <f aca="false">IF(B196="","",DB_Colleges!W190&amp;"")</f>
        <v/>
      </c>
      <c r="Q196" s="30" t="n">
        <f aca="false">IF(OR(B196="",NOT(ISNUMBER(DB_Colleges!AF190))),"",DB_Colleges!AF190)</f>
        <v>13545</v>
      </c>
      <c r="R196" s="28" t="str">
        <f aca="false">IF(OR(B196="",NOT(ISNUMBER(DB_Colleges!AG190))),"",DB_Colleges!AG190)</f>
        <v/>
      </c>
      <c r="S196" s="26" t="str">
        <f aca="false">IF(B196="","",DB_Colleges!AK190&amp;"")</f>
        <v>Typical dates, confirm</v>
      </c>
      <c r="T196" s="26" t="str">
        <f aca="false">IF(B196="","",DB_Colleges!AI190&amp;"")</f>
        <v>https://admissions.rutgers.edu/apply/dates-deadlines/new-brunswick</v>
      </c>
      <c r="U196" s="1" t="n">
        <f aca="false">IF(AND(ISNUMBER($X$4),ISNUMBER(DB_Colleges!Z190),ISNUMBER(DB_Colleges!AA190)),IF($X$4&gt;=DB_Colleges!AA190,1,IF($X$4&lt;DB_Colleges!Z190,-1,0)),"")</f>
        <v>-1</v>
      </c>
      <c r="V196" s="1" t="str">
        <f aca="false">IF(AND(ISNUMBER($Y$4),ISNUMBER(DB_Colleges!AD190)),IF($Y$4&gt;=DB_Colleges!AD190+0.15,1,IF($Y$4&lt;DB_Colleges!AD190-0.2,-1,0)),"")</f>
        <v/>
      </c>
      <c r="W196" s="1" t="n">
        <f aca="false">IF(COUNT(U196:V196)=0,0,MIN(U196:V196))</f>
        <v>-1</v>
      </c>
    </row>
    <row r="197" customFormat="false" ht="15" hidden="false" customHeight="true" outlineLevel="0" collapsed="false">
      <c r="A197" s="26" t="str">
        <f aca="false">IF(B197="","",IF(COUNTIF('My Colleges'!$B$8:$B$27,B197)&gt;0,"On list",""))</f>
        <v/>
      </c>
      <c r="B197" s="27" t="str">
        <f aca="false">IF(DB_Colleges!A191="","",DB_Colleges!A191)</f>
        <v>Arizona State University</v>
      </c>
      <c r="C197" s="26" t="str">
        <f aca="false">IF(B197="","",DB_Colleges!B191)</f>
        <v>National Public</v>
      </c>
      <c r="D197" s="26" t="str">
        <f aca="false">IF(B197="","",DB_Colleges!C191&amp;", "&amp;DB_Colleges!D191)</f>
        <v>Tempe, AZ</v>
      </c>
      <c r="E197" s="26" t="str">
        <f aca="false">IF(B197="","",IF(AND(NOT(ISNUMBER($X$4)),NOT(ISNUMBER($Y$4))),"Add scores",IF(NOT(ISNUMBER(DB_Colleges!Y191)),IF(OR(C197="Ivy League",C197="Highly Selective"),"Reach",IF(COUNT(U197:V197)=0,"No data",CHOOSE(W197+2,"Reach","Target","Likely"))),IF(DB_Colleges!Y191&lt;0.15,"Reach",IF(DB_Colleges!Y191&gt;=0.75,IF(W197&gt;=0,"Likely","Target"),IF(DB_Colleges!Y191&gt;=0.4,CHOOSE(W197+2,"Reach","Target","Likely"),IF(W197=1,"Target","Reach")))))))</f>
        <v>No data</v>
      </c>
      <c r="F197" s="28" t="str">
        <f aca="false">IF(OR(B197="",NOT(ISNUMBER(DB_Colleges!Y191))),"",DB_Colleges!Y191)</f>
        <v/>
      </c>
      <c r="G197" s="26" t="str">
        <f aca="false">IF(OR(B197="",NOT(ISNUMBER(DB_Colleges!Z191))),"",DB_Colleges!Z191&amp;"-"&amp;DB_Colleges!AA191)</f>
        <v/>
      </c>
      <c r="H197" s="26" t="str">
        <f aca="false">IF(OR(B197="",NOT(ISNUMBER(DB_Colleges!AD191))),"",DB_Colleges!AD191)</f>
        <v/>
      </c>
      <c r="I197" s="29" t="str">
        <f aca="false">IF(B197="","",IF(COUNT(DB_Colleges!I191:O191)=0,IF(DB_Colleges!P191="Yes","Rolling","Check site"),MIN(DB_Colleges!I191:O191)))</f>
        <v>Rolling</v>
      </c>
      <c r="J197" s="26" t="str">
        <f aca="false">IF(OR(B197="",COUNT(DB_Colleges!I191:O191)=0),"",INDEX({"ED","ED II","EA","EA II","REA","RD","Priority"},MATCH(MIN(DB_Colleges!I191:O191),DB_Colleges!I191:O191,0)))</f>
        <v/>
      </c>
      <c r="K197" s="29" t="str">
        <f aca="false">IF(OR(B197="",NOT(ISNUMBER(DB_Colleges!N191))),"",DB_Colleges!N191)</f>
        <v/>
      </c>
      <c r="L197" s="26" t="str">
        <f aca="false">IF(B197="","",DB_Colleges!G191&amp;"")</f>
        <v>Common App; School portal</v>
      </c>
      <c r="M197" s="30" t="str">
        <f aca="false">IF(OR(B197="",NOT(ISNUMBER(DB_Colleges!S191))),"",DB_Colleges!S191)</f>
        <v/>
      </c>
      <c r="N197" s="26" t="str">
        <f aca="false">IF(B197="","",DB_Colleges!U191&amp;"")</f>
        <v/>
      </c>
      <c r="O197" s="26" t="str">
        <f aca="false">IF(B197="","",IF(ISNUMBER(DB_Colleges!AH191),DB_Colleges!AH191,"Check"))</f>
        <v>Check</v>
      </c>
      <c r="P197" s="26" t="str">
        <f aca="false">IF(B197="","",DB_Colleges!W191&amp;"")</f>
        <v/>
      </c>
      <c r="Q197" s="30" t="str">
        <f aca="false">IF(OR(B197="",NOT(ISNUMBER(DB_Colleges!AF191))),"",DB_Colleges!AF191)</f>
        <v/>
      </c>
      <c r="R197" s="28" t="str">
        <f aca="false">IF(OR(B197="",NOT(ISNUMBER(DB_Colleges!AG191))),"",DB_Colleges!AG191)</f>
        <v/>
      </c>
      <c r="S197" s="26" t="str">
        <f aca="false">IF(B197="","",DB_Colleges!AK191&amp;"")</f>
        <v>Typical dates, confirm</v>
      </c>
      <c r="T197" s="26" t="str">
        <f aca="false">IF(B197="","",DB_Colleges!AI191&amp;"")</f>
        <v>https://admission.asu.edu/apply/first-year</v>
      </c>
      <c r="U197" s="1" t="str">
        <f aca="false">IF(AND(ISNUMBER($X$4),ISNUMBER(DB_Colleges!Z191),ISNUMBER(DB_Colleges!AA191)),IF($X$4&gt;=DB_Colleges!AA191,1,IF($X$4&lt;DB_Colleges!Z191,-1,0)),"")</f>
        <v/>
      </c>
      <c r="V197" s="1" t="str">
        <f aca="false">IF(AND(ISNUMBER($Y$4),ISNUMBER(DB_Colleges!AD191)),IF($Y$4&gt;=DB_Colleges!AD191+0.15,1,IF($Y$4&lt;DB_Colleges!AD191-0.2,-1,0)),"")</f>
        <v/>
      </c>
      <c r="W197" s="1" t="n">
        <f aca="false">IF(COUNT(U197:V197)=0,0,MIN(U197:V197))</f>
        <v>0</v>
      </c>
    </row>
    <row r="198" customFormat="false" ht="15" hidden="false" customHeight="true" outlineLevel="0" collapsed="false">
      <c r="A198" s="26" t="str">
        <f aca="false">IF(B198="","",IF(COUNTIF('My Colleges'!$B$8:$B$27,B198)&gt;0,"On list",""))</f>
        <v/>
      </c>
      <c r="B198" s="27" t="str">
        <f aca="false">IF(DB_Colleges!A192="","",DB_Colleges!A192)</f>
        <v>University of California, Los Angeles</v>
      </c>
      <c r="C198" s="26" t="str">
        <f aca="false">IF(B198="","",DB_Colleges!B192)</f>
        <v>National Public</v>
      </c>
      <c r="D198" s="26" t="str">
        <f aca="false">IF(B198="","",DB_Colleges!C192&amp;", "&amp;DB_Colleges!D192)</f>
        <v>Los Angeles, CA</v>
      </c>
      <c r="E198" s="26" t="str">
        <f aca="false">IF(B198="","",IF(AND(NOT(ISNUMBER($X$4)),NOT(ISNUMBER($Y$4))),"Add scores",IF(NOT(ISNUMBER(DB_Colleges!Y192)),IF(OR(C198="Ivy League",C198="Highly Selective"),"Reach",IF(COUNT(U198:V198)=0,"No data",CHOOSE(W198+2,"Reach","Target","Likely"))),IF(DB_Colleges!Y192&lt;0.15,"Reach",IF(DB_Colleges!Y192&gt;=0.75,IF(W198&gt;=0,"Likely","Target"),IF(DB_Colleges!Y192&gt;=0.4,CHOOSE(W198+2,"Reach","Target","Likely"),IF(W198=1,"Target","Reach")))))))</f>
        <v>Reach</v>
      </c>
      <c r="F198" s="28" t="n">
        <f aca="false">IF(OR(B198="",NOT(ISNUMBER(DB_Colleges!Y192))),"",DB_Colleges!Y192)</f>
        <v>0.09</v>
      </c>
      <c r="G198" s="26" t="str">
        <f aca="false">IF(OR(B198="",NOT(ISNUMBER(DB_Colleges!Z192))),"",DB_Colleges!Z192&amp;"-"&amp;DB_Colleges!AA192)</f>
        <v/>
      </c>
      <c r="H198" s="26" t="str">
        <f aca="false">IF(OR(B198="",NOT(ISNUMBER(DB_Colleges!AD192))),"",DB_Colleges!AD192)</f>
        <v/>
      </c>
      <c r="I198" s="29" t="n">
        <f aca="false">IF(B198="","",IF(COUNT(DB_Colleges!I192:O192)=0,IF(DB_Colleges!P192="Yes","Rolling","Check site"),MIN(DB_Colleges!I192:O192)))</f>
        <v>46356</v>
      </c>
      <c r="J198" s="26" t="str">
        <f aca="false">IF(OR(B198="",COUNT(DB_Colleges!I192:O192)=0),"",INDEX({"ED","ED II","EA","EA II","REA","RD","Priority"},MATCH(MIN(DB_Colleges!I192:O192),DB_Colleges!I192:O192,0)))</f>
        <v>RD</v>
      </c>
      <c r="K198" s="29" t="n">
        <f aca="false">IF(OR(B198="",NOT(ISNUMBER(DB_Colleges!N192))),"",DB_Colleges!N192)</f>
        <v>46356</v>
      </c>
      <c r="L198" s="26" t="str">
        <f aca="false">IF(B198="","",DB_Colleges!G192&amp;"")</f>
        <v>UC Application (not Common App)</v>
      </c>
      <c r="M198" s="30" t="str">
        <f aca="false">IF(OR(B198="",NOT(ISNUMBER(DB_Colleges!S192))),"",DB_Colleges!S192)</f>
        <v/>
      </c>
      <c r="N198" s="26" t="str">
        <f aca="false">IF(B198="","",DB_Colleges!U192&amp;"")</f>
        <v/>
      </c>
      <c r="O198" s="26" t="str">
        <f aca="false">IF(B198="","",IF(ISNUMBER(DB_Colleges!AH192),DB_Colleges!AH192,"Check"))</f>
        <v>Check</v>
      </c>
      <c r="P198" s="26" t="str">
        <f aca="false">IF(B198="","",DB_Colleges!W192&amp;"")</f>
        <v/>
      </c>
      <c r="Q198" s="30" t="str">
        <f aca="false">IF(OR(B198="",NOT(ISNUMBER(DB_Colleges!AF192))),"",DB_Colleges!AF192)</f>
        <v/>
      </c>
      <c r="R198" s="28" t="str">
        <f aca="false">IF(OR(B198="",NOT(ISNUMBER(DB_Colleges!AG192))),"",DB_Colleges!AG192)</f>
        <v/>
      </c>
      <c r="S198" s="26" t="str">
        <f aca="false">IF(B198="","",DB_Colleges!AK192&amp;"")</f>
        <v>Typical dates, confirm</v>
      </c>
      <c r="T198" s="26" t="str">
        <f aca="false">IF(B198="","",DB_Colleges!AI192&amp;"")</f>
        <v>https://admission.universityofcalifornia.edu/</v>
      </c>
      <c r="U198" s="1" t="str">
        <f aca="false">IF(AND(ISNUMBER($X$4),ISNUMBER(DB_Colleges!Z192),ISNUMBER(DB_Colleges!AA192)),IF($X$4&gt;=DB_Colleges!AA192,1,IF($X$4&lt;DB_Colleges!Z192,-1,0)),"")</f>
        <v/>
      </c>
      <c r="V198" s="1" t="str">
        <f aca="false">IF(AND(ISNUMBER($Y$4),ISNUMBER(DB_Colleges!AD192)),IF($Y$4&gt;=DB_Colleges!AD192+0.15,1,IF($Y$4&lt;DB_Colleges!AD192-0.2,-1,0)),"")</f>
        <v/>
      </c>
      <c r="W198" s="1" t="n">
        <f aca="false">IF(COUNT(U198:V198)=0,0,MIN(U198:V198))</f>
        <v>0</v>
      </c>
    </row>
    <row r="199" customFormat="false" ht="15" hidden="false" customHeight="true" outlineLevel="0" collapsed="false">
      <c r="A199" s="26" t="str">
        <f aca="false">IF(B199="","",IF(COUNTIF('My Colleges'!$B$8:$B$27,B199)&gt;0,"On list",""))</f>
        <v/>
      </c>
      <c r="B199" s="27" t="str">
        <f aca="false">IF(DB_Colleges!A193="","",DB_Colleges!A193)</f>
        <v>University of California, Berkeley</v>
      </c>
      <c r="C199" s="26" t="str">
        <f aca="false">IF(B199="","",DB_Colleges!B193)</f>
        <v>National Public</v>
      </c>
      <c r="D199" s="26" t="str">
        <f aca="false">IF(B199="","",DB_Colleges!C193&amp;", "&amp;DB_Colleges!D193)</f>
        <v>Berkeley, CA</v>
      </c>
      <c r="E199" s="26" t="str">
        <f aca="false">IF(B199="","",IF(AND(NOT(ISNUMBER($X$4)),NOT(ISNUMBER($Y$4))),"Add scores",IF(NOT(ISNUMBER(DB_Colleges!Y193)),IF(OR(C199="Ivy League",C199="Highly Selective"),"Reach",IF(COUNT(U199:V199)=0,"No data",CHOOSE(W199+2,"Reach","Target","Likely"))),IF(DB_Colleges!Y193&lt;0.15,"Reach",IF(DB_Colleges!Y193&gt;=0.75,IF(W199&gt;=0,"Likely","Target"),IF(DB_Colleges!Y193&gt;=0.4,CHOOSE(W199+2,"Reach","Target","Likely"),IF(W199=1,"Target","Reach")))))))</f>
        <v>Reach</v>
      </c>
      <c r="F199" s="28" t="n">
        <f aca="false">IF(OR(B199="",NOT(ISNUMBER(DB_Colleges!Y193))),"",DB_Colleges!Y193)</f>
        <v>0.11</v>
      </c>
      <c r="G199" s="26" t="str">
        <f aca="false">IF(OR(B199="",NOT(ISNUMBER(DB_Colleges!Z193))),"",DB_Colleges!Z193&amp;"-"&amp;DB_Colleges!AA193)</f>
        <v/>
      </c>
      <c r="H199" s="26" t="str">
        <f aca="false">IF(OR(B199="",NOT(ISNUMBER(DB_Colleges!AD193))),"",DB_Colleges!AD193)</f>
        <v/>
      </c>
      <c r="I199" s="29" t="n">
        <f aca="false">IF(B199="","",IF(COUNT(DB_Colleges!I193:O193)=0,IF(DB_Colleges!P193="Yes","Rolling","Check site"),MIN(DB_Colleges!I193:O193)))</f>
        <v>46356</v>
      </c>
      <c r="J199" s="26" t="str">
        <f aca="false">IF(OR(B199="",COUNT(DB_Colleges!I193:O193)=0),"",INDEX({"ED","ED II","EA","EA II","REA","RD","Priority"},MATCH(MIN(DB_Colleges!I193:O193),DB_Colleges!I193:O193,0)))</f>
        <v>RD</v>
      </c>
      <c r="K199" s="29" t="n">
        <f aca="false">IF(OR(B199="",NOT(ISNUMBER(DB_Colleges!N193))),"",DB_Colleges!N193)</f>
        <v>46356</v>
      </c>
      <c r="L199" s="26" t="str">
        <f aca="false">IF(B199="","",DB_Colleges!G193&amp;"")</f>
        <v>UC Application (not Common App)</v>
      </c>
      <c r="M199" s="30" t="str">
        <f aca="false">IF(OR(B199="",NOT(ISNUMBER(DB_Colleges!S193))),"",DB_Colleges!S193)</f>
        <v/>
      </c>
      <c r="N199" s="26" t="str">
        <f aca="false">IF(B199="","",DB_Colleges!U193&amp;"")</f>
        <v/>
      </c>
      <c r="O199" s="26" t="str">
        <f aca="false">IF(B199="","",IF(ISNUMBER(DB_Colleges!AH193),DB_Colleges!AH193,"Check"))</f>
        <v>Check</v>
      </c>
      <c r="P199" s="26" t="str">
        <f aca="false">IF(B199="","",DB_Colleges!W193&amp;"")</f>
        <v/>
      </c>
      <c r="Q199" s="30" t="str">
        <f aca="false">IF(OR(B199="",NOT(ISNUMBER(DB_Colleges!AF193))),"",DB_Colleges!AF193)</f>
        <v/>
      </c>
      <c r="R199" s="28" t="str">
        <f aca="false">IF(OR(B199="",NOT(ISNUMBER(DB_Colleges!AG193))),"",DB_Colleges!AG193)</f>
        <v/>
      </c>
      <c r="S199" s="26" t="str">
        <f aca="false">IF(B199="","",DB_Colleges!AK193&amp;"")</f>
        <v>Typical dates, confirm</v>
      </c>
      <c r="T199" s="26" t="str">
        <f aca="false">IF(B199="","",DB_Colleges!AI193&amp;"")</f>
        <v>https://admission.universityofcalifornia.edu/</v>
      </c>
      <c r="U199" s="1" t="str">
        <f aca="false">IF(AND(ISNUMBER($X$4),ISNUMBER(DB_Colleges!Z193),ISNUMBER(DB_Colleges!AA193)),IF($X$4&gt;=DB_Colleges!AA193,1,IF($X$4&lt;DB_Colleges!Z193,-1,0)),"")</f>
        <v/>
      </c>
      <c r="V199" s="1" t="str">
        <f aca="false">IF(AND(ISNUMBER($Y$4),ISNUMBER(DB_Colleges!AD193)),IF($Y$4&gt;=DB_Colleges!AD193+0.15,1,IF($Y$4&lt;DB_Colleges!AD193-0.2,-1,0)),"")</f>
        <v/>
      </c>
      <c r="W199" s="1" t="n">
        <f aca="false">IF(COUNT(U199:V199)=0,0,MIN(U199:V199))</f>
        <v>0</v>
      </c>
    </row>
    <row r="200" customFormat="false" ht="15" hidden="false" customHeight="true" outlineLevel="0" collapsed="false">
      <c r="A200" s="26" t="str">
        <f aca="false">IF(B200="","",IF(COUNTIF('My Colleges'!$B$8:$B$27,B200)&gt;0,"On list",""))</f>
        <v/>
      </c>
      <c r="B200" s="27" t="str">
        <f aca="false">IF(DB_Colleges!A194="","",DB_Colleges!A194)</f>
        <v>Furman University</v>
      </c>
      <c r="C200" s="26" t="str">
        <f aca="false">IF(B200="","",DB_Colleges!B194)</f>
        <v>Southeast Private</v>
      </c>
      <c r="D200" s="26" t="str">
        <f aca="false">IF(B200="","",DB_Colleges!C194&amp;", "&amp;DB_Colleges!D194)</f>
        <v>Greenville, SC</v>
      </c>
      <c r="E200" s="26" t="str">
        <f aca="false">IF(B200="","",IF(AND(NOT(ISNUMBER($X$4)),NOT(ISNUMBER($Y$4))),"Add scores",IF(NOT(ISNUMBER(DB_Colleges!Y194)),IF(OR(C200="Ivy League",C200="Highly Selective"),"Reach",IF(COUNT(U200:V200)=0,"No data",CHOOSE(W200+2,"Reach","Target","Likely"))),IF(DB_Colleges!Y194&lt;0.15,"Reach",IF(DB_Colleges!Y194&gt;=0.75,IF(W200&gt;=0,"Likely","Target"),IF(DB_Colleges!Y194&gt;=0.4,CHOOSE(W200+2,"Reach","Target","Likely"),IF(W200=1,"Target","Reach")))))))</f>
        <v>No data</v>
      </c>
      <c r="F200" s="28" t="str">
        <f aca="false">IF(OR(B200="",NOT(ISNUMBER(DB_Colleges!Y194))),"",DB_Colleges!Y194)</f>
        <v/>
      </c>
      <c r="G200" s="26" t="str">
        <f aca="false">IF(OR(B200="",NOT(ISNUMBER(DB_Colleges!Z194))),"",DB_Colleges!Z194&amp;"-"&amp;DB_Colleges!AA194)</f>
        <v/>
      </c>
      <c r="H200" s="26" t="str">
        <f aca="false">IF(OR(B200="",NOT(ISNUMBER(DB_Colleges!AD194))),"",DB_Colleges!AD194)</f>
        <v/>
      </c>
      <c r="I200" s="29" t="n">
        <f aca="false">IF(B200="","",IF(COUNT(DB_Colleges!I194:O194)=0,IF(DB_Colleges!P194="Yes","Rolling","Check site"),MIN(DB_Colleges!I194:O194)))</f>
        <v>46327</v>
      </c>
      <c r="J200" s="26" t="str">
        <f aca="false">IF(OR(B200="",COUNT(DB_Colleges!I194:O194)=0),"",INDEX({"ED","ED II","EA","EA II","REA","RD","Priority"},MATCH(MIN(DB_Colleges!I194:O194),DB_Colleges!I194:O194,0)))</f>
        <v>ED</v>
      </c>
      <c r="K200" s="29" t="n">
        <f aca="false">IF(OR(B200="",NOT(ISNUMBER(DB_Colleges!N194))),"",DB_Colleges!N194)</f>
        <v>46402</v>
      </c>
      <c r="L200" s="26" t="str">
        <f aca="false">IF(B200="","",DB_Colleges!G194&amp;"")</f>
        <v>Common App; Coalition</v>
      </c>
      <c r="M200" s="30" t="str">
        <f aca="false">IF(OR(B200="",NOT(ISNUMBER(DB_Colleges!S194))),"",DB_Colleges!S194)</f>
        <v/>
      </c>
      <c r="N200" s="26" t="str">
        <f aca="false">IF(B200="","",DB_Colleges!U194&amp;"")</f>
        <v/>
      </c>
      <c r="O200" s="26" t="str">
        <f aca="false">IF(B200="","",IF(ISNUMBER(DB_Colleges!AH194),DB_Colleges!AH194,"Check"))</f>
        <v>Check</v>
      </c>
      <c r="P200" s="26" t="str">
        <f aca="false">IF(B200="","",DB_Colleges!W194&amp;"")</f>
        <v/>
      </c>
      <c r="Q200" s="30" t="str">
        <f aca="false">IF(OR(B200="",NOT(ISNUMBER(DB_Colleges!AF194))),"",DB_Colleges!AF194)</f>
        <v/>
      </c>
      <c r="R200" s="28" t="str">
        <f aca="false">IF(OR(B200="",NOT(ISNUMBER(DB_Colleges!AG194))),"",DB_Colleges!AG194)</f>
        <v/>
      </c>
      <c r="S200" s="26" t="str">
        <f aca="false">IF(B200="","",DB_Colleges!AK194&amp;"")</f>
        <v>Typical dates, confirm</v>
      </c>
      <c r="T200" s="26" t="str">
        <f aca="false">IF(B200="","",DB_Colleges!AI194&amp;"")</f>
        <v/>
      </c>
      <c r="U200" s="1" t="str">
        <f aca="false">IF(AND(ISNUMBER($X$4),ISNUMBER(DB_Colleges!Z194),ISNUMBER(DB_Colleges!AA194)),IF($X$4&gt;=DB_Colleges!AA194,1,IF($X$4&lt;DB_Colleges!Z194,-1,0)),"")</f>
        <v/>
      </c>
      <c r="V200" s="1" t="str">
        <f aca="false">IF(AND(ISNUMBER($Y$4),ISNUMBER(DB_Colleges!AD194)),IF($Y$4&gt;=DB_Colleges!AD194+0.15,1,IF($Y$4&lt;DB_Colleges!AD194-0.2,-1,0)),"")</f>
        <v/>
      </c>
      <c r="W200" s="1" t="n">
        <f aca="false">IF(COUNT(U200:V200)=0,0,MIN(U200:V200))</f>
        <v>0</v>
      </c>
    </row>
    <row r="201" customFormat="false" ht="15" hidden="false" customHeight="true" outlineLevel="0" collapsed="false">
      <c r="A201" s="26" t="str">
        <f aca="false">IF(B201="","",IF(COUNTIF('My Colleges'!$B$8:$B$27,B201)&gt;0,"On list",""))</f>
        <v/>
      </c>
      <c r="B201" s="27" t="str">
        <f aca="false">IF(DB_Colleges!A195="","",DB_Colleges!A195)</f>
        <v>Elon University</v>
      </c>
      <c r="C201" s="26" t="str">
        <f aca="false">IF(B201="","",DB_Colleges!B195)</f>
        <v>Southeast Private</v>
      </c>
      <c r="D201" s="26" t="str">
        <f aca="false">IF(B201="","",DB_Colleges!C195&amp;", "&amp;DB_Colleges!D195)</f>
        <v>Elon, NC</v>
      </c>
      <c r="E201" s="26" t="str">
        <f aca="false">IF(B201="","",IF(AND(NOT(ISNUMBER($X$4)),NOT(ISNUMBER($Y$4))),"Add scores",IF(NOT(ISNUMBER(DB_Colleges!Y195)),IF(OR(C201="Ivy League",C201="Highly Selective"),"Reach",IF(COUNT(U201:V201)=0,"No data",CHOOSE(W201+2,"Reach","Target","Likely"))),IF(DB_Colleges!Y195&lt;0.15,"Reach",IF(DB_Colleges!Y195&gt;=0.75,IF(W201&gt;=0,"Likely","Target"),IF(DB_Colleges!Y195&gt;=0.4,CHOOSE(W201+2,"Reach","Target","Likely"),IF(W201=1,"Target","Reach")))))))</f>
        <v>No data</v>
      </c>
      <c r="F201" s="28" t="str">
        <f aca="false">IF(OR(B201="",NOT(ISNUMBER(DB_Colleges!Y195))),"",DB_Colleges!Y195)</f>
        <v/>
      </c>
      <c r="G201" s="26" t="str">
        <f aca="false">IF(OR(B201="",NOT(ISNUMBER(DB_Colleges!Z195))),"",DB_Colleges!Z195&amp;"-"&amp;DB_Colleges!AA195)</f>
        <v/>
      </c>
      <c r="H201" s="26" t="str">
        <f aca="false">IF(OR(B201="",NOT(ISNUMBER(DB_Colleges!AD195))),"",DB_Colleges!AD195)</f>
        <v/>
      </c>
      <c r="I201" s="29" t="n">
        <f aca="false">IF(B201="","",IF(COUNT(DB_Colleges!I195:O195)=0,IF(DB_Colleges!P195="Yes","Rolling","Check site"),MIN(DB_Colleges!I195:O195)))</f>
        <v>46327</v>
      </c>
      <c r="J201" s="26" t="str">
        <f aca="false">IF(OR(B201="",COUNT(DB_Colleges!I195:O195)=0),"",INDEX({"ED","ED II","EA","EA II","REA","RD","Priority"},MATCH(MIN(DB_Colleges!I195:O195),DB_Colleges!I195:O195,0)))</f>
        <v>ED</v>
      </c>
      <c r="K201" s="29" t="n">
        <f aca="false">IF(OR(B201="",NOT(ISNUMBER(DB_Colleges!N195))),"",DB_Colleges!N195)</f>
        <v>46397</v>
      </c>
      <c r="L201" s="26" t="str">
        <f aca="false">IF(B201="","",DB_Colleges!G195&amp;"")</f>
        <v>Common App</v>
      </c>
      <c r="M201" s="30" t="str">
        <f aca="false">IF(OR(B201="",NOT(ISNUMBER(DB_Colleges!S195))),"",DB_Colleges!S195)</f>
        <v/>
      </c>
      <c r="N201" s="26" t="str">
        <f aca="false">IF(B201="","",DB_Colleges!U195&amp;"")</f>
        <v/>
      </c>
      <c r="O201" s="26" t="str">
        <f aca="false">IF(B201="","",IF(ISNUMBER(DB_Colleges!AH195),DB_Colleges!AH195,"Check"))</f>
        <v>Check</v>
      </c>
      <c r="P201" s="26" t="str">
        <f aca="false">IF(B201="","",DB_Colleges!W195&amp;"")</f>
        <v/>
      </c>
      <c r="Q201" s="30" t="str">
        <f aca="false">IF(OR(B201="",NOT(ISNUMBER(DB_Colleges!AF195))),"",DB_Colleges!AF195)</f>
        <v/>
      </c>
      <c r="R201" s="28" t="str">
        <f aca="false">IF(OR(B201="",NOT(ISNUMBER(DB_Colleges!AG195))),"",DB_Colleges!AG195)</f>
        <v/>
      </c>
      <c r="S201" s="26" t="str">
        <f aca="false">IF(B201="","",DB_Colleges!AK195&amp;"")</f>
        <v>Typical dates, confirm</v>
      </c>
      <c r="T201" s="26" t="str">
        <f aca="false">IF(B201="","",DB_Colleges!AI195&amp;"")</f>
        <v/>
      </c>
      <c r="U201" s="1" t="str">
        <f aca="false">IF(AND(ISNUMBER($X$4),ISNUMBER(DB_Colleges!Z195),ISNUMBER(DB_Colleges!AA195)),IF($X$4&gt;=DB_Colleges!AA195,1,IF($X$4&lt;DB_Colleges!Z195,-1,0)),"")</f>
        <v/>
      </c>
      <c r="V201" s="1" t="str">
        <f aca="false">IF(AND(ISNUMBER($Y$4),ISNUMBER(DB_Colleges!AD195)),IF($Y$4&gt;=DB_Colleges!AD195+0.15,1,IF($Y$4&lt;DB_Colleges!AD195-0.2,-1,0)),"")</f>
        <v/>
      </c>
      <c r="W201" s="1" t="n">
        <f aca="false">IF(COUNT(U201:V201)=0,0,MIN(U201:V201))</f>
        <v>0</v>
      </c>
    </row>
    <row r="202" customFormat="false" ht="15" hidden="false" customHeight="true" outlineLevel="0" collapsed="false">
      <c r="A202" s="26" t="str">
        <f aca="false">IF(B202="","",IF(COUNTIF('My Colleges'!$B$8:$B$27,B202)&gt;0,"On list",""))</f>
        <v/>
      </c>
      <c r="B202" s="27" t="str">
        <f aca="false">IF(DB_Colleges!A196="","",DB_Colleges!A196)</f>
        <v>Samford University</v>
      </c>
      <c r="C202" s="26" t="str">
        <f aca="false">IF(B202="","",DB_Colleges!B196)</f>
        <v>Southeast Private</v>
      </c>
      <c r="D202" s="26" t="str">
        <f aca="false">IF(B202="","",DB_Colleges!C196&amp;", "&amp;DB_Colleges!D196)</f>
        <v>Birmingham, AL</v>
      </c>
      <c r="E202" s="26" t="str">
        <f aca="false">IF(B202="","",IF(AND(NOT(ISNUMBER($X$4)),NOT(ISNUMBER($Y$4))),"Add scores",IF(NOT(ISNUMBER(DB_Colleges!Y196)),IF(OR(C202="Ivy League",C202="Highly Selective"),"Reach",IF(COUNT(U202:V202)=0,"No data",CHOOSE(W202+2,"Reach","Target","Likely"))),IF(DB_Colleges!Y196&lt;0.15,"Reach",IF(DB_Colleges!Y196&gt;=0.75,IF(W202&gt;=0,"Likely","Target"),IF(DB_Colleges!Y196&gt;=0.4,CHOOSE(W202+2,"Reach","Target","Likely"),IF(W202=1,"Target","Reach")))))))</f>
        <v>No data</v>
      </c>
      <c r="F202" s="28" t="str">
        <f aca="false">IF(OR(B202="",NOT(ISNUMBER(DB_Colleges!Y196))),"",DB_Colleges!Y196)</f>
        <v/>
      </c>
      <c r="G202" s="26" t="str">
        <f aca="false">IF(OR(B202="",NOT(ISNUMBER(DB_Colleges!Z196))),"",DB_Colleges!Z196&amp;"-"&amp;DB_Colleges!AA196)</f>
        <v/>
      </c>
      <c r="H202" s="26" t="str">
        <f aca="false">IF(OR(B202="",NOT(ISNUMBER(DB_Colleges!AD196))),"",DB_Colleges!AD196)</f>
        <v/>
      </c>
      <c r="I202" s="29" t="str">
        <f aca="false">IF(B202="","",IF(COUNT(DB_Colleges!I196:O196)=0,IF(DB_Colleges!P196="Yes","Rolling","Check site"),MIN(DB_Colleges!I196:O196)))</f>
        <v>Check site</v>
      </c>
      <c r="J202" s="26" t="str">
        <f aca="false">IF(OR(B202="",COUNT(DB_Colleges!I196:O196)=0),"",INDEX({"ED","ED II","EA","EA II","REA","RD","Priority"},MATCH(MIN(DB_Colleges!I196:O196),DB_Colleges!I196:O196,0)))</f>
        <v/>
      </c>
      <c r="K202" s="29" t="str">
        <f aca="false">IF(OR(B202="",NOT(ISNUMBER(DB_Colleges!N196))),"",DB_Colleges!N196)</f>
        <v/>
      </c>
      <c r="L202" s="26" t="str">
        <f aca="false">IF(B202="","",DB_Colleges!G196&amp;"")</f>
        <v>Common App; School portal</v>
      </c>
      <c r="M202" s="30" t="str">
        <f aca="false">IF(OR(B202="",NOT(ISNUMBER(DB_Colleges!S196))),"",DB_Colleges!S196)</f>
        <v/>
      </c>
      <c r="N202" s="26" t="str">
        <f aca="false">IF(B202="","",DB_Colleges!U196&amp;"")</f>
        <v/>
      </c>
      <c r="O202" s="26" t="str">
        <f aca="false">IF(B202="","",IF(ISNUMBER(DB_Colleges!AH196),DB_Colleges!AH196,"Check"))</f>
        <v>Check</v>
      </c>
      <c r="P202" s="26" t="str">
        <f aca="false">IF(B202="","",DB_Colleges!W196&amp;"")</f>
        <v/>
      </c>
      <c r="Q202" s="30" t="str">
        <f aca="false">IF(OR(B202="",NOT(ISNUMBER(DB_Colleges!AF196))),"",DB_Colleges!AF196)</f>
        <v/>
      </c>
      <c r="R202" s="28" t="str">
        <f aca="false">IF(OR(B202="",NOT(ISNUMBER(DB_Colleges!AG196))),"",DB_Colleges!AG196)</f>
        <v/>
      </c>
      <c r="S202" s="26" t="str">
        <f aca="false">IF(B202="","",DB_Colleges!AK196&amp;"")</f>
        <v>Aggregator only</v>
      </c>
      <c r="T202" s="26" t="str">
        <f aca="false">IF(B202="","",DB_Colleges!AI196&amp;"")</f>
        <v/>
      </c>
      <c r="U202" s="1" t="str">
        <f aca="false">IF(AND(ISNUMBER($X$4),ISNUMBER(DB_Colleges!Z196),ISNUMBER(DB_Colleges!AA196)),IF($X$4&gt;=DB_Colleges!AA196,1,IF($X$4&lt;DB_Colleges!Z196,-1,0)),"")</f>
        <v/>
      </c>
      <c r="V202" s="1" t="str">
        <f aca="false">IF(AND(ISNUMBER($Y$4),ISNUMBER(DB_Colleges!AD196)),IF($Y$4&gt;=DB_Colleges!AD196+0.15,1,IF($Y$4&lt;DB_Colleges!AD196-0.2,-1,0)),"")</f>
        <v/>
      </c>
      <c r="W202" s="1" t="n">
        <f aca="false">IF(COUNT(U202:V202)=0,0,MIN(U202:V202))</f>
        <v>0</v>
      </c>
    </row>
    <row r="203" customFormat="false" ht="15" hidden="false" customHeight="true" outlineLevel="0" collapsed="false">
      <c r="A203" s="26" t="str">
        <f aca="false">IF(B203="","",IF(COUNTIF('My Colleges'!$B$8:$B$27,B203)&gt;0,"On list",""))</f>
        <v/>
      </c>
      <c r="B203" s="27" t="str">
        <f aca="false">IF(DB_Colleges!A197="","",DB_Colleges!A197)</f>
        <v>Belmont University</v>
      </c>
      <c r="C203" s="26" t="str">
        <f aca="false">IF(B203="","",DB_Colleges!B197)</f>
        <v>Southeast Private</v>
      </c>
      <c r="D203" s="26" t="str">
        <f aca="false">IF(B203="","",DB_Colleges!C197&amp;", "&amp;DB_Colleges!D197)</f>
        <v>Nashville, TN</v>
      </c>
      <c r="E203" s="26" t="str">
        <f aca="false">IF(B203="","",IF(AND(NOT(ISNUMBER($X$4)),NOT(ISNUMBER($Y$4))),"Add scores",IF(NOT(ISNUMBER(DB_Colleges!Y197)),IF(OR(C203="Ivy League",C203="Highly Selective"),"Reach",IF(COUNT(U203:V203)=0,"No data",CHOOSE(W203+2,"Reach","Target","Likely"))),IF(DB_Colleges!Y197&lt;0.15,"Reach",IF(DB_Colleges!Y197&gt;=0.75,IF(W203&gt;=0,"Likely","Target"),IF(DB_Colleges!Y197&gt;=0.4,CHOOSE(W203+2,"Reach","Target","Likely"),IF(W203=1,"Target","Reach")))))))</f>
        <v>Target</v>
      </c>
      <c r="F203" s="28" t="n">
        <f aca="false">IF(OR(B203="",NOT(ISNUMBER(DB_Colleges!Y197))),"",DB_Colleges!Y197)</f>
        <v>0.94</v>
      </c>
      <c r="G203" s="26" t="str">
        <f aca="false">IF(OR(B203="",NOT(ISNUMBER(DB_Colleges!Z197))),"",DB_Colleges!Z197&amp;"-"&amp;DB_Colleges!AA197)</f>
        <v>1160-1350</v>
      </c>
      <c r="H203" s="26" t="n">
        <f aca="false">IF(OR(B203="",NOT(ISNUMBER(DB_Colleges!AD197))),"",DB_Colleges!AD197)</f>
        <v>3.8</v>
      </c>
      <c r="I203" s="29" t="n">
        <f aca="false">IF(B203="","",IF(COUNT(DB_Colleges!I197:O197)=0,IF(DB_Colleges!P197="Yes","Rolling","Check site"),MIN(DB_Colleges!I197:O197)))</f>
        <v>46327</v>
      </c>
      <c r="J203" s="26" t="str">
        <f aca="false">IF(OR(B203="",COUNT(DB_Colleges!I197:O197)=0),"",INDEX({"ED","ED II","EA","EA II","REA","RD","Priority"},MATCH(MIN(DB_Colleges!I197:O197),DB_Colleges!I197:O197,0)))</f>
        <v>EA</v>
      </c>
      <c r="K203" s="29" t="n">
        <f aca="false">IF(OR(B203="",NOT(ISNUMBER(DB_Colleges!N197))),"",DB_Colleges!N197)</f>
        <v>46447</v>
      </c>
      <c r="L203" s="26" t="str">
        <f aca="false">IF(B203="","",DB_Colleges!G197&amp;"")</f>
        <v>Common App; Coalition (Scoir); School portal</v>
      </c>
      <c r="M203" s="30" t="n">
        <f aca="false">IF(OR(B203="",NOT(ISNUMBER(DB_Colleges!S197))),"",DB_Colleges!S197)</f>
        <v>50</v>
      </c>
      <c r="N203" s="26" t="str">
        <f aca="false">IF(B203="","",DB_Colleges!U197&amp;"")</f>
        <v>Optional</v>
      </c>
      <c r="O203" s="26" t="n">
        <f aca="false">IF(B203="","",IF(ISNUMBER(DB_Colleges!AH197),DB_Colleges!AH197,"Check"))</f>
        <v>0</v>
      </c>
      <c r="P203" s="26" t="str">
        <f aca="false">IF(B203="","",DB_Colleges!W197&amp;"")</f>
        <v>Not required</v>
      </c>
      <c r="Q203" s="30" t="n">
        <f aca="false">IF(OR(B203="",NOT(ISNUMBER(DB_Colleges!AF197))),"",DB_Colleges!AF197)</f>
        <v>22950</v>
      </c>
      <c r="R203" s="28" t="n">
        <f aca="false">IF(OR(B203="",NOT(ISNUMBER(DB_Colleges!AG197))),"",DB_Colleges!AG197)</f>
        <v>0.73</v>
      </c>
      <c r="S203" s="26" t="str">
        <f aca="false">IF(B203="","",DB_Colleges!AK197&amp;"")</f>
        <v>Official 2026-27</v>
      </c>
      <c r="T203" s="26" t="str">
        <f aca="false">IF(B203="","",DB_Colleges!AI197&amp;"")</f>
        <v>https://www.belmont.edu/admissions/first-year/apply.html</v>
      </c>
      <c r="U203" s="1" t="n">
        <f aca="false">IF(AND(ISNUMBER($X$4),ISNUMBER(DB_Colleges!Z197),ISNUMBER(DB_Colleges!AA197)),IF($X$4&gt;=DB_Colleges!AA197,1,IF($X$4&lt;DB_Colleges!Z197,-1,0)),"")</f>
        <v>-1</v>
      </c>
      <c r="V203" s="1" t="n">
        <f aca="false">IF(AND(ISNUMBER($Y$4),ISNUMBER(DB_Colleges!AD197)),IF($Y$4&gt;=DB_Colleges!AD197+0.15,1,IF($Y$4&lt;DB_Colleges!AD197-0.2,-1,0)),"")</f>
        <v>-1</v>
      </c>
      <c r="W203" s="1" t="n">
        <f aca="false">IF(COUNT(U203:V203)=0,0,MIN(U203:V203))</f>
        <v>-1</v>
      </c>
    </row>
    <row r="204" customFormat="false" ht="15" hidden="false" customHeight="true" outlineLevel="0" collapsed="false">
      <c r="A204" s="26" t="str">
        <f aca="false">IF(B204="","",IF(COUNTIF('My Colleges'!$B$8:$B$27,B204)&gt;0,"On list",""))</f>
        <v/>
      </c>
      <c r="B204" s="27" t="str">
        <f aca="false">IF(DB_Colleges!A198="","",DB_Colleges!A198)</f>
        <v>High Point University</v>
      </c>
      <c r="C204" s="26" t="str">
        <f aca="false">IF(B204="","",DB_Colleges!B198)</f>
        <v>Southeast Private</v>
      </c>
      <c r="D204" s="26" t="str">
        <f aca="false">IF(B204="","",DB_Colleges!C198&amp;", "&amp;DB_Colleges!D198)</f>
        <v>High Point, NC</v>
      </c>
      <c r="E204" s="26" t="str">
        <f aca="false">IF(B204="","",IF(AND(NOT(ISNUMBER($X$4)),NOT(ISNUMBER($Y$4))),"Add scores",IF(NOT(ISNUMBER(DB_Colleges!Y198)),IF(OR(C204="Ivy League",C204="Highly Selective"),"Reach",IF(COUNT(U204:V204)=0,"No data",CHOOSE(W204+2,"Reach","Target","Likely"))),IF(DB_Colleges!Y198&lt;0.15,"Reach",IF(DB_Colleges!Y198&gt;=0.75,IF(W204&gt;=0,"Likely","Target"),IF(DB_Colleges!Y198&gt;=0.4,CHOOSE(W204+2,"Reach","Target","Likely"),IF(W204=1,"Target","Reach")))))))</f>
        <v>Target</v>
      </c>
      <c r="F204" s="28" t="n">
        <f aca="false">IF(OR(B204="",NOT(ISNUMBER(DB_Colleges!Y198))),"",DB_Colleges!Y198)</f>
        <v>0.75</v>
      </c>
      <c r="G204" s="26" t="str">
        <f aca="false">IF(OR(B204="",NOT(ISNUMBER(DB_Colleges!Z198))),"",DB_Colleges!Z198&amp;"-"&amp;DB_Colleges!AA198)</f>
        <v>1110-1320</v>
      </c>
      <c r="H204" s="26" t="str">
        <f aca="false">IF(OR(B204="",NOT(ISNUMBER(DB_Colleges!AD198))),"",DB_Colleges!AD198)</f>
        <v/>
      </c>
      <c r="I204" s="29" t="n">
        <f aca="false">IF(B204="","",IF(COUNT(DB_Colleges!I198:O198)=0,IF(DB_Colleges!P198="Yes","Rolling","Check site"),MIN(DB_Colleges!I198:O198)))</f>
        <v>46327</v>
      </c>
      <c r="J204" s="26" t="str">
        <f aca="false">IF(OR(B204="",COUNT(DB_Colleges!I198:O198)=0),"",INDEX({"ED","ED II","EA","EA II","REA","RD","Priority"},MATCH(MIN(DB_Colleges!I198:O198),DB_Colleges!I198:O198,0)))</f>
        <v>ED</v>
      </c>
      <c r="K204" s="29" t="n">
        <f aca="false">IF(OR(B204="",NOT(ISNUMBER(DB_Colleges!N198))),"",DB_Colleges!N198)</f>
        <v>46419</v>
      </c>
      <c r="L204" s="26" t="str">
        <f aca="false">IF(B204="","",DB_Colleges!G198&amp;"")</f>
        <v>Common App; Coalition (Scoir); School portal</v>
      </c>
      <c r="M204" s="30" t="n">
        <f aca="false">IF(OR(B204="",NOT(ISNUMBER(DB_Colleges!S198))),"",DB_Colleges!S198)</f>
        <v>50</v>
      </c>
      <c r="N204" s="26" t="str">
        <f aca="false">IF(B204="","",DB_Colleges!U198&amp;"")</f>
        <v>Optional</v>
      </c>
      <c r="O204" s="26" t="str">
        <f aca="false">IF(B204="","",IF(ISNUMBER(DB_Colleges!AH198),DB_Colleges!AH198,"Check"))</f>
        <v>Check</v>
      </c>
      <c r="P204" s="26" t="str">
        <f aca="false">IF(B204="","",DB_Colleges!W198&amp;"")</f>
        <v>Not required</v>
      </c>
      <c r="Q204" s="30" t="n">
        <f aca="false">IF(OR(B204="",NOT(ISNUMBER(DB_Colleges!AF198))),"",DB_Colleges!AF198)</f>
        <v>32763</v>
      </c>
      <c r="R204" s="28" t="n">
        <f aca="false">IF(OR(B204="",NOT(ISNUMBER(DB_Colleges!AG198))),"",DB_Colleges!AG198)</f>
        <v>0.68</v>
      </c>
      <c r="S204" s="26" t="str">
        <f aca="false">IF(B204="","",DB_Colleges!AK198&amp;"")</f>
        <v>Mixed</v>
      </c>
      <c r="T204" s="26" t="str">
        <f aca="false">IF(B204="","",DB_Colleges!AI198&amp;"")</f>
        <v>https://www.highpoint.edu/admissions/apply/</v>
      </c>
      <c r="U204" s="1" t="n">
        <f aca="false">IF(AND(ISNUMBER($X$4),ISNUMBER(DB_Colleges!Z198),ISNUMBER(DB_Colleges!AA198)),IF($X$4&gt;=DB_Colleges!AA198,1,IF($X$4&lt;DB_Colleges!Z198,-1,0)),"")</f>
        <v>-1</v>
      </c>
      <c r="V204" s="1" t="str">
        <f aca="false">IF(AND(ISNUMBER($Y$4),ISNUMBER(DB_Colleges!AD198)),IF($Y$4&gt;=DB_Colleges!AD198+0.15,1,IF($Y$4&lt;DB_Colleges!AD198-0.2,-1,0)),"")</f>
        <v/>
      </c>
      <c r="W204" s="1" t="n">
        <f aca="false">IF(COUNT(U204:V204)=0,0,MIN(U204:V204))</f>
        <v>-1</v>
      </c>
    </row>
    <row r="205" customFormat="false" ht="15" hidden="false" customHeight="true" outlineLevel="0" collapsed="false">
      <c r="A205" s="26" t="str">
        <f aca="false">IF(B205="","",IF(COUNTIF('My Colleges'!$B$8:$B$27,B205)&gt;0,"On list",""))</f>
        <v/>
      </c>
      <c r="B205" s="27" t="str">
        <f aca="false">IF(DB_Colleges!A199="","",DB_Colleges!A199)</f>
        <v>University of Miami</v>
      </c>
      <c r="C205" s="26" t="str">
        <f aca="false">IF(B205="","",DB_Colleges!B199)</f>
        <v>Southeast Private</v>
      </c>
      <c r="D205" s="26" t="str">
        <f aca="false">IF(B205="","",DB_Colleges!C199&amp;", "&amp;DB_Colleges!D199)</f>
        <v>Coral Gables, FL</v>
      </c>
      <c r="E205" s="26" t="str">
        <f aca="false">IF(B205="","",IF(AND(NOT(ISNUMBER($X$4)),NOT(ISNUMBER($Y$4))),"Add scores",IF(NOT(ISNUMBER(DB_Colleges!Y199)),IF(OR(C205="Ivy League",C205="Highly Selective"),"Reach",IF(COUNT(U205:V205)=0,"No data",CHOOSE(W205+2,"Reach","Target","Likely"))),IF(DB_Colleges!Y199&lt;0.15,"Reach",IF(DB_Colleges!Y199&gt;=0.75,IF(W205&gt;=0,"Likely","Target"),IF(DB_Colleges!Y199&gt;=0.4,CHOOSE(W205+2,"Reach","Target","Likely"),IF(W205=1,"Target","Reach")))))))</f>
        <v>Reach</v>
      </c>
      <c r="F205" s="28" t="n">
        <f aca="false">IF(OR(B205="",NOT(ISNUMBER(DB_Colleges!Y199))),"",DB_Colleges!Y199)</f>
        <v>0.18</v>
      </c>
      <c r="G205" s="26" t="str">
        <f aca="false">IF(OR(B205="",NOT(ISNUMBER(DB_Colleges!Z199))),"",DB_Colleges!Z199&amp;"-"&amp;DB_Colleges!AA199)</f>
        <v>1320-1480</v>
      </c>
      <c r="H205" s="26" t="str">
        <f aca="false">IF(OR(B205="",NOT(ISNUMBER(DB_Colleges!AD199))),"",DB_Colleges!AD199)</f>
        <v/>
      </c>
      <c r="I205" s="29" t="n">
        <f aca="false">IF(B205="","",IF(COUNT(DB_Colleges!I199:O199)=0,IF(DB_Colleges!P199="Yes","Rolling","Check site"),MIN(DB_Colleges!I199:O199)))</f>
        <v>46327</v>
      </c>
      <c r="J205" s="26" t="str">
        <f aca="false">IF(OR(B205="",COUNT(DB_Colleges!I199:O199)=0),"",INDEX({"ED","ED II","EA","EA II","REA","RD","Priority"},MATCH(MIN(DB_Colleges!I199:O199),DB_Colleges!I199:O199,0)))</f>
        <v>ED</v>
      </c>
      <c r="K205" s="29" t="n">
        <f aca="false">IF(OR(B205="",NOT(ISNUMBER(DB_Colleges!N199))),"",DB_Colleges!N199)</f>
        <v>46392</v>
      </c>
      <c r="L205" s="26" t="str">
        <f aca="false">IF(B205="","",DB_Colleges!G199&amp;"")</f>
        <v>Common App; Coalition (Scoir)</v>
      </c>
      <c r="M205" s="30" t="n">
        <f aca="false">IF(OR(B205="",NOT(ISNUMBER(DB_Colleges!S199))),"",DB_Colleges!S199)</f>
        <v>75</v>
      </c>
      <c r="N205" s="26" t="str">
        <f aca="false">IF(B205="","",DB_Colleges!U199&amp;"")</f>
        <v/>
      </c>
      <c r="O205" s="26" t="str">
        <f aca="false">IF(B205="","",IF(ISNUMBER(DB_Colleges!AH199),DB_Colleges!AH199,"Check"))</f>
        <v>Check</v>
      </c>
      <c r="P205" s="26" t="str">
        <f aca="false">IF(B205="","",DB_Colleges!W199&amp;"")</f>
        <v/>
      </c>
      <c r="Q205" s="30" t="n">
        <f aca="false">IF(OR(B205="",NOT(ISNUMBER(DB_Colleges!AF199))),"",DB_Colleges!AF199)</f>
        <v>15978</v>
      </c>
      <c r="R205" s="28" t="n">
        <f aca="false">IF(OR(B205="",NOT(ISNUMBER(DB_Colleges!AG199))),"",DB_Colleges!AG199)</f>
        <v>0.82</v>
      </c>
      <c r="S205" s="26" t="str">
        <f aca="false">IF(B205="","",DB_Colleges!AK199&amp;"")</f>
        <v>Mixed</v>
      </c>
      <c r="T205" s="26" t="str">
        <f aca="false">IF(B205="","",DB_Colleges!AI199&amp;"")</f>
        <v>https://admissions.miami.edu/undergraduate/application-process/options-and-deadlines/index.html</v>
      </c>
      <c r="U205" s="1" t="n">
        <f aca="false">IF(AND(ISNUMBER($X$4),ISNUMBER(DB_Colleges!Z199),ISNUMBER(DB_Colleges!AA199)),IF($X$4&gt;=DB_Colleges!AA199,1,IF($X$4&lt;DB_Colleges!Z199,-1,0)),"")</f>
        <v>-1</v>
      </c>
      <c r="V205" s="1" t="str">
        <f aca="false">IF(AND(ISNUMBER($Y$4),ISNUMBER(DB_Colleges!AD199)),IF($Y$4&gt;=DB_Colleges!AD199+0.15,1,IF($Y$4&lt;DB_Colleges!AD199-0.2,-1,0)),"")</f>
        <v/>
      </c>
      <c r="W205" s="1" t="n">
        <f aca="false">IF(COUNT(U205:V205)=0,0,MIN(U205:V205))</f>
        <v>-1</v>
      </c>
    </row>
    <row r="206" customFormat="false" ht="15" hidden="false" customHeight="true" outlineLevel="0" collapsed="false">
      <c r="A206" s="26" t="str">
        <f aca="false">IF(B206="","",IF(COUNTIF('My Colleges'!$B$8:$B$27,B206)&gt;0,"On list",""))</f>
        <v/>
      </c>
      <c r="B206" s="27" t="str">
        <f aca="false">IF(DB_Colleges!A200="","",DB_Colleges!A200)</f>
        <v>Rollins College</v>
      </c>
      <c r="C206" s="26" t="str">
        <f aca="false">IF(B206="","",DB_Colleges!B200)</f>
        <v>Southeast Private</v>
      </c>
      <c r="D206" s="26" t="str">
        <f aca="false">IF(B206="","",DB_Colleges!C200&amp;", "&amp;DB_Colleges!D200)</f>
        <v>Winter Park, FL</v>
      </c>
      <c r="E206" s="26" t="str">
        <f aca="false">IF(B206="","",IF(AND(NOT(ISNUMBER($X$4)),NOT(ISNUMBER($Y$4))),"Add scores",IF(NOT(ISNUMBER(DB_Colleges!Y200)),IF(OR(C206="Ivy League",C206="Highly Selective"),"Reach",IF(COUNT(U206:V206)=0,"No data",CHOOSE(W206+2,"Reach","Target","Likely"))),IF(DB_Colleges!Y200&lt;0.15,"Reach",IF(DB_Colleges!Y200&gt;=0.75,IF(W206&gt;=0,"Likely","Target"),IF(DB_Colleges!Y200&gt;=0.4,CHOOSE(W206+2,"Reach","Target","Likely"),IF(W206=1,"Target","Reach")))))))</f>
        <v>Reach</v>
      </c>
      <c r="F206" s="28" t="n">
        <f aca="false">IF(OR(B206="",NOT(ISNUMBER(DB_Colleges!Y200))),"",DB_Colleges!Y200)</f>
        <v>0.53</v>
      </c>
      <c r="G206" s="26" t="str">
        <f aca="false">IF(OR(B206="",NOT(ISNUMBER(DB_Colleges!Z200))),"",DB_Colleges!Z200&amp;"-"&amp;DB_Colleges!AA200)</f>
        <v>1180-1360</v>
      </c>
      <c r="H206" s="26" t="str">
        <f aca="false">IF(OR(B206="",NOT(ISNUMBER(DB_Colleges!AD200))),"",DB_Colleges!AD200)</f>
        <v/>
      </c>
      <c r="I206" s="29" t="n">
        <f aca="false">IF(B206="","",IF(COUNT(DB_Colleges!I200:O200)=0,IF(DB_Colleges!P200="Yes","Rolling","Check site"),MIN(DB_Colleges!I200:O200)))</f>
        <v>46341</v>
      </c>
      <c r="J206" s="26" t="str">
        <f aca="false">IF(OR(B206="",COUNT(DB_Colleges!I200:O200)=0),"",INDEX({"ED","ED II","EA","EA II","REA","RD","Priority"},MATCH(MIN(DB_Colleges!I200:O200),DB_Colleges!I200:O200,0)))</f>
        <v>ED</v>
      </c>
      <c r="K206" s="29" t="n">
        <f aca="false">IF(OR(B206="",NOT(ISNUMBER(DB_Colleges!N200))),"",DB_Colleges!N200)</f>
        <v>46419</v>
      </c>
      <c r="L206" s="26" t="str">
        <f aca="false">IF(B206="","",DB_Colleges!G200&amp;"")</f>
        <v>Common App</v>
      </c>
      <c r="M206" s="30" t="n">
        <f aca="false">IF(OR(B206="",NOT(ISNUMBER(DB_Colleges!S200))),"",DB_Colleges!S200)</f>
        <v>0</v>
      </c>
      <c r="N206" s="26" t="str">
        <f aca="false">IF(B206="","",DB_Colleges!U200&amp;"")</f>
        <v>Optional</v>
      </c>
      <c r="O206" s="26" t="str">
        <f aca="false">IF(B206="","",IF(ISNUMBER(DB_Colleges!AH200),DB_Colleges!AH200,"Check"))</f>
        <v>Check</v>
      </c>
      <c r="P206" s="26" t="str">
        <f aca="false">IF(B206="","",DB_Colleges!W200&amp;"")</f>
        <v/>
      </c>
      <c r="Q206" s="30" t="n">
        <f aca="false">IF(OR(B206="",NOT(ISNUMBER(DB_Colleges!AF200))),"",DB_Colleges!AF200)</f>
        <v>27177</v>
      </c>
      <c r="R206" s="28" t="n">
        <f aca="false">IF(OR(B206="",NOT(ISNUMBER(DB_Colleges!AG200))),"",DB_Colleges!AG200)</f>
        <v>0.74</v>
      </c>
      <c r="S206" s="26" t="str">
        <f aca="false">IF(B206="","",DB_Colleges!AK200&amp;"")</f>
        <v>Mixed</v>
      </c>
      <c r="T206" s="26" t="str">
        <f aca="false">IF(B206="","",DB_Colleges!AI200&amp;"")</f>
        <v>https://www.rollins.edu/apply/</v>
      </c>
      <c r="U206" s="1" t="n">
        <f aca="false">IF(AND(ISNUMBER($X$4),ISNUMBER(DB_Colleges!Z200),ISNUMBER(DB_Colleges!AA200)),IF($X$4&gt;=DB_Colleges!AA200,1,IF($X$4&lt;DB_Colleges!Z200,-1,0)),"")</f>
        <v>-1</v>
      </c>
      <c r="V206" s="1" t="str">
        <f aca="false">IF(AND(ISNUMBER($Y$4),ISNUMBER(DB_Colleges!AD200)),IF($Y$4&gt;=DB_Colleges!AD200+0.15,1,IF($Y$4&lt;DB_Colleges!AD200-0.2,-1,0)),"")</f>
        <v/>
      </c>
      <c r="W206" s="1" t="n">
        <f aca="false">IF(COUNT(U206:V206)=0,0,MIN(U206:V206))</f>
        <v>-1</v>
      </c>
    </row>
    <row r="207" customFormat="false" ht="15" hidden="false" customHeight="true" outlineLevel="0" collapsed="false">
      <c r="A207" s="26" t="str">
        <f aca="false">IF(B207="","",IF(COUNTIF('My Colleges'!$B$8:$B$27,B207)&gt;0,"On list",""))</f>
        <v/>
      </c>
      <c r="B207" s="27" t="str">
        <f aca="false">IF(DB_Colleges!A201="","",DB_Colleges!A201)</f>
        <v>Wofford College</v>
      </c>
      <c r="C207" s="26" t="str">
        <f aca="false">IF(B207="","",DB_Colleges!B201)</f>
        <v>Southeast Private</v>
      </c>
      <c r="D207" s="26" t="str">
        <f aca="false">IF(B207="","",DB_Colleges!C201&amp;", "&amp;DB_Colleges!D201)</f>
        <v>Spartanburg, SC</v>
      </c>
      <c r="E207" s="26" t="str">
        <f aca="false">IF(B207="","",IF(AND(NOT(ISNUMBER($X$4)),NOT(ISNUMBER($Y$4))),"Add scores",IF(NOT(ISNUMBER(DB_Colleges!Y201)),IF(OR(C207="Ivy League",C207="Highly Selective"),"Reach",IF(COUNT(U207:V207)=0,"No data",CHOOSE(W207+2,"Reach","Target","Likely"))),IF(DB_Colleges!Y201&lt;0.15,"Reach",IF(DB_Colleges!Y201&gt;=0.75,IF(W207&gt;=0,"Likely","Target"),IF(DB_Colleges!Y201&gt;=0.4,CHOOSE(W207+2,"Reach","Target","Likely"),IF(W207=1,"Target","Reach")))))))</f>
        <v>Reach</v>
      </c>
      <c r="F207" s="28" t="n">
        <f aca="false">IF(OR(B207="",NOT(ISNUMBER(DB_Colleges!Y201))),"",DB_Colleges!Y201)</f>
        <v>0.55</v>
      </c>
      <c r="G207" s="26" t="str">
        <f aca="false">IF(OR(B207="",NOT(ISNUMBER(DB_Colleges!Z201))),"",DB_Colleges!Z201&amp;"-"&amp;DB_Colleges!AA201)</f>
        <v>1175-1345</v>
      </c>
      <c r="H207" s="26" t="str">
        <f aca="false">IF(OR(B207="",NOT(ISNUMBER(DB_Colleges!AD201))),"",DB_Colleges!AD201)</f>
        <v/>
      </c>
      <c r="I207" s="29" t="n">
        <f aca="false">IF(B207="","",IF(COUNT(DB_Colleges!I201:O201)=0,IF(DB_Colleges!P201="Yes","Rolling","Check site"),MIN(DB_Colleges!I201:O201)))</f>
        <v>46327</v>
      </c>
      <c r="J207" s="26" t="str">
        <f aca="false">IF(OR(B207="",COUNT(DB_Colleges!I201:O201)=0),"",INDEX({"ED","ED II","EA","EA II","REA","RD","Priority"},MATCH(MIN(DB_Colleges!I201:O201),DB_Colleges!I201:O201,0)))</f>
        <v>ED</v>
      </c>
      <c r="K207" s="29" t="n">
        <f aca="false">IF(OR(B207="",NOT(ISNUMBER(DB_Colleges!N201))),"",DB_Colleges!N201)</f>
        <v>46402</v>
      </c>
      <c r="L207" s="26" t="str">
        <f aca="false">IF(B207="","",DB_Colleges!G201&amp;"")</f>
        <v>Common App</v>
      </c>
      <c r="M207" s="30" t="n">
        <f aca="false">IF(OR(B207="",NOT(ISNUMBER(DB_Colleges!S201))),"",DB_Colleges!S201)</f>
        <v>0</v>
      </c>
      <c r="N207" s="26" t="str">
        <f aca="false">IF(B207="","",DB_Colleges!U201&amp;"")</f>
        <v>Optional</v>
      </c>
      <c r="O207" s="26" t="str">
        <f aca="false">IF(B207="","",IF(ISNUMBER(DB_Colleges!AH201),DB_Colleges!AH201,"Check"))</f>
        <v>Check</v>
      </c>
      <c r="P207" s="26" t="str">
        <f aca="false">IF(B207="","",DB_Colleges!W201&amp;"")</f>
        <v/>
      </c>
      <c r="Q207" s="30" t="n">
        <f aca="false">IF(OR(B207="",NOT(ISNUMBER(DB_Colleges!AF201))),"",DB_Colleges!AF201)</f>
        <v>8493</v>
      </c>
      <c r="R207" s="28" t="n">
        <f aca="false">IF(OR(B207="",NOT(ISNUMBER(DB_Colleges!AG201))),"",DB_Colleges!AG201)</f>
        <v>0.82</v>
      </c>
      <c r="S207" s="26" t="str">
        <f aca="false">IF(B207="","",DB_Colleges!AK201&amp;"")</f>
        <v>Mixed</v>
      </c>
      <c r="T207" s="26" t="str">
        <f aca="false">IF(B207="","",DB_Colleges!AI201&amp;"")</f>
        <v>https://www.wofford.edu/admission/apply/first-year-applicants</v>
      </c>
      <c r="U207" s="1" t="n">
        <f aca="false">IF(AND(ISNUMBER($X$4),ISNUMBER(DB_Colleges!Z201),ISNUMBER(DB_Colleges!AA201)),IF($X$4&gt;=DB_Colleges!AA201,1,IF($X$4&lt;DB_Colleges!Z201,-1,0)),"")</f>
        <v>-1</v>
      </c>
      <c r="V207" s="1" t="str">
        <f aca="false">IF(AND(ISNUMBER($Y$4),ISNUMBER(DB_Colleges!AD201)),IF($Y$4&gt;=DB_Colleges!AD201+0.15,1,IF($Y$4&lt;DB_Colleges!AD201-0.2,-1,0)),"")</f>
        <v/>
      </c>
      <c r="W207" s="1" t="n">
        <f aca="false">IF(COUNT(U207:V207)=0,0,MIN(U207:V207))</f>
        <v>-1</v>
      </c>
    </row>
    <row r="208" customFormat="false" ht="15" hidden="false" customHeight="true" outlineLevel="0" collapsed="false">
      <c r="A208" s="26" t="str">
        <f aca="false">IF(B208="","",IF(COUNTIF('My Colleges'!$B$8:$B$27,B208)&gt;0,"On list",""))</f>
        <v/>
      </c>
      <c r="B208" s="27" t="str">
        <f aca="false">IF(DB_Colleges!A202="","",DB_Colleges!A202)</f>
        <v>Sewanee: The University of the South</v>
      </c>
      <c r="C208" s="26" t="str">
        <f aca="false">IF(B208="","",DB_Colleges!B202)</f>
        <v>Southeast Private</v>
      </c>
      <c r="D208" s="26" t="str">
        <f aca="false">IF(B208="","",DB_Colleges!C202&amp;", "&amp;DB_Colleges!D202)</f>
        <v>Sewanee, TN</v>
      </c>
      <c r="E208" s="26" t="str">
        <f aca="false">IF(B208="","",IF(AND(NOT(ISNUMBER($X$4)),NOT(ISNUMBER($Y$4))),"Add scores",IF(NOT(ISNUMBER(DB_Colleges!Y202)),IF(OR(C208="Ivy League",C208="Highly Selective"),"Reach",IF(COUNT(U208:V208)=0,"No data",CHOOSE(W208+2,"Reach","Target","Likely"))),IF(DB_Colleges!Y202&lt;0.15,"Reach",IF(DB_Colleges!Y202&gt;=0.75,IF(W208&gt;=0,"Likely","Target"),IF(DB_Colleges!Y202&gt;=0.4,CHOOSE(W208+2,"Reach","Target","Likely"),IF(W208=1,"Target","Reach")))))))</f>
        <v>Reach</v>
      </c>
      <c r="F208" s="28" t="n">
        <f aca="false">IF(OR(B208="",NOT(ISNUMBER(DB_Colleges!Y202))),"",DB_Colleges!Y202)</f>
        <v>0.56</v>
      </c>
      <c r="G208" s="26" t="str">
        <f aca="false">IF(OR(B208="",NOT(ISNUMBER(DB_Colleges!Z202))),"",DB_Colleges!Z202&amp;"-"&amp;DB_Colleges!AA202)</f>
        <v>1190-1390</v>
      </c>
      <c r="H208" s="26" t="str">
        <f aca="false">IF(OR(B208="",NOT(ISNUMBER(DB_Colleges!AD202))),"",DB_Colleges!AD202)</f>
        <v/>
      </c>
      <c r="I208" s="29" t="n">
        <f aca="false">IF(B208="","",IF(COUNT(DB_Colleges!I202:O202)=0,IF(DB_Colleges!P202="Yes","Rolling","Check site"),MIN(DB_Colleges!I202:O202)))</f>
        <v>46341</v>
      </c>
      <c r="J208" s="26" t="str">
        <f aca="false">IF(OR(B208="",COUNT(DB_Colleges!I202:O202)=0),"",INDEX({"ED","ED II","EA","EA II","REA","RD","Priority"},MATCH(MIN(DB_Colleges!I202:O202),DB_Colleges!I202:O202,0)))</f>
        <v>ED</v>
      </c>
      <c r="K208" s="29" t="n">
        <f aca="false">IF(OR(B208="",NOT(ISNUMBER(DB_Colleges!N202))),"",DB_Colleges!N202)</f>
        <v>46419</v>
      </c>
      <c r="L208" s="26" t="str">
        <f aca="false">IF(B208="","",DB_Colleges!G202&amp;"")</f>
        <v>Common App</v>
      </c>
      <c r="M208" s="30" t="n">
        <f aca="false">IF(OR(B208="",NOT(ISNUMBER(DB_Colleges!S202))),"",DB_Colleges!S202)</f>
        <v>0</v>
      </c>
      <c r="N208" s="26" t="str">
        <f aca="false">IF(B208="","",DB_Colleges!U202&amp;"")</f>
        <v>Optional</v>
      </c>
      <c r="O208" s="26" t="str">
        <f aca="false">IF(B208="","",IF(ISNUMBER(DB_Colleges!AH202),DB_Colleges!AH202,"Check"))</f>
        <v>Check</v>
      </c>
      <c r="P208" s="26" t="str">
        <f aca="false">IF(B208="","",DB_Colleges!W202&amp;"")</f>
        <v>Required</v>
      </c>
      <c r="Q208" s="30" t="n">
        <f aca="false">IF(OR(B208="",NOT(ISNUMBER(DB_Colleges!AF202))),"",DB_Colleges!AF202)</f>
        <v>10485</v>
      </c>
      <c r="R208" s="28" t="n">
        <f aca="false">IF(OR(B208="",NOT(ISNUMBER(DB_Colleges!AG202))),"",DB_Colleges!AG202)</f>
        <v>0.82</v>
      </c>
      <c r="S208" s="26" t="str">
        <f aca="false">IF(B208="","",DB_Colleges!AK202&amp;"")</f>
        <v>Mixed</v>
      </c>
      <c r="T208" s="26" t="str">
        <f aca="false">IF(B208="","",DB_Colleges!AI202&amp;"")</f>
        <v>https://new.sewanee.edu/admission-aid/application-process/</v>
      </c>
      <c r="U208" s="1" t="n">
        <f aca="false">IF(AND(ISNUMBER($X$4),ISNUMBER(DB_Colleges!Z202),ISNUMBER(DB_Colleges!AA202)),IF($X$4&gt;=DB_Colleges!AA202,1,IF($X$4&lt;DB_Colleges!Z202,-1,0)),"")</f>
        <v>-1</v>
      </c>
      <c r="V208" s="1" t="str">
        <f aca="false">IF(AND(ISNUMBER($Y$4),ISNUMBER(DB_Colleges!AD202)),IF($Y$4&gt;=DB_Colleges!AD202+0.15,1,IF($Y$4&lt;DB_Colleges!AD202-0.2,-1,0)),"")</f>
        <v/>
      </c>
      <c r="W208" s="1" t="n">
        <f aca="false">IF(COUNT(U208:V208)=0,0,MIN(U208:V208))</f>
        <v>-1</v>
      </c>
    </row>
    <row r="209" customFormat="false" ht="15" hidden="false" customHeight="true" outlineLevel="0" collapsed="false">
      <c r="A209" s="26" t="str">
        <f aca="false">IF(B209="","",IF(COUNTIF('My Colleges'!$B$8:$B$27,B209)&gt;0,"On list",""))</f>
        <v/>
      </c>
      <c r="B209" s="27" t="str">
        <f aca="false">IF(DB_Colleges!A203="","",DB_Colleges!A203)</f>
        <v>Rhodes College</v>
      </c>
      <c r="C209" s="26" t="str">
        <f aca="false">IF(B209="","",DB_Colleges!B203)</f>
        <v>Southeast Private</v>
      </c>
      <c r="D209" s="26" t="str">
        <f aca="false">IF(B209="","",DB_Colleges!C203&amp;", "&amp;DB_Colleges!D203)</f>
        <v>Memphis, TN</v>
      </c>
      <c r="E209" s="26" t="str">
        <f aca="false">IF(B209="","",IF(AND(NOT(ISNUMBER($X$4)),NOT(ISNUMBER($Y$4))),"Add scores",IF(NOT(ISNUMBER(DB_Colleges!Y203)),IF(OR(C209="Ivy League",C209="Highly Selective"),"Reach",IF(COUNT(U209:V209)=0,"No data",CHOOSE(W209+2,"Reach","Target","Likely"))),IF(DB_Colleges!Y203&lt;0.15,"Reach",IF(DB_Colleges!Y203&gt;=0.75,IF(W209&gt;=0,"Likely","Target"),IF(DB_Colleges!Y203&gt;=0.4,CHOOSE(W209+2,"Reach","Target","Likely"),IF(W209=1,"Target","Reach")))))))</f>
        <v>Target</v>
      </c>
      <c r="F209" s="28" t="n">
        <f aca="false">IF(OR(B209="",NOT(ISNUMBER(DB_Colleges!Y203))),"",DB_Colleges!Y203)</f>
        <v>0.52</v>
      </c>
      <c r="G209" s="26" t="str">
        <f aca="false">IF(OR(B209="",NOT(ISNUMBER(DB_Colleges!Z203))),"",DB_Colleges!Z203&amp;"-"&amp;DB_Colleges!AA203)</f>
        <v/>
      </c>
      <c r="H209" s="26" t="str">
        <f aca="false">IF(OR(B209="",NOT(ISNUMBER(DB_Colleges!AD203))),"",DB_Colleges!AD203)</f>
        <v/>
      </c>
      <c r="I209" s="29" t="n">
        <f aca="false">IF(B209="","",IF(COUNT(DB_Colleges!I203:O203)=0,IF(DB_Colleges!P203="Yes","Rolling","Check site"),MIN(DB_Colleges!I203:O203)))</f>
        <v>46327</v>
      </c>
      <c r="J209" s="26" t="str">
        <f aca="false">IF(OR(B209="",COUNT(DB_Colleges!I203:O203)=0),"",INDEX({"ED","ED II","EA","EA II","REA","RD","Priority"},MATCH(MIN(DB_Colleges!I203:O203),DB_Colleges!I203:O203,0)))</f>
        <v>ED</v>
      </c>
      <c r="K209" s="29" t="n">
        <f aca="false">IF(OR(B209="",NOT(ISNUMBER(DB_Colleges!N203))),"",DB_Colleges!N203)</f>
        <v>46402</v>
      </c>
      <c r="L209" s="26" t="str">
        <f aca="false">IF(B209="","",DB_Colleges!G203&amp;"")</f>
        <v>Common App</v>
      </c>
      <c r="M209" s="30" t="n">
        <f aca="false">IF(OR(B209="",NOT(ISNUMBER(DB_Colleges!S203))),"",DB_Colleges!S203)</f>
        <v>0</v>
      </c>
      <c r="N209" s="26" t="str">
        <f aca="false">IF(B209="","",DB_Colleges!U203&amp;"")</f>
        <v>Optional</v>
      </c>
      <c r="O209" s="26" t="str">
        <f aca="false">IF(B209="","",IF(ISNUMBER(DB_Colleges!AH203),DB_Colleges!AH203,"Check"))</f>
        <v>Check</v>
      </c>
      <c r="P209" s="26" t="str">
        <f aca="false">IF(B209="","",DB_Colleges!W203&amp;"")</f>
        <v>Not required</v>
      </c>
      <c r="Q209" s="30" t="n">
        <f aca="false">IF(OR(B209="",NOT(ISNUMBER(DB_Colleges!AF203))),"",DB_Colleges!AF203)</f>
        <v>15770</v>
      </c>
      <c r="R209" s="28" t="n">
        <f aca="false">IF(OR(B209="",NOT(ISNUMBER(DB_Colleges!AG203))),"",DB_Colleges!AG203)</f>
        <v>0.81</v>
      </c>
      <c r="S209" s="26" t="str">
        <f aca="false">IF(B209="","",DB_Colleges!AK203&amp;"")</f>
        <v>Mixed</v>
      </c>
      <c r="T209" s="26" t="str">
        <f aca="false">IF(B209="","",DB_Colleges!AI203&amp;"")</f>
        <v>https://www.rhodes.edu/admission-aid/apply-rhodes/application-plans-deadlines</v>
      </c>
      <c r="U209" s="1" t="str">
        <f aca="false">IF(AND(ISNUMBER($X$4),ISNUMBER(DB_Colleges!Z203),ISNUMBER(DB_Colleges!AA203)),IF($X$4&gt;=DB_Colleges!AA203,1,IF($X$4&lt;DB_Colleges!Z203,-1,0)),"")</f>
        <v/>
      </c>
      <c r="V209" s="1" t="str">
        <f aca="false">IF(AND(ISNUMBER($Y$4),ISNUMBER(DB_Colleges!AD203)),IF($Y$4&gt;=DB_Colleges!AD203+0.15,1,IF($Y$4&lt;DB_Colleges!AD203-0.2,-1,0)),"")</f>
        <v/>
      </c>
      <c r="W209" s="1" t="n">
        <f aca="false">IF(COUNT(U209:V209)=0,0,MIN(U209:V209))</f>
        <v>0</v>
      </c>
    </row>
    <row r="210" customFormat="false" ht="15" hidden="false" customHeight="true" outlineLevel="0" collapsed="false">
      <c r="A210" s="26" t="str">
        <f aca="false">IF(B210="","",IF(COUNTIF('My Colleges'!$B$8:$B$27,B210)&gt;0,"On list",""))</f>
        <v/>
      </c>
      <c r="B210" s="27" t="str">
        <f aca="false">IF(DB_Colleges!A204="","",DB_Colleges!A204)</f>
        <v>Centre College</v>
      </c>
      <c r="C210" s="26" t="str">
        <f aca="false">IF(B210="","",DB_Colleges!B204)</f>
        <v>Southeast Private</v>
      </c>
      <c r="D210" s="26" t="str">
        <f aca="false">IF(B210="","",DB_Colleges!C204&amp;", "&amp;DB_Colleges!D204)</f>
        <v>Danville, KY</v>
      </c>
      <c r="E210" s="26" t="str">
        <f aca="false">IF(B210="","",IF(AND(NOT(ISNUMBER($X$4)),NOT(ISNUMBER($Y$4))),"Add scores",IF(NOT(ISNUMBER(DB_Colleges!Y204)),IF(OR(C210="Ivy League",C210="Highly Selective"),"Reach",IF(COUNT(U210:V210)=0,"No data",CHOOSE(W210+2,"Reach","Target","Likely"))),IF(DB_Colleges!Y204&lt;0.15,"Reach",IF(DB_Colleges!Y204&gt;=0.75,IF(W210&gt;=0,"Likely","Target"),IF(DB_Colleges!Y204&gt;=0.4,CHOOSE(W210+2,"Reach","Target","Likely"),IF(W210=1,"Target","Reach")))))))</f>
        <v>Reach</v>
      </c>
      <c r="F210" s="28" t="n">
        <f aca="false">IF(OR(B210="",NOT(ISNUMBER(DB_Colleges!Y204))),"",DB_Colleges!Y204)</f>
        <v>0.48</v>
      </c>
      <c r="G210" s="26" t="str">
        <f aca="false">IF(OR(B210="",NOT(ISNUMBER(DB_Colleges!Z204))),"",DB_Colleges!Z204&amp;"-"&amp;DB_Colleges!AA204)</f>
        <v>1188-1433</v>
      </c>
      <c r="H210" s="26" t="str">
        <f aca="false">IF(OR(B210="",NOT(ISNUMBER(DB_Colleges!AD204))),"",DB_Colleges!AD204)</f>
        <v/>
      </c>
      <c r="I210" s="29" t="n">
        <f aca="false">IF(B210="","",IF(COUNT(DB_Colleges!I204:O204)=0,IF(DB_Colleges!P204="Yes","Rolling","Check site"),MIN(DB_Colleges!I204:O204)))</f>
        <v>46327</v>
      </c>
      <c r="J210" s="26" t="str">
        <f aca="false">IF(OR(B210="",COUNT(DB_Colleges!I204:O204)=0),"",INDEX({"ED","ED II","EA","EA II","REA","RD","Priority"},MATCH(MIN(DB_Colleges!I204:O204),DB_Colleges!I204:O204,0)))</f>
        <v>ED</v>
      </c>
      <c r="K210" s="29" t="str">
        <f aca="false">IF(OR(B210="",NOT(ISNUMBER(DB_Colleges!N204))),"",DB_Colleges!N204)</f>
        <v/>
      </c>
      <c r="L210" s="26" t="str">
        <f aca="false">IF(B210="","",DB_Colleges!G204&amp;"")</f>
        <v>Common App</v>
      </c>
      <c r="M210" s="30" t="n">
        <f aca="false">IF(OR(B210="",NOT(ISNUMBER(DB_Colleges!S204))),"",DB_Colleges!S204)</f>
        <v>0</v>
      </c>
      <c r="N210" s="26" t="str">
        <f aca="false">IF(B210="","",DB_Colleges!U204&amp;"")</f>
        <v>Optional</v>
      </c>
      <c r="O210" s="26" t="str">
        <f aca="false">IF(B210="","",IF(ISNUMBER(DB_Colleges!AH204),DB_Colleges!AH204,"Check"))</f>
        <v>Check</v>
      </c>
      <c r="P210" s="26" t="str">
        <f aca="false">IF(B210="","",DB_Colleges!W204&amp;"")</f>
        <v/>
      </c>
      <c r="Q210" s="30" t="n">
        <f aca="false">IF(OR(B210="",NOT(ISNUMBER(DB_Colleges!AF204))),"",DB_Colleges!AF204)</f>
        <v>11364</v>
      </c>
      <c r="R210" s="28" t="n">
        <f aca="false">IF(OR(B210="",NOT(ISNUMBER(DB_Colleges!AG204))),"",DB_Colleges!AG204)</f>
        <v>0.82</v>
      </c>
      <c r="S210" s="26" t="str">
        <f aca="false">IF(B210="","",DB_Colleges!AK204&amp;"")</f>
        <v>Aggregator only</v>
      </c>
      <c r="T210" s="26" t="str">
        <f aca="false">IF(B210="","",DB_Colleges!AI204&amp;"")</f>
        <v>https://www.centre.edu/apply</v>
      </c>
      <c r="U210" s="1" t="n">
        <f aca="false">IF(AND(ISNUMBER($X$4),ISNUMBER(DB_Colleges!Z204),ISNUMBER(DB_Colleges!AA204)),IF($X$4&gt;=DB_Colleges!AA204,1,IF($X$4&lt;DB_Colleges!Z204,-1,0)),"")</f>
        <v>-1</v>
      </c>
      <c r="V210" s="1" t="str">
        <f aca="false">IF(AND(ISNUMBER($Y$4),ISNUMBER(DB_Colleges!AD204)),IF($Y$4&gt;=DB_Colleges!AD204+0.15,1,IF($Y$4&lt;DB_Colleges!AD204-0.2,-1,0)),"")</f>
        <v/>
      </c>
      <c r="W210" s="1" t="n">
        <f aca="false">IF(COUNT(U210:V210)=0,0,MIN(U210:V210))</f>
        <v>-1</v>
      </c>
    </row>
    <row r="211" customFormat="false" ht="15" hidden="false" customHeight="true" outlineLevel="0" collapsed="false">
      <c r="A211" s="26" t="str">
        <f aca="false">IF(B211="","",IF(COUNTIF('My Colleges'!$B$8:$B$27,B211)&gt;0,"On list",""))</f>
        <v/>
      </c>
      <c r="B211" s="27" t="str">
        <f aca="false">IF(DB_Colleges!A205="","",DB_Colleges!A205)</f>
        <v>Embry-Riddle Aeronautical University (Daytona Beach)</v>
      </c>
      <c r="C211" s="26" t="str">
        <f aca="false">IF(B211="","",DB_Colleges!B205)</f>
        <v>Southeast Private</v>
      </c>
      <c r="D211" s="26" t="str">
        <f aca="false">IF(B211="","",DB_Colleges!C205&amp;", "&amp;DB_Colleges!D205)</f>
        <v>Daytona Beach, FL</v>
      </c>
      <c r="E211" s="26" t="str">
        <f aca="false">IF(B211="","",IF(AND(NOT(ISNUMBER($X$4)),NOT(ISNUMBER($Y$4))),"Add scores",IF(NOT(ISNUMBER(DB_Colleges!Y205)),IF(OR(C211="Ivy League",C211="Highly Selective"),"Reach",IF(COUNT(U211:V211)=0,"No data",CHOOSE(W211+2,"Reach","Target","Likely"))),IF(DB_Colleges!Y205&lt;0.15,"Reach",IF(DB_Colleges!Y205&gt;=0.75,IF(W211&gt;=0,"Likely","Target"),IF(DB_Colleges!Y205&gt;=0.4,CHOOSE(W211+2,"Reach","Target","Likely"),IF(W211=1,"Target","Reach")))))))</f>
        <v>Reach</v>
      </c>
      <c r="F211" s="28" t="n">
        <f aca="false">IF(OR(B211="",NOT(ISNUMBER(DB_Colleges!Y205))),"",DB_Colleges!Y205)</f>
        <v>0.65</v>
      </c>
      <c r="G211" s="26" t="str">
        <f aca="false">IF(OR(B211="",NOT(ISNUMBER(DB_Colleges!Z205))),"",DB_Colleges!Z205&amp;"-"&amp;DB_Colleges!AA205)</f>
        <v>1160-1380</v>
      </c>
      <c r="H211" s="26" t="str">
        <f aca="false">IF(OR(B211="",NOT(ISNUMBER(DB_Colleges!AD205))),"",DB_Colleges!AD205)</f>
        <v/>
      </c>
      <c r="I211" s="29" t="str">
        <f aca="false">IF(B211="","",IF(COUNT(DB_Colleges!I205:O205)=0,IF(DB_Colleges!P205="Yes","Rolling","Check site"),MIN(DB_Colleges!I205:O205)))</f>
        <v>Rolling</v>
      </c>
      <c r="J211" s="26" t="str">
        <f aca="false">IF(OR(B211="",COUNT(DB_Colleges!I205:O205)=0),"",INDEX({"ED","ED II","EA","EA II","REA","RD","Priority"},MATCH(MIN(DB_Colleges!I205:O205),DB_Colleges!I205:O205,0)))</f>
        <v/>
      </c>
      <c r="K211" s="29" t="str">
        <f aca="false">IF(OR(B211="",NOT(ISNUMBER(DB_Colleges!N205))),"",DB_Colleges!N205)</f>
        <v/>
      </c>
      <c r="L211" s="26" t="str">
        <f aca="false">IF(B211="","",DB_Colleges!G205&amp;"")</f>
        <v>School portal</v>
      </c>
      <c r="M211" s="30" t="n">
        <f aca="false">IF(OR(B211="",NOT(ISNUMBER(DB_Colleges!S205))),"",DB_Colleges!S205)</f>
        <v>50</v>
      </c>
      <c r="N211" s="26" t="str">
        <f aca="false">IF(B211="","",DB_Colleges!U205&amp;"")</f>
        <v>Optional</v>
      </c>
      <c r="O211" s="26" t="str">
        <f aca="false">IF(B211="","",IF(ISNUMBER(DB_Colleges!AH205),DB_Colleges!AH205,"Check"))</f>
        <v>Check</v>
      </c>
      <c r="P211" s="26" t="str">
        <f aca="false">IF(B211="","",DB_Colleges!W205&amp;"")</f>
        <v/>
      </c>
      <c r="Q211" s="30" t="n">
        <f aca="false">IF(OR(B211="",NOT(ISNUMBER(DB_Colleges!AF205))),"",DB_Colleges!AF205)</f>
        <v>36238</v>
      </c>
      <c r="R211" s="28" t="n">
        <f aca="false">IF(OR(B211="",NOT(ISNUMBER(DB_Colleges!AG205))),"",DB_Colleges!AG205)</f>
        <v>0.64</v>
      </c>
      <c r="S211" s="26" t="str">
        <f aca="false">IF(B211="","",DB_Colleges!AK205&amp;"")</f>
        <v>Aggregator only</v>
      </c>
      <c r="T211" s="26" t="str">
        <f aca="false">IF(B211="","",DB_Colleges!AI205&amp;"")</f>
        <v>https://erau.edu/apply</v>
      </c>
      <c r="U211" s="1" t="n">
        <f aca="false">IF(AND(ISNUMBER($X$4),ISNUMBER(DB_Colleges!Z205),ISNUMBER(DB_Colleges!AA205)),IF($X$4&gt;=DB_Colleges!AA205,1,IF($X$4&lt;DB_Colleges!Z205,-1,0)),"")</f>
        <v>-1</v>
      </c>
      <c r="V211" s="1" t="str">
        <f aca="false">IF(AND(ISNUMBER($Y$4),ISNUMBER(DB_Colleges!AD205)),IF($Y$4&gt;=DB_Colleges!AD205+0.15,1,IF($Y$4&lt;DB_Colleges!AD205-0.2,-1,0)),"")</f>
        <v/>
      </c>
      <c r="W211" s="1" t="n">
        <f aca="false">IF(COUNT(U211:V211)=0,0,MIN(U211:V211))</f>
        <v>-1</v>
      </c>
    </row>
    <row r="212" customFormat="false" ht="15" hidden="false" customHeight="true" outlineLevel="0" collapsed="false">
      <c r="A212" s="26" t="str">
        <f aca="false">IF(B212="","",IF(COUNTIF('My Colleges'!$B$8:$B$27,B212)&gt;0,"On list",""))</f>
        <v/>
      </c>
      <c r="B212" s="27" t="str">
        <f aca="false">IF(DB_Colleges!A206="","",DB_Colleges!A206)</f>
        <v>Lipscomb University</v>
      </c>
      <c r="C212" s="26" t="str">
        <f aca="false">IF(B212="","",DB_Colleges!B206)</f>
        <v>Southeast Private</v>
      </c>
      <c r="D212" s="26" t="str">
        <f aca="false">IF(B212="","",DB_Colleges!C206&amp;", "&amp;DB_Colleges!D206)</f>
        <v>Nashville, TN</v>
      </c>
      <c r="E212" s="26" t="str">
        <f aca="false">IF(B212="","",IF(AND(NOT(ISNUMBER($X$4)),NOT(ISNUMBER($Y$4))),"Add scores",IF(NOT(ISNUMBER(DB_Colleges!Y206)),IF(OR(C212="Ivy League",C212="Highly Selective"),"Reach",IF(COUNT(U212:V212)=0,"No data",CHOOSE(W212+2,"Reach","Target","Likely"))),IF(DB_Colleges!Y206&lt;0.15,"Reach",IF(DB_Colleges!Y206&gt;=0.75,IF(W212&gt;=0,"Likely","Target"),IF(DB_Colleges!Y206&gt;=0.4,CHOOSE(W212+2,"Reach","Target","Likely"),IF(W212=1,"Target","Reach")))))))</f>
        <v>Reach</v>
      </c>
      <c r="F212" s="28" t="n">
        <f aca="false">IF(OR(B212="",NOT(ISNUMBER(DB_Colleges!Y206))),"",DB_Colleges!Y206)</f>
        <v>0.68</v>
      </c>
      <c r="G212" s="26" t="str">
        <f aca="false">IF(OR(B212="",NOT(ISNUMBER(DB_Colleges!Z206))),"",DB_Colleges!Z206&amp;"-"&amp;DB_Colleges!AA206)</f>
        <v>1110-1360</v>
      </c>
      <c r="H212" s="26" t="str">
        <f aca="false">IF(OR(B212="",NOT(ISNUMBER(DB_Colleges!AD206))),"",DB_Colleges!AD206)</f>
        <v/>
      </c>
      <c r="I212" s="29" t="n">
        <f aca="false">IF(B212="","",IF(COUNT(DB_Colleges!I206:O206)=0,IF(DB_Colleges!P206="Yes","Rolling","Check site"),MIN(DB_Colleges!I206:O206)))</f>
        <v>46341</v>
      </c>
      <c r="J212" s="26" t="str">
        <f aca="false">IF(OR(B212="",COUNT(DB_Colleges!I206:O206)=0),"",INDEX({"ED","ED II","EA","EA II","REA","RD","Priority"},MATCH(MIN(DB_Colleges!I206:O206),DB_Colleges!I206:O206,0)))</f>
        <v>Priority</v>
      </c>
      <c r="K212" s="29" t="str">
        <f aca="false">IF(OR(B212="",NOT(ISNUMBER(DB_Colleges!N206))),"",DB_Colleges!N206)</f>
        <v/>
      </c>
      <c r="L212" s="26" t="str">
        <f aca="false">IF(B212="","",DB_Colleges!G206&amp;"")</f>
        <v>Common App; Coalition; School portal</v>
      </c>
      <c r="M212" s="30" t="n">
        <f aca="false">IF(OR(B212="",NOT(ISNUMBER(DB_Colleges!S206))),"",DB_Colleges!S206)</f>
        <v>50</v>
      </c>
      <c r="N212" s="26" t="str">
        <f aca="false">IF(B212="","",DB_Colleges!U206&amp;"")</f>
        <v>Optional</v>
      </c>
      <c r="O212" s="26" t="str">
        <f aca="false">IF(B212="","",IF(ISNUMBER(DB_Colleges!AH206),DB_Colleges!AH206,"Check"))</f>
        <v>Check</v>
      </c>
      <c r="P212" s="26" t="str">
        <f aca="false">IF(B212="","",DB_Colleges!W206&amp;"")</f>
        <v/>
      </c>
      <c r="Q212" s="30" t="n">
        <f aca="false">IF(OR(B212="",NOT(ISNUMBER(DB_Colleges!AF206))),"",DB_Colleges!AF206)</f>
        <v>20048</v>
      </c>
      <c r="R212" s="28" t="n">
        <f aca="false">IF(OR(B212="",NOT(ISNUMBER(DB_Colleges!AG206))),"",DB_Colleges!AG206)</f>
        <v>0.67</v>
      </c>
      <c r="S212" s="26" t="str">
        <f aca="false">IF(B212="","",DB_Colleges!AK206&amp;"")</f>
        <v>Mixed</v>
      </c>
      <c r="T212" s="26" t="str">
        <f aca="false">IF(B212="","",DB_Colleges!AI206&amp;"")</f>
        <v>https://lipscomb.edu/admissions/freshmen-admissions/freshmen-admission-requirements</v>
      </c>
      <c r="U212" s="1" t="n">
        <f aca="false">IF(AND(ISNUMBER($X$4),ISNUMBER(DB_Colleges!Z206),ISNUMBER(DB_Colleges!AA206)),IF($X$4&gt;=DB_Colleges!AA206,1,IF($X$4&lt;DB_Colleges!Z206,-1,0)),"")</f>
        <v>-1</v>
      </c>
      <c r="V212" s="1" t="str">
        <f aca="false">IF(AND(ISNUMBER($Y$4),ISNUMBER(DB_Colleges!AD206)),IF($Y$4&gt;=DB_Colleges!AD206+0.15,1,IF($Y$4&lt;DB_Colleges!AD206-0.2,-1,0)),"")</f>
        <v/>
      </c>
      <c r="W212" s="1" t="n">
        <f aca="false">IF(COUNT(U212:V212)=0,0,MIN(U212:V212))</f>
        <v>-1</v>
      </c>
    </row>
    <row r="213" customFormat="false" ht="15" hidden="false" customHeight="true" outlineLevel="0" collapsed="false">
      <c r="A213" s="26" t="str">
        <f aca="false">IF(B213="","",IF(COUNTIF('My Colleges'!$B$8:$B$27,B213)&gt;0,"On list",""))</f>
        <v/>
      </c>
      <c r="B213" s="27" t="str">
        <f aca="false">IF(DB_Colleges!A207="","",DB_Colleges!A207)</f>
        <v/>
      </c>
      <c r="C213" s="26" t="str">
        <f aca="false">IF(B213="","",DB_Colleges!B207)</f>
        <v/>
      </c>
      <c r="D213" s="26" t="str">
        <f aca="false">IF(B213="","",DB_Colleges!C207&amp;", "&amp;DB_Colleges!D207)</f>
        <v/>
      </c>
      <c r="E213" s="26" t="str">
        <f aca="false">IF(B213="","",IF(AND(NOT(ISNUMBER($X$4)),NOT(ISNUMBER($Y$4))),"Add scores",IF(NOT(ISNUMBER(DB_Colleges!Y207)),IF(OR(C213="Ivy League",C213="Highly Selective"),"Reach",IF(COUNT(U213:V213)=0,"No data",CHOOSE(W213+2,"Reach","Target","Likely"))),IF(DB_Colleges!Y207&lt;0.15,"Reach",IF(DB_Colleges!Y207&gt;=0.75,IF(W213&gt;=0,"Likely","Target"),IF(DB_Colleges!Y207&gt;=0.4,CHOOSE(W213+2,"Reach","Target","Likely"),IF(W213=1,"Target","Reach")))))))</f>
        <v/>
      </c>
      <c r="F213" s="28" t="str">
        <f aca="false">IF(OR(B213="",NOT(ISNUMBER(DB_Colleges!Y207))),"",DB_Colleges!Y207)</f>
        <v/>
      </c>
      <c r="G213" s="26" t="str">
        <f aca="false">IF(OR(B213="",NOT(ISNUMBER(DB_Colleges!Z207))),"",DB_Colleges!Z207&amp;"-"&amp;DB_Colleges!AA207)</f>
        <v/>
      </c>
      <c r="H213" s="26" t="str">
        <f aca="false">IF(OR(B213="",NOT(ISNUMBER(DB_Colleges!AD207))),"",DB_Colleges!AD207)</f>
        <v/>
      </c>
      <c r="I213" s="29" t="str">
        <f aca="false">IF(B213="","",IF(COUNT(DB_Colleges!I207:O207)=0,IF(DB_Colleges!P207="Yes","Rolling","Check site"),MIN(DB_Colleges!I207:O207)))</f>
        <v/>
      </c>
      <c r="J213" s="26" t="str">
        <f aca="false">IF(OR(B213="",COUNT(DB_Colleges!I207:O207)=0),"",INDEX({"ED","ED II","EA","EA II","REA","RD","Priority"},MATCH(MIN(DB_Colleges!I207:O207),DB_Colleges!I207:O207,0)))</f>
        <v/>
      </c>
      <c r="K213" s="29" t="str">
        <f aca="false">IF(OR(B213="",NOT(ISNUMBER(DB_Colleges!N207))),"",DB_Colleges!N207)</f>
        <v/>
      </c>
      <c r="L213" s="26" t="str">
        <f aca="false">IF(B213="","",DB_Colleges!G207&amp;"")</f>
        <v/>
      </c>
      <c r="M213" s="30" t="str">
        <f aca="false">IF(OR(B213="",NOT(ISNUMBER(DB_Colleges!S207))),"",DB_Colleges!S207)</f>
        <v/>
      </c>
      <c r="N213" s="26" t="str">
        <f aca="false">IF(B213="","",DB_Colleges!U207&amp;"")</f>
        <v/>
      </c>
      <c r="O213" s="26" t="str">
        <f aca="false">IF(B213="","",IF(ISNUMBER(DB_Colleges!AH207),DB_Colleges!AH207,"Check"))</f>
        <v/>
      </c>
      <c r="P213" s="26" t="str">
        <f aca="false">IF(B213="","",DB_Colleges!W207&amp;"")</f>
        <v/>
      </c>
      <c r="Q213" s="30" t="str">
        <f aca="false">IF(OR(B213="",NOT(ISNUMBER(DB_Colleges!AF207))),"",DB_Colleges!AF207)</f>
        <v/>
      </c>
      <c r="R213" s="28" t="str">
        <f aca="false">IF(OR(B213="",NOT(ISNUMBER(DB_Colleges!AG207))),"",DB_Colleges!AG207)</f>
        <v/>
      </c>
      <c r="S213" s="26" t="str">
        <f aca="false">IF(B213="","",DB_Colleges!AK207&amp;"")</f>
        <v/>
      </c>
      <c r="T213" s="26" t="str">
        <f aca="false">IF(B213="","",DB_Colleges!AI207&amp;"")</f>
        <v/>
      </c>
      <c r="U213" s="1" t="str">
        <f aca="false">IF(AND(ISNUMBER($X$4),ISNUMBER(DB_Colleges!Z207),ISNUMBER(DB_Colleges!AA207)),IF($X$4&gt;=DB_Colleges!AA207,1,IF($X$4&lt;DB_Colleges!Z207,-1,0)),"")</f>
        <v/>
      </c>
      <c r="V213" s="1" t="str">
        <f aca="false">IF(AND(ISNUMBER($Y$4),ISNUMBER(DB_Colleges!AD207)),IF($Y$4&gt;=DB_Colleges!AD207+0.15,1,IF($Y$4&lt;DB_Colleges!AD207-0.2,-1,0)),"")</f>
        <v/>
      </c>
      <c r="W213" s="1" t="n">
        <f aca="false">IF(COUNT(U213:V213)=0,0,MIN(U213:V213))</f>
        <v>0</v>
      </c>
    </row>
    <row r="214" customFormat="false" ht="15" hidden="false" customHeight="true" outlineLevel="0" collapsed="false">
      <c r="A214" s="26" t="str">
        <f aca="false">IF(B214="","",IF(COUNTIF('My Colleges'!$B$8:$B$27,B214)&gt;0,"On list",""))</f>
        <v/>
      </c>
      <c r="B214" s="27" t="str">
        <f aca="false">IF(DB_Colleges!A208="","",DB_Colleges!A208)</f>
        <v/>
      </c>
      <c r="C214" s="26" t="str">
        <f aca="false">IF(B214="","",DB_Colleges!B208)</f>
        <v/>
      </c>
      <c r="D214" s="26" t="str">
        <f aca="false">IF(B214="","",DB_Colleges!C208&amp;", "&amp;DB_Colleges!D208)</f>
        <v/>
      </c>
      <c r="E214" s="26" t="str">
        <f aca="false">IF(B214="","",IF(AND(NOT(ISNUMBER($X$4)),NOT(ISNUMBER($Y$4))),"Add scores",IF(NOT(ISNUMBER(DB_Colleges!Y208)),IF(OR(C214="Ivy League",C214="Highly Selective"),"Reach",IF(COUNT(U214:V214)=0,"No data",CHOOSE(W214+2,"Reach","Target","Likely"))),IF(DB_Colleges!Y208&lt;0.15,"Reach",IF(DB_Colleges!Y208&gt;=0.75,IF(W214&gt;=0,"Likely","Target"),IF(DB_Colleges!Y208&gt;=0.4,CHOOSE(W214+2,"Reach","Target","Likely"),IF(W214=1,"Target","Reach")))))))</f>
        <v/>
      </c>
      <c r="F214" s="28" t="str">
        <f aca="false">IF(OR(B214="",NOT(ISNUMBER(DB_Colleges!Y208))),"",DB_Colleges!Y208)</f>
        <v/>
      </c>
      <c r="G214" s="26" t="str">
        <f aca="false">IF(OR(B214="",NOT(ISNUMBER(DB_Colleges!Z208))),"",DB_Colleges!Z208&amp;"-"&amp;DB_Colleges!AA208)</f>
        <v/>
      </c>
      <c r="H214" s="26" t="str">
        <f aca="false">IF(OR(B214="",NOT(ISNUMBER(DB_Colleges!AD208))),"",DB_Colleges!AD208)</f>
        <v/>
      </c>
      <c r="I214" s="29" t="str">
        <f aca="false">IF(B214="","",IF(COUNT(DB_Colleges!I208:O208)=0,IF(DB_Colleges!P208="Yes","Rolling","Check site"),MIN(DB_Colleges!I208:O208)))</f>
        <v/>
      </c>
      <c r="J214" s="26" t="str">
        <f aca="false">IF(OR(B214="",COUNT(DB_Colleges!I208:O208)=0),"",INDEX({"ED","ED II","EA","EA II","REA","RD","Priority"},MATCH(MIN(DB_Colleges!I208:O208),DB_Colleges!I208:O208,0)))</f>
        <v/>
      </c>
      <c r="K214" s="29" t="str">
        <f aca="false">IF(OR(B214="",NOT(ISNUMBER(DB_Colleges!N208))),"",DB_Colleges!N208)</f>
        <v/>
      </c>
      <c r="L214" s="26" t="str">
        <f aca="false">IF(B214="","",DB_Colleges!G208&amp;"")</f>
        <v/>
      </c>
      <c r="M214" s="30" t="str">
        <f aca="false">IF(OR(B214="",NOT(ISNUMBER(DB_Colleges!S208))),"",DB_Colleges!S208)</f>
        <v/>
      </c>
      <c r="N214" s="26" t="str">
        <f aca="false">IF(B214="","",DB_Colleges!U208&amp;"")</f>
        <v/>
      </c>
      <c r="O214" s="26" t="str">
        <f aca="false">IF(B214="","",IF(ISNUMBER(DB_Colleges!AH208),DB_Colleges!AH208,"Check"))</f>
        <v/>
      </c>
      <c r="P214" s="26" t="str">
        <f aca="false">IF(B214="","",DB_Colleges!W208&amp;"")</f>
        <v/>
      </c>
      <c r="Q214" s="30" t="str">
        <f aca="false">IF(OR(B214="",NOT(ISNUMBER(DB_Colleges!AF208))),"",DB_Colleges!AF208)</f>
        <v/>
      </c>
      <c r="R214" s="28" t="str">
        <f aca="false">IF(OR(B214="",NOT(ISNUMBER(DB_Colleges!AG208))),"",DB_Colleges!AG208)</f>
        <v/>
      </c>
      <c r="S214" s="26" t="str">
        <f aca="false">IF(B214="","",DB_Colleges!AK208&amp;"")</f>
        <v/>
      </c>
      <c r="T214" s="26" t="str">
        <f aca="false">IF(B214="","",DB_Colleges!AI208&amp;"")</f>
        <v/>
      </c>
      <c r="U214" s="1" t="str">
        <f aca="false">IF(AND(ISNUMBER($X$4),ISNUMBER(DB_Colleges!Z208),ISNUMBER(DB_Colleges!AA208)),IF($X$4&gt;=DB_Colleges!AA208,1,IF($X$4&lt;DB_Colleges!Z208,-1,0)),"")</f>
        <v/>
      </c>
      <c r="V214" s="1" t="str">
        <f aca="false">IF(AND(ISNUMBER($Y$4),ISNUMBER(DB_Colleges!AD208)),IF($Y$4&gt;=DB_Colleges!AD208+0.15,1,IF($Y$4&lt;DB_Colleges!AD208-0.2,-1,0)),"")</f>
        <v/>
      </c>
      <c r="W214" s="1" t="n">
        <f aca="false">IF(COUNT(U214:V214)=0,0,MIN(U214:V214))</f>
        <v>0</v>
      </c>
    </row>
    <row r="215" customFormat="false" ht="15" hidden="false" customHeight="true" outlineLevel="0" collapsed="false">
      <c r="A215" s="26" t="str">
        <f aca="false">IF(B215="","",IF(COUNTIF('My Colleges'!$B$8:$B$27,B215)&gt;0,"On list",""))</f>
        <v/>
      </c>
      <c r="B215" s="27" t="str">
        <f aca="false">IF(DB_Colleges!A209="","",DB_Colleges!A209)</f>
        <v/>
      </c>
      <c r="C215" s="26" t="str">
        <f aca="false">IF(B215="","",DB_Colleges!B209)</f>
        <v/>
      </c>
      <c r="D215" s="26" t="str">
        <f aca="false">IF(B215="","",DB_Colleges!C209&amp;", "&amp;DB_Colleges!D209)</f>
        <v/>
      </c>
      <c r="E215" s="26" t="str">
        <f aca="false">IF(B215="","",IF(AND(NOT(ISNUMBER($X$4)),NOT(ISNUMBER($Y$4))),"Add scores",IF(NOT(ISNUMBER(DB_Colleges!Y209)),IF(OR(C215="Ivy League",C215="Highly Selective"),"Reach",IF(COUNT(U215:V215)=0,"No data",CHOOSE(W215+2,"Reach","Target","Likely"))),IF(DB_Colleges!Y209&lt;0.15,"Reach",IF(DB_Colleges!Y209&gt;=0.75,IF(W215&gt;=0,"Likely","Target"),IF(DB_Colleges!Y209&gt;=0.4,CHOOSE(W215+2,"Reach","Target","Likely"),IF(W215=1,"Target","Reach")))))))</f>
        <v/>
      </c>
      <c r="F215" s="28" t="str">
        <f aca="false">IF(OR(B215="",NOT(ISNUMBER(DB_Colleges!Y209))),"",DB_Colleges!Y209)</f>
        <v/>
      </c>
      <c r="G215" s="26" t="str">
        <f aca="false">IF(OR(B215="",NOT(ISNUMBER(DB_Colleges!Z209))),"",DB_Colleges!Z209&amp;"-"&amp;DB_Colleges!AA209)</f>
        <v/>
      </c>
      <c r="H215" s="26" t="str">
        <f aca="false">IF(OR(B215="",NOT(ISNUMBER(DB_Colleges!AD209))),"",DB_Colleges!AD209)</f>
        <v/>
      </c>
      <c r="I215" s="29" t="str">
        <f aca="false">IF(B215="","",IF(COUNT(DB_Colleges!I209:O209)=0,IF(DB_Colleges!P209="Yes","Rolling","Check site"),MIN(DB_Colleges!I209:O209)))</f>
        <v/>
      </c>
      <c r="J215" s="26" t="str">
        <f aca="false">IF(OR(B215="",COUNT(DB_Colleges!I209:O209)=0),"",INDEX({"ED","ED II","EA","EA II","REA","RD","Priority"},MATCH(MIN(DB_Colleges!I209:O209),DB_Colleges!I209:O209,0)))</f>
        <v/>
      </c>
      <c r="K215" s="29" t="str">
        <f aca="false">IF(OR(B215="",NOT(ISNUMBER(DB_Colleges!N209))),"",DB_Colleges!N209)</f>
        <v/>
      </c>
      <c r="L215" s="26" t="str">
        <f aca="false">IF(B215="","",DB_Colleges!G209&amp;"")</f>
        <v/>
      </c>
      <c r="M215" s="30" t="str">
        <f aca="false">IF(OR(B215="",NOT(ISNUMBER(DB_Colleges!S209))),"",DB_Colleges!S209)</f>
        <v/>
      </c>
      <c r="N215" s="26" t="str">
        <f aca="false">IF(B215="","",DB_Colleges!U209&amp;"")</f>
        <v/>
      </c>
      <c r="O215" s="26" t="str">
        <f aca="false">IF(B215="","",IF(ISNUMBER(DB_Colleges!AH209),DB_Colleges!AH209,"Check"))</f>
        <v/>
      </c>
      <c r="P215" s="26" t="str">
        <f aca="false">IF(B215="","",DB_Colleges!W209&amp;"")</f>
        <v/>
      </c>
      <c r="Q215" s="30" t="str">
        <f aca="false">IF(OR(B215="",NOT(ISNUMBER(DB_Colleges!AF209))),"",DB_Colleges!AF209)</f>
        <v/>
      </c>
      <c r="R215" s="28" t="str">
        <f aca="false">IF(OR(B215="",NOT(ISNUMBER(DB_Colleges!AG209))),"",DB_Colleges!AG209)</f>
        <v/>
      </c>
      <c r="S215" s="26" t="str">
        <f aca="false">IF(B215="","",DB_Colleges!AK209&amp;"")</f>
        <v/>
      </c>
      <c r="T215" s="26" t="str">
        <f aca="false">IF(B215="","",DB_Colleges!AI209&amp;"")</f>
        <v/>
      </c>
      <c r="U215" s="1" t="str">
        <f aca="false">IF(AND(ISNUMBER($X$4),ISNUMBER(DB_Colleges!Z209),ISNUMBER(DB_Colleges!AA209)),IF($X$4&gt;=DB_Colleges!AA209,1,IF($X$4&lt;DB_Colleges!Z209,-1,0)),"")</f>
        <v/>
      </c>
      <c r="V215" s="1" t="str">
        <f aca="false">IF(AND(ISNUMBER($Y$4),ISNUMBER(DB_Colleges!AD209)),IF($Y$4&gt;=DB_Colleges!AD209+0.15,1,IF($Y$4&lt;DB_Colleges!AD209-0.2,-1,0)),"")</f>
        <v/>
      </c>
      <c r="W215" s="1" t="n">
        <f aca="false">IF(COUNT(U215:V215)=0,0,MIN(U215:V215))</f>
        <v>0</v>
      </c>
    </row>
    <row r="216" customFormat="false" ht="15" hidden="false" customHeight="true" outlineLevel="0" collapsed="false">
      <c r="A216" s="26" t="str">
        <f aca="false">IF(B216="","",IF(COUNTIF('My Colleges'!$B$8:$B$27,B216)&gt;0,"On list",""))</f>
        <v/>
      </c>
      <c r="B216" s="27" t="str">
        <f aca="false">IF(DB_Colleges!A210="","",DB_Colleges!A210)</f>
        <v/>
      </c>
      <c r="C216" s="26" t="str">
        <f aca="false">IF(B216="","",DB_Colleges!B210)</f>
        <v/>
      </c>
      <c r="D216" s="26" t="str">
        <f aca="false">IF(B216="","",DB_Colleges!C210&amp;", "&amp;DB_Colleges!D210)</f>
        <v/>
      </c>
      <c r="E216" s="26" t="str">
        <f aca="false">IF(B216="","",IF(AND(NOT(ISNUMBER($X$4)),NOT(ISNUMBER($Y$4))),"Add scores",IF(NOT(ISNUMBER(DB_Colleges!Y210)),IF(OR(C216="Ivy League",C216="Highly Selective"),"Reach",IF(COUNT(U216:V216)=0,"No data",CHOOSE(W216+2,"Reach","Target","Likely"))),IF(DB_Colleges!Y210&lt;0.15,"Reach",IF(DB_Colleges!Y210&gt;=0.75,IF(W216&gt;=0,"Likely","Target"),IF(DB_Colleges!Y210&gt;=0.4,CHOOSE(W216+2,"Reach","Target","Likely"),IF(W216=1,"Target","Reach")))))))</f>
        <v/>
      </c>
      <c r="F216" s="28" t="str">
        <f aca="false">IF(OR(B216="",NOT(ISNUMBER(DB_Colleges!Y210))),"",DB_Colleges!Y210)</f>
        <v/>
      </c>
      <c r="G216" s="26" t="str">
        <f aca="false">IF(OR(B216="",NOT(ISNUMBER(DB_Colleges!Z210))),"",DB_Colleges!Z210&amp;"-"&amp;DB_Colleges!AA210)</f>
        <v/>
      </c>
      <c r="H216" s="26" t="str">
        <f aca="false">IF(OR(B216="",NOT(ISNUMBER(DB_Colleges!AD210))),"",DB_Colleges!AD210)</f>
        <v/>
      </c>
      <c r="I216" s="29" t="str">
        <f aca="false">IF(B216="","",IF(COUNT(DB_Colleges!I210:O210)=0,IF(DB_Colleges!P210="Yes","Rolling","Check site"),MIN(DB_Colleges!I210:O210)))</f>
        <v/>
      </c>
      <c r="J216" s="26" t="str">
        <f aca="false">IF(OR(B216="",COUNT(DB_Colleges!I210:O210)=0),"",INDEX({"ED","ED II","EA","EA II","REA","RD","Priority"},MATCH(MIN(DB_Colleges!I210:O210),DB_Colleges!I210:O210,0)))</f>
        <v/>
      </c>
      <c r="K216" s="29" t="str">
        <f aca="false">IF(OR(B216="",NOT(ISNUMBER(DB_Colleges!N210))),"",DB_Colleges!N210)</f>
        <v/>
      </c>
      <c r="L216" s="26" t="str">
        <f aca="false">IF(B216="","",DB_Colleges!G210&amp;"")</f>
        <v/>
      </c>
      <c r="M216" s="30" t="str">
        <f aca="false">IF(OR(B216="",NOT(ISNUMBER(DB_Colleges!S210))),"",DB_Colleges!S210)</f>
        <v/>
      </c>
      <c r="N216" s="26" t="str">
        <f aca="false">IF(B216="","",DB_Colleges!U210&amp;"")</f>
        <v/>
      </c>
      <c r="O216" s="26" t="str">
        <f aca="false">IF(B216="","",IF(ISNUMBER(DB_Colleges!AH210),DB_Colleges!AH210,"Check"))</f>
        <v/>
      </c>
      <c r="P216" s="26" t="str">
        <f aca="false">IF(B216="","",DB_Colleges!W210&amp;"")</f>
        <v/>
      </c>
      <c r="Q216" s="30" t="str">
        <f aca="false">IF(OR(B216="",NOT(ISNUMBER(DB_Colleges!AF210))),"",DB_Colleges!AF210)</f>
        <v/>
      </c>
      <c r="R216" s="28" t="str">
        <f aca="false">IF(OR(B216="",NOT(ISNUMBER(DB_Colleges!AG210))),"",DB_Colleges!AG210)</f>
        <v/>
      </c>
      <c r="S216" s="26" t="str">
        <f aca="false">IF(B216="","",DB_Colleges!AK210&amp;"")</f>
        <v/>
      </c>
      <c r="T216" s="26" t="str">
        <f aca="false">IF(B216="","",DB_Colleges!AI210&amp;"")</f>
        <v/>
      </c>
      <c r="U216" s="1" t="str">
        <f aca="false">IF(AND(ISNUMBER($X$4),ISNUMBER(DB_Colleges!Z210),ISNUMBER(DB_Colleges!AA210)),IF($X$4&gt;=DB_Colleges!AA210,1,IF($X$4&lt;DB_Colleges!Z210,-1,0)),"")</f>
        <v/>
      </c>
      <c r="V216" s="1" t="str">
        <f aca="false">IF(AND(ISNUMBER($Y$4),ISNUMBER(DB_Colleges!AD210)),IF($Y$4&gt;=DB_Colleges!AD210+0.15,1,IF($Y$4&lt;DB_Colleges!AD210-0.2,-1,0)),"")</f>
        <v/>
      </c>
      <c r="W216" s="1" t="n">
        <f aca="false">IF(COUNT(U216:V216)=0,0,MIN(U216:V216))</f>
        <v>0</v>
      </c>
    </row>
    <row r="217" customFormat="false" ht="15" hidden="false" customHeight="true" outlineLevel="0" collapsed="false">
      <c r="A217" s="26" t="str">
        <f aca="false">IF(B217="","",IF(COUNTIF('My Colleges'!$B$8:$B$27,B217)&gt;0,"On list",""))</f>
        <v/>
      </c>
      <c r="B217" s="27" t="str">
        <f aca="false">IF(DB_Colleges!A211="","",DB_Colleges!A211)</f>
        <v/>
      </c>
      <c r="C217" s="26" t="str">
        <f aca="false">IF(B217="","",DB_Colleges!B211)</f>
        <v/>
      </c>
      <c r="D217" s="26" t="str">
        <f aca="false">IF(B217="","",DB_Colleges!C211&amp;", "&amp;DB_Colleges!D211)</f>
        <v/>
      </c>
      <c r="E217" s="26" t="str">
        <f aca="false">IF(B217="","",IF(AND(NOT(ISNUMBER($X$4)),NOT(ISNUMBER($Y$4))),"Add scores",IF(NOT(ISNUMBER(DB_Colleges!Y211)),IF(OR(C217="Ivy League",C217="Highly Selective"),"Reach",IF(COUNT(U217:V217)=0,"No data",CHOOSE(W217+2,"Reach","Target","Likely"))),IF(DB_Colleges!Y211&lt;0.15,"Reach",IF(DB_Colleges!Y211&gt;=0.75,IF(W217&gt;=0,"Likely","Target"),IF(DB_Colleges!Y211&gt;=0.4,CHOOSE(W217+2,"Reach","Target","Likely"),IF(W217=1,"Target","Reach")))))))</f>
        <v/>
      </c>
      <c r="F217" s="28" t="str">
        <f aca="false">IF(OR(B217="",NOT(ISNUMBER(DB_Colleges!Y211))),"",DB_Colleges!Y211)</f>
        <v/>
      </c>
      <c r="G217" s="26" t="str">
        <f aca="false">IF(OR(B217="",NOT(ISNUMBER(DB_Colleges!Z211))),"",DB_Colleges!Z211&amp;"-"&amp;DB_Colleges!AA211)</f>
        <v/>
      </c>
      <c r="H217" s="26" t="str">
        <f aca="false">IF(OR(B217="",NOT(ISNUMBER(DB_Colleges!AD211))),"",DB_Colleges!AD211)</f>
        <v/>
      </c>
      <c r="I217" s="29" t="str">
        <f aca="false">IF(B217="","",IF(COUNT(DB_Colleges!I211:O211)=0,IF(DB_Colleges!P211="Yes","Rolling","Check site"),MIN(DB_Colleges!I211:O211)))</f>
        <v/>
      </c>
      <c r="J217" s="26" t="str">
        <f aca="false">IF(OR(B217="",COUNT(DB_Colleges!I211:O211)=0),"",INDEX({"ED","ED II","EA","EA II","REA","RD","Priority"},MATCH(MIN(DB_Colleges!I211:O211),DB_Colleges!I211:O211,0)))</f>
        <v/>
      </c>
      <c r="K217" s="29" t="str">
        <f aca="false">IF(OR(B217="",NOT(ISNUMBER(DB_Colleges!N211))),"",DB_Colleges!N211)</f>
        <v/>
      </c>
      <c r="L217" s="26" t="str">
        <f aca="false">IF(B217="","",DB_Colleges!G211&amp;"")</f>
        <v/>
      </c>
      <c r="M217" s="30" t="str">
        <f aca="false">IF(OR(B217="",NOT(ISNUMBER(DB_Colleges!S211))),"",DB_Colleges!S211)</f>
        <v/>
      </c>
      <c r="N217" s="26" t="str">
        <f aca="false">IF(B217="","",DB_Colleges!U211&amp;"")</f>
        <v/>
      </c>
      <c r="O217" s="26" t="str">
        <f aca="false">IF(B217="","",IF(ISNUMBER(DB_Colleges!AH211),DB_Colleges!AH211,"Check"))</f>
        <v/>
      </c>
      <c r="P217" s="26" t="str">
        <f aca="false">IF(B217="","",DB_Colleges!W211&amp;"")</f>
        <v/>
      </c>
      <c r="Q217" s="30" t="str">
        <f aca="false">IF(OR(B217="",NOT(ISNUMBER(DB_Colleges!AF211))),"",DB_Colleges!AF211)</f>
        <v/>
      </c>
      <c r="R217" s="28" t="str">
        <f aca="false">IF(OR(B217="",NOT(ISNUMBER(DB_Colleges!AG211))),"",DB_Colleges!AG211)</f>
        <v/>
      </c>
      <c r="S217" s="26" t="str">
        <f aca="false">IF(B217="","",DB_Colleges!AK211&amp;"")</f>
        <v/>
      </c>
      <c r="T217" s="26" t="str">
        <f aca="false">IF(B217="","",DB_Colleges!AI211&amp;"")</f>
        <v/>
      </c>
      <c r="U217" s="1" t="str">
        <f aca="false">IF(AND(ISNUMBER($X$4),ISNUMBER(DB_Colleges!Z211),ISNUMBER(DB_Colleges!AA211)),IF($X$4&gt;=DB_Colleges!AA211,1,IF($X$4&lt;DB_Colleges!Z211,-1,0)),"")</f>
        <v/>
      </c>
      <c r="V217" s="1" t="str">
        <f aca="false">IF(AND(ISNUMBER($Y$4),ISNUMBER(DB_Colleges!AD211)),IF($Y$4&gt;=DB_Colleges!AD211+0.15,1,IF($Y$4&lt;DB_Colleges!AD211-0.2,-1,0)),"")</f>
        <v/>
      </c>
      <c r="W217" s="1" t="n">
        <f aca="false">IF(COUNT(U217:V217)=0,0,MIN(U217:V217))</f>
        <v>0</v>
      </c>
    </row>
    <row r="218" customFormat="false" ht="15" hidden="false" customHeight="true" outlineLevel="0" collapsed="false">
      <c r="A218" s="26" t="str">
        <f aca="false">IF(B218="","",IF(COUNTIF('My Colleges'!$B$8:$B$27,B218)&gt;0,"On list",""))</f>
        <v/>
      </c>
      <c r="B218" s="27" t="str">
        <f aca="false">IF(DB_Colleges!A212="","",DB_Colleges!A212)</f>
        <v/>
      </c>
      <c r="C218" s="26" t="str">
        <f aca="false">IF(B218="","",DB_Colleges!B212)</f>
        <v/>
      </c>
      <c r="D218" s="26" t="str">
        <f aca="false">IF(B218="","",DB_Colleges!C212&amp;", "&amp;DB_Colleges!D212)</f>
        <v/>
      </c>
      <c r="E218" s="26" t="str">
        <f aca="false">IF(B218="","",IF(AND(NOT(ISNUMBER($X$4)),NOT(ISNUMBER($Y$4))),"Add scores",IF(NOT(ISNUMBER(DB_Colleges!Y212)),IF(OR(C218="Ivy League",C218="Highly Selective"),"Reach",IF(COUNT(U218:V218)=0,"No data",CHOOSE(W218+2,"Reach","Target","Likely"))),IF(DB_Colleges!Y212&lt;0.15,"Reach",IF(DB_Colleges!Y212&gt;=0.75,IF(W218&gt;=0,"Likely","Target"),IF(DB_Colleges!Y212&gt;=0.4,CHOOSE(W218+2,"Reach","Target","Likely"),IF(W218=1,"Target","Reach")))))))</f>
        <v/>
      </c>
      <c r="F218" s="28" t="str">
        <f aca="false">IF(OR(B218="",NOT(ISNUMBER(DB_Colleges!Y212))),"",DB_Colleges!Y212)</f>
        <v/>
      </c>
      <c r="G218" s="26" t="str">
        <f aca="false">IF(OR(B218="",NOT(ISNUMBER(DB_Colleges!Z212))),"",DB_Colleges!Z212&amp;"-"&amp;DB_Colleges!AA212)</f>
        <v/>
      </c>
      <c r="H218" s="26" t="str">
        <f aca="false">IF(OR(B218="",NOT(ISNUMBER(DB_Colleges!AD212))),"",DB_Colleges!AD212)</f>
        <v/>
      </c>
      <c r="I218" s="29" t="str">
        <f aca="false">IF(B218="","",IF(COUNT(DB_Colleges!I212:O212)=0,IF(DB_Colleges!P212="Yes","Rolling","Check site"),MIN(DB_Colleges!I212:O212)))</f>
        <v/>
      </c>
      <c r="J218" s="26" t="str">
        <f aca="false">IF(OR(B218="",COUNT(DB_Colleges!I212:O212)=0),"",INDEX({"ED","ED II","EA","EA II","REA","RD","Priority"},MATCH(MIN(DB_Colleges!I212:O212),DB_Colleges!I212:O212,0)))</f>
        <v/>
      </c>
      <c r="K218" s="29" t="str">
        <f aca="false">IF(OR(B218="",NOT(ISNUMBER(DB_Colleges!N212))),"",DB_Colleges!N212)</f>
        <v/>
      </c>
      <c r="L218" s="26" t="str">
        <f aca="false">IF(B218="","",DB_Colleges!G212&amp;"")</f>
        <v/>
      </c>
      <c r="M218" s="30" t="str">
        <f aca="false">IF(OR(B218="",NOT(ISNUMBER(DB_Colleges!S212))),"",DB_Colleges!S212)</f>
        <v/>
      </c>
      <c r="N218" s="26" t="str">
        <f aca="false">IF(B218="","",DB_Colleges!U212&amp;"")</f>
        <v/>
      </c>
      <c r="O218" s="26" t="str">
        <f aca="false">IF(B218="","",IF(ISNUMBER(DB_Colleges!AH212),DB_Colleges!AH212,"Check"))</f>
        <v/>
      </c>
      <c r="P218" s="26" t="str">
        <f aca="false">IF(B218="","",DB_Colleges!W212&amp;"")</f>
        <v/>
      </c>
      <c r="Q218" s="30" t="str">
        <f aca="false">IF(OR(B218="",NOT(ISNUMBER(DB_Colleges!AF212))),"",DB_Colleges!AF212)</f>
        <v/>
      </c>
      <c r="R218" s="28" t="str">
        <f aca="false">IF(OR(B218="",NOT(ISNUMBER(DB_Colleges!AG212))),"",DB_Colleges!AG212)</f>
        <v/>
      </c>
      <c r="S218" s="26" t="str">
        <f aca="false">IF(B218="","",DB_Colleges!AK212&amp;"")</f>
        <v/>
      </c>
      <c r="T218" s="26" t="str">
        <f aca="false">IF(B218="","",DB_Colleges!AI212&amp;"")</f>
        <v/>
      </c>
      <c r="U218" s="1" t="str">
        <f aca="false">IF(AND(ISNUMBER($X$4),ISNUMBER(DB_Colleges!Z212),ISNUMBER(DB_Colleges!AA212)),IF($X$4&gt;=DB_Colleges!AA212,1,IF($X$4&lt;DB_Colleges!Z212,-1,0)),"")</f>
        <v/>
      </c>
      <c r="V218" s="1" t="str">
        <f aca="false">IF(AND(ISNUMBER($Y$4),ISNUMBER(DB_Colleges!AD212)),IF($Y$4&gt;=DB_Colleges!AD212+0.15,1,IF($Y$4&lt;DB_Colleges!AD212-0.2,-1,0)),"")</f>
        <v/>
      </c>
      <c r="W218" s="1" t="n">
        <f aca="false">IF(COUNT(U218:V218)=0,0,MIN(U218:V218))</f>
        <v>0</v>
      </c>
    </row>
    <row r="219" customFormat="false" ht="15" hidden="false" customHeight="true" outlineLevel="0" collapsed="false">
      <c r="A219" s="26" t="str">
        <f aca="false">IF(B219="","",IF(COUNTIF('My Colleges'!$B$8:$B$27,B219)&gt;0,"On list",""))</f>
        <v/>
      </c>
      <c r="B219" s="27" t="str">
        <f aca="false">IF(DB_Colleges!A213="","",DB_Colleges!A213)</f>
        <v/>
      </c>
      <c r="C219" s="26" t="str">
        <f aca="false">IF(B219="","",DB_Colleges!B213)</f>
        <v/>
      </c>
      <c r="D219" s="26" t="str">
        <f aca="false">IF(B219="","",DB_Colleges!C213&amp;", "&amp;DB_Colleges!D213)</f>
        <v/>
      </c>
      <c r="E219" s="26" t="str">
        <f aca="false">IF(B219="","",IF(AND(NOT(ISNUMBER($X$4)),NOT(ISNUMBER($Y$4))),"Add scores",IF(NOT(ISNUMBER(DB_Colleges!Y213)),IF(OR(C219="Ivy League",C219="Highly Selective"),"Reach",IF(COUNT(U219:V219)=0,"No data",CHOOSE(W219+2,"Reach","Target","Likely"))),IF(DB_Colleges!Y213&lt;0.15,"Reach",IF(DB_Colleges!Y213&gt;=0.75,IF(W219&gt;=0,"Likely","Target"),IF(DB_Colleges!Y213&gt;=0.4,CHOOSE(W219+2,"Reach","Target","Likely"),IF(W219=1,"Target","Reach")))))))</f>
        <v/>
      </c>
      <c r="F219" s="28" t="str">
        <f aca="false">IF(OR(B219="",NOT(ISNUMBER(DB_Colleges!Y213))),"",DB_Colleges!Y213)</f>
        <v/>
      </c>
      <c r="G219" s="26" t="str">
        <f aca="false">IF(OR(B219="",NOT(ISNUMBER(DB_Colleges!Z213))),"",DB_Colleges!Z213&amp;"-"&amp;DB_Colleges!AA213)</f>
        <v/>
      </c>
      <c r="H219" s="26" t="str">
        <f aca="false">IF(OR(B219="",NOT(ISNUMBER(DB_Colleges!AD213))),"",DB_Colleges!AD213)</f>
        <v/>
      </c>
      <c r="I219" s="29" t="str">
        <f aca="false">IF(B219="","",IF(COUNT(DB_Colleges!I213:O213)=0,IF(DB_Colleges!P213="Yes","Rolling","Check site"),MIN(DB_Colleges!I213:O213)))</f>
        <v/>
      </c>
      <c r="J219" s="26" t="str">
        <f aca="false">IF(OR(B219="",COUNT(DB_Colleges!I213:O213)=0),"",INDEX({"ED","ED II","EA","EA II","REA","RD","Priority"},MATCH(MIN(DB_Colleges!I213:O213),DB_Colleges!I213:O213,0)))</f>
        <v/>
      </c>
      <c r="K219" s="29" t="str">
        <f aca="false">IF(OR(B219="",NOT(ISNUMBER(DB_Colleges!N213))),"",DB_Colleges!N213)</f>
        <v/>
      </c>
      <c r="L219" s="26" t="str">
        <f aca="false">IF(B219="","",DB_Colleges!G213&amp;"")</f>
        <v/>
      </c>
      <c r="M219" s="30" t="str">
        <f aca="false">IF(OR(B219="",NOT(ISNUMBER(DB_Colleges!S213))),"",DB_Colleges!S213)</f>
        <v/>
      </c>
      <c r="N219" s="26" t="str">
        <f aca="false">IF(B219="","",DB_Colleges!U213&amp;"")</f>
        <v/>
      </c>
      <c r="O219" s="26" t="str">
        <f aca="false">IF(B219="","",IF(ISNUMBER(DB_Colleges!AH213),DB_Colleges!AH213,"Check"))</f>
        <v/>
      </c>
      <c r="P219" s="26" t="str">
        <f aca="false">IF(B219="","",DB_Colleges!W213&amp;"")</f>
        <v/>
      </c>
      <c r="Q219" s="30" t="str">
        <f aca="false">IF(OR(B219="",NOT(ISNUMBER(DB_Colleges!AF213))),"",DB_Colleges!AF213)</f>
        <v/>
      </c>
      <c r="R219" s="28" t="str">
        <f aca="false">IF(OR(B219="",NOT(ISNUMBER(DB_Colleges!AG213))),"",DB_Colleges!AG213)</f>
        <v/>
      </c>
      <c r="S219" s="26" t="str">
        <f aca="false">IF(B219="","",DB_Colleges!AK213&amp;"")</f>
        <v/>
      </c>
      <c r="T219" s="26" t="str">
        <f aca="false">IF(B219="","",DB_Colleges!AI213&amp;"")</f>
        <v/>
      </c>
      <c r="U219" s="1" t="str">
        <f aca="false">IF(AND(ISNUMBER($X$4),ISNUMBER(DB_Colleges!Z213),ISNUMBER(DB_Colleges!AA213)),IF($X$4&gt;=DB_Colleges!AA213,1,IF($X$4&lt;DB_Colleges!Z213,-1,0)),"")</f>
        <v/>
      </c>
      <c r="V219" s="1" t="str">
        <f aca="false">IF(AND(ISNUMBER($Y$4),ISNUMBER(DB_Colleges!AD213)),IF($Y$4&gt;=DB_Colleges!AD213+0.15,1,IF($Y$4&lt;DB_Colleges!AD213-0.2,-1,0)),"")</f>
        <v/>
      </c>
      <c r="W219" s="1" t="n">
        <f aca="false">IF(COUNT(U219:V219)=0,0,MIN(U219:V219))</f>
        <v>0</v>
      </c>
    </row>
    <row r="220" customFormat="false" ht="15" hidden="false" customHeight="true" outlineLevel="0" collapsed="false">
      <c r="A220" s="26" t="str">
        <f aca="false">IF(B220="","",IF(COUNTIF('My Colleges'!$B$8:$B$27,B220)&gt;0,"On list",""))</f>
        <v/>
      </c>
      <c r="B220" s="27" t="str">
        <f aca="false">IF(DB_Colleges!A214="","",DB_Colleges!A214)</f>
        <v/>
      </c>
      <c r="C220" s="26" t="str">
        <f aca="false">IF(B220="","",DB_Colleges!B214)</f>
        <v/>
      </c>
      <c r="D220" s="26" t="str">
        <f aca="false">IF(B220="","",DB_Colleges!C214&amp;", "&amp;DB_Colleges!D214)</f>
        <v/>
      </c>
      <c r="E220" s="26" t="str">
        <f aca="false">IF(B220="","",IF(AND(NOT(ISNUMBER($X$4)),NOT(ISNUMBER($Y$4))),"Add scores",IF(NOT(ISNUMBER(DB_Colleges!Y214)),IF(OR(C220="Ivy League",C220="Highly Selective"),"Reach",IF(COUNT(U220:V220)=0,"No data",CHOOSE(W220+2,"Reach","Target","Likely"))),IF(DB_Colleges!Y214&lt;0.15,"Reach",IF(DB_Colleges!Y214&gt;=0.75,IF(W220&gt;=0,"Likely","Target"),IF(DB_Colleges!Y214&gt;=0.4,CHOOSE(W220+2,"Reach","Target","Likely"),IF(W220=1,"Target","Reach")))))))</f>
        <v/>
      </c>
      <c r="F220" s="28" t="str">
        <f aca="false">IF(OR(B220="",NOT(ISNUMBER(DB_Colleges!Y214))),"",DB_Colleges!Y214)</f>
        <v/>
      </c>
      <c r="G220" s="26" t="str">
        <f aca="false">IF(OR(B220="",NOT(ISNUMBER(DB_Colleges!Z214))),"",DB_Colleges!Z214&amp;"-"&amp;DB_Colleges!AA214)</f>
        <v/>
      </c>
      <c r="H220" s="26" t="str">
        <f aca="false">IF(OR(B220="",NOT(ISNUMBER(DB_Colleges!AD214))),"",DB_Colleges!AD214)</f>
        <v/>
      </c>
      <c r="I220" s="29" t="str">
        <f aca="false">IF(B220="","",IF(COUNT(DB_Colleges!I214:O214)=0,IF(DB_Colleges!P214="Yes","Rolling","Check site"),MIN(DB_Colleges!I214:O214)))</f>
        <v/>
      </c>
      <c r="J220" s="26" t="str">
        <f aca="false">IF(OR(B220="",COUNT(DB_Colleges!I214:O214)=0),"",INDEX({"ED","ED II","EA","EA II","REA","RD","Priority"},MATCH(MIN(DB_Colleges!I214:O214),DB_Colleges!I214:O214,0)))</f>
        <v/>
      </c>
      <c r="K220" s="29" t="str">
        <f aca="false">IF(OR(B220="",NOT(ISNUMBER(DB_Colleges!N214))),"",DB_Colleges!N214)</f>
        <v/>
      </c>
      <c r="L220" s="26" t="str">
        <f aca="false">IF(B220="","",DB_Colleges!G214&amp;"")</f>
        <v/>
      </c>
      <c r="M220" s="30" t="str">
        <f aca="false">IF(OR(B220="",NOT(ISNUMBER(DB_Colleges!S214))),"",DB_Colleges!S214)</f>
        <v/>
      </c>
      <c r="N220" s="26" t="str">
        <f aca="false">IF(B220="","",DB_Colleges!U214&amp;"")</f>
        <v/>
      </c>
      <c r="O220" s="26" t="str">
        <f aca="false">IF(B220="","",IF(ISNUMBER(DB_Colleges!AH214),DB_Colleges!AH214,"Check"))</f>
        <v/>
      </c>
      <c r="P220" s="26" t="str">
        <f aca="false">IF(B220="","",DB_Colleges!W214&amp;"")</f>
        <v/>
      </c>
      <c r="Q220" s="30" t="str">
        <f aca="false">IF(OR(B220="",NOT(ISNUMBER(DB_Colleges!AF214))),"",DB_Colleges!AF214)</f>
        <v/>
      </c>
      <c r="R220" s="28" t="str">
        <f aca="false">IF(OR(B220="",NOT(ISNUMBER(DB_Colleges!AG214))),"",DB_Colleges!AG214)</f>
        <v/>
      </c>
      <c r="S220" s="26" t="str">
        <f aca="false">IF(B220="","",DB_Colleges!AK214&amp;"")</f>
        <v/>
      </c>
      <c r="T220" s="26" t="str">
        <f aca="false">IF(B220="","",DB_Colleges!AI214&amp;"")</f>
        <v/>
      </c>
      <c r="U220" s="1" t="str">
        <f aca="false">IF(AND(ISNUMBER($X$4),ISNUMBER(DB_Colleges!Z214),ISNUMBER(DB_Colleges!AA214)),IF($X$4&gt;=DB_Colleges!AA214,1,IF($X$4&lt;DB_Colleges!Z214,-1,0)),"")</f>
        <v/>
      </c>
      <c r="V220" s="1" t="str">
        <f aca="false">IF(AND(ISNUMBER($Y$4),ISNUMBER(DB_Colleges!AD214)),IF($Y$4&gt;=DB_Colleges!AD214+0.15,1,IF($Y$4&lt;DB_Colleges!AD214-0.2,-1,0)),"")</f>
        <v/>
      </c>
      <c r="W220" s="1" t="n">
        <f aca="false">IF(COUNT(U220:V220)=0,0,MIN(U220:V220))</f>
        <v>0</v>
      </c>
    </row>
    <row r="221" customFormat="false" ht="15" hidden="false" customHeight="true" outlineLevel="0" collapsed="false">
      <c r="A221" s="26" t="str">
        <f aca="false">IF(B221="","",IF(COUNTIF('My Colleges'!$B$8:$B$27,B221)&gt;0,"On list",""))</f>
        <v/>
      </c>
      <c r="B221" s="27" t="str">
        <f aca="false">IF(DB_Colleges!A215="","",DB_Colleges!A215)</f>
        <v/>
      </c>
      <c r="C221" s="26" t="str">
        <f aca="false">IF(B221="","",DB_Colleges!B215)</f>
        <v/>
      </c>
      <c r="D221" s="26" t="str">
        <f aca="false">IF(B221="","",DB_Colleges!C215&amp;", "&amp;DB_Colleges!D215)</f>
        <v/>
      </c>
      <c r="E221" s="26" t="str">
        <f aca="false">IF(B221="","",IF(AND(NOT(ISNUMBER($X$4)),NOT(ISNUMBER($Y$4))),"Add scores",IF(NOT(ISNUMBER(DB_Colleges!Y215)),IF(OR(C221="Ivy League",C221="Highly Selective"),"Reach",IF(COUNT(U221:V221)=0,"No data",CHOOSE(W221+2,"Reach","Target","Likely"))),IF(DB_Colleges!Y215&lt;0.15,"Reach",IF(DB_Colleges!Y215&gt;=0.75,IF(W221&gt;=0,"Likely","Target"),IF(DB_Colleges!Y215&gt;=0.4,CHOOSE(W221+2,"Reach","Target","Likely"),IF(W221=1,"Target","Reach")))))))</f>
        <v/>
      </c>
      <c r="F221" s="28" t="str">
        <f aca="false">IF(OR(B221="",NOT(ISNUMBER(DB_Colleges!Y215))),"",DB_Colleges!Y215)</f>
        <v/>
      </c>
      <c r="G221" s="26" t="str">
        <f aca="false">IF(OR(B221="",NOT(ISNUMBER(DB_Colleges!Z215))),"",DB_Colleges!Z215&amp;"-"&amp;DB_Colleges!AA215)</f>
        <v/>
      </c>
      <c r="H221" s="26" t="str">
        <f aca="false">IF(OR(B221="",NOT(ISNUMBER(DB_Colleges!AD215))),"",DB_Colleges!AD215)</f>
        <v/>
      </c>
      <c r="I221" s="29" t="str">
        <f aca="false">IF(B221="","",IF(COUNT(DB_Colleges!I215:O215)=0,IF(DB_Colleges!P215="Yes","Rolling","Check site"),MIN(DB_Colleges!I215:O215)))</f>
        <v/>
      </c>
      <c r="J221" s="26" t="str">
        <f aca="false">IF(OR(B221="",COUNT(DB_Colleges!I215:O215)=0),"",INDEX({"ED","ED II","EA","EA II","REA","RD","Priority"},MATCH(MIN(DB_Colleges!I215:O215),DB_Colleges!I215:O215,0)))</f>
        <v/>
      </c>
      <c r="K221" s="29" t="str">
        <f aca="false">IF(OR(B221="",NOT(ISNUMBER(DB_Colleges!N215))),"",DB_Colleges!N215)</f>
        <v/>
      </c>
      <c r="L221" s="26" t="str">
        <f aca="false">IF(B221="","",DB_Colleges!G215&amp;"")</f>
        <v/>
      </c>
      <c r="M221" s="30" t="str">
        <f aca="false">IF(OR(B221="",NOT(ISNUMBER(DB_Colleges!S215))),"",DB_Colleges!S215)</f>
        <v/>
      </c>
      <c r="N221" s="26" t="str">
        <f aca="false">IF(B221="","",DB_Colleges!U215&amp;"")</f>
        <v/>
      </c>
      <c r="O221" s="26" t="str">
        <f aca="false">IF(B221="","",IF(ISNUMBER(DB_Colleges!AH215),DB_Colleges!AH215,"Check"))</f>
        <v/>
      </c>
      <c r="P221" s="26" t="str">
        <f aca="false">IF(B221="","",DB_Colleges!W215&amp;"")</f>
        <v/>
      </c>
      <c r="Q221" s="30" t="str">
        <f aca="false">IF(OR(B221="",NOT(ISNUMBER(DB_Colleges!AF215))),"",DB_Colleges!AF215)</f>
        <v/>
      </c>
      <c r="R221" s="28" t="str">
        <f aca="false">IF(OR(B221="",NOT(ISNUMBER(DB_Colleges!AG215))),"",DB_Colleges!AG215)</f>
        <v/>
      </c>
      <c r="S221" s="26" t="str">
        <f aca="false">IF(B221="","",DB_Colleges!AK215&amp;"")</f>
        <v/>
      </c>
      <c r="T221" s="26" t="str">
        <f aca="false">IF(B221="","",DB_Colleges!AI215&amp;"")</f>
        <v/>
      </c>
      <c r="U221" s="1" t="str">
        <f aca="false">IF(AND(ISNUMBER($X$4),ISNUMBER(DB_Colleges!Z215),ISNUMBER(DB_Colleges!AA215)),IF($X$4&gt;=DB_Colleges!AA215,1,IF($X$4&lt;DB_Colleges!Z215,-1,0)),"")</f>
        <v/>
      </c>
      <c r="V221" s="1" t="str">
        <f aca="false">IF(AND(ISNUMBER($Y$4),ISNUMBER(DB_Colleges!AD215)),IF($Y$4&gt;=DB_Colleges!AD215+0.15,1,IF($Y$4&lt;DB_Colleges!AD215-0.2,-1,0)),"")</f>
        <v/>
      </c>
      <c r="W221" s="1" t="n">
        <f aca="false">IF(COUNT(U221:V221)=0,0,MIN(U221:V221))</f>
        <v>0</v>
      </c>
    </row>
    <row r="222" customFormat="false" ht="15" hidden="false" customHeight="true" outlineLevel="0" collapsed="false">
      <c r="A222" s="26" t="str">
        <f aca="false">IF(B222="","",IF(COUNTIF('My Colleges'!$B$8:$B$27,B222)&gt;0,"On list",""))</f>
        <v/>
      </c>
      <c r="B222" s="27" t="str">
        <f aca="false">IF(DB_Colleges!A216="","",DB_Colleges!A216)</f>
        <v/>
      </c>
      <c r="C222" s="26" t="str">
        <f aca="false">IF(B222="","",DB_Colleges!B216)</f>
        <v/>
      </c>
      <c r="D222" s="26" t="str">
        <f aca="false">IF(B222="","",DB_Colleges!C216&amp;", "&amp;DB_Colleges!D216)</f>
        <v/>
      </c>
      <c r="E222" s="26" t="str">
        <f aca="false">IF(B222="","",IF(AND(NOT(ISNUMBER($X$4)),NOT(ISNUMBER($Y$4))),"Add scores",IF(NOT(ISNUMBER(DB_Colleges!Y216)),IF(OR(C222="Ivy League",C222="Highly Selective"),"Reach",IF(COUNT(U222:V222)=0,"No data",CHOOSE(W222+2,"Reach","Target","Likely"))),IF(DB_Colleges!Y216&lt;0.15,"Reach",IF(DB_Colleges!Y216&gt;=0.75,IF(W222&gt;=0,"Likely","Target"),IF(DB_Colleges!Y216&gt;=0.4,CHOOSE(W222+2,"Reach","Target","Likely"),IF(W222=1,"Target","Reach")))))))</f>
        <v/>
      </c>
      <c r="F222" s="28" t="str">
        <f aca="false">IF(OR(B222="",NOT(ISNUMBER(DB_Colleges!Y216))),"",DB_Colleges!Y216)</f>
        <v/>
      </c>
      <c r="G222" s="26" t="str">
        <f aca="false">IF(OR(B222="",NOT(ISNUMBER(DB_Colleges!Z216))),"",DB_Colleges!Z216&amp;"-"&amp;DB_Colleges!AA216)</f>
        <v/>
      </c>
      <c r="H222" s="26" t="str">
        <f aca="false">IF(OR(B222="",NOT(ISNUMBER(DB_Colleges!AD216))),"",DB_Colleges!AD216)</f>
        <v/>
      </c>
      <c r="I222" s="29" t="str">
        <f aca="false">IF(B222="","",IF(COUNT(DB_Colleges!I216:O216)=0,IF(DB_Colleges!P216="Yes","Rolling","Check site"),MIN(DB_Colleges!I216:O216)))</f>
        <v/>
      </c>
      <c r="J222" s="26" t="str">
        <f aca="false">IF(OR(B222="",COUNT(DB_Colleges!I216:O216)=0),"",INDEX({"ED","ED II","EA","EA II","REA","RD","Priority"},MATCH(MIN(DB_Colleges!I216:O216),DB_Colleges!I216:O216,0)))</f>
        <v/>
      </c>
      <c r="K222" s="29" t="str">
        <f aca="false">IF(OR(B222="",NOT(ISNUMBER(DB_Colleges!N216))),"",DB_Colleges!N216)</f>
        <v/>
      </c>
      <c r="L222" s="26" t="str">
        <f aca="false">IF(B222="","",DB_Colleges!G216&amp;"")</f>
        <v/>
      </c>
      <c r="M222" s="30" t="str">
        <f aca="false">IF(OR(B222="",NOT(ISNUMBER(DB_Colleges!S216))),"",DB_Colleges!S216)</f>
        <v/>
      </c>
      <c r="N222" s="26" t="str">
        <f aca="false">IF(B222="","",DB_Colleges!U216&amp;"")</f>
        <v/>
      </c>
      <c r="O222" s="26" t="str">
        <f aca="false">IF(B222="","",IF(ISNUMBER(DB_Colleges!AH216),DB_Colleges!AH216,"Check"))</f>
        <v/>
      </c>
      <c r="P222" s="26" t="str">
        <f aca="false">IF(B222="","",DB_Colleges!W216&amp;"")</f>
        <v/>
      </c>
      <c r="Q222" s="30" t="str">
        <f aca="false">IF(OR(B222="",NOT(ISNUMBER(DB_Colleges!AF216))),"",DB_Colleges!AF216)</f>
        <v/>
      </c>
      <c r="R222" s="28" t="str">
        <f aca="false">IF(OR(B222="",NOT(ISNUMBER(DB_Colleges!AG216))),"",DB_Colleges!AG216)</f>
        <v/>
      </c>
      <c r="S222" s="26" t="str">
        <f aca="false">IF(B222="","",DB_Colleges!AK216&amp;"")</f>
        <v/>
      </c>
      <c r="T222" s="26" t="str">
        <f aca="false">IF(B222="","",DB_Colleges!AI216&amp;"")</f>
        <v/>
      </c>
      <c r="U222" s="1" t="str">
        <f aca="false">IF(AND(ISNUMBER($X$4),ISNUMBER(DB_Colleges!Z216),ISNUMBER(DB_Colleges!AA216)),IF($X$4&gt;=DB_Colleges!AA216,1,IF($X$4&lt;DB_Colleges!Z216,-1,0)),"")</f>
        <v/>
      </c>
      <c r="V222" s="1" t="str">
        <f aca="false">IF(AND(ISNUMBER($Y$4),ISNUMBER(DB_Colleges!AD216)),IF($Y$4&gt;=DB_Colleges!AD216+0.15,1,IF($Y$4&lt;DB_Colleges!AD216-0.2,-1,0)),"")</f>
        <v/>
      </c>
      <c r="W222" s="1" t="n">
        <f aca="false">IF(COUNT(U222:V222)=0,0,MIN(U222:V222))</f>
        <v>0</v>
      </c>
    </row>
    <row r="223" customFormat="false" ht="15" hidden="false" customHeight="true" outlineLevel="0" collapsed="false">
      <c r="A223" s="26" t="str">
        <f aca="false">IF(B223="","",IF(COUNTIF('My Colleges'!$B$8:$B$27,B223)&gt;0,"On list",""))</f>
        <v/>
      </c>
      <c r="B223" s="27" t="str">
        <f aca="false">IF(DB_Colleges!A217="","",DB_Colleges!A217)</f>
        <v/>
      </c>
      <c r="C223" s="26" t="str">
        <f aca="false">IF(B223="","",DB_Colleges!B217)</f>
        <v/>
      </c>
      <c r="D223" s="26" t="str">
        <f aca="false">IF(B223="","",DB_Colleges!C217&amp;", "&amp;DB_Colleges!D217)</f>
        <v/>
      </c>
      <c r="E223" s="26" t="str">
        <f aca="false">IF(B223="","",IF(AND(NOT(ISNUMBER($X$4)),NOT(ISNUMBER($Y$4))),"Add scores",IF(NOT(ISNUMBER(DB_Colleges!Y217)),IF(OR(C223="Ivy League",C223="Highly Selective"),"Reach",IF(COUNT(U223:V223)=0,"No data",CHOOSE(W223+2,"Reach","Target","Likely"))),IF(DB_Colleges!Y217&lt;0.15,"Reach",IF(DB_Colleges!Y217&gt;=0.75,IF(W223&gt;=0,"Likely","Target"),IF(DB_Colleges!Y217&gt;=0.4,CHOOSE(W223+2,"Reach","Target","Likely"),IF(W223=1,"Target","Reach")))))))</f>
        <v/>
      </c>
      <c r="F223" s="28" t="str">
        <f aca="false">IF(OR(B223="",NOT(ISNUMBER(DB_Colleges!Y217))),"",DB_Colleges!Y217)</f>
        <v/>
      </c>
      <c r="G223" s="26" t="str">
        <f aca="false">IF(OR(B223="",NOT(ISNUMBER(DB_Colleges!Z217))),"",DB_Colleges!Z217&amp;"-"&amp;DB_Colleges!AA217)</f>
        <v/>
      </c>
      <c r="H223" s="26" t="str">
        <f aca="false">IF(OR(B223="",NOT(ISNUMBER(DB_Colleges!AD217))),"",DB_Colleges!AD217)</f>
        <v/>
      </c>
      <c r="I223" s="29" t="str">
        <f aca="false">IF(B223="","",IF(COUNT(DB_Colleges!I217:O217)=0,IF(DB_Colleges!P217="Yes","Rolling","Check site"),MIN(DB_Colleges!I217:O217)))</f>
        <v/>
      </c>
      <c r="J223" s="26" t="str">
        <f aca="false">IF(OR(B223="",COUNT(DB_Colleges!I217:O217)=0),"",INDEX({"ED","ED II","EA","EA II","REA","RD","Priority"},MATCH(MIN(DB_Colleges!I217:O217),DB_Colleges!I217:O217,0)))</f>
        <v/>
      </c>
      <c r="K223" s="29" t="str">
        <f aca="false">IF(OR(B223="",NOT(ISNUMBER(DB_Colleges!N217))),"",DB_Colleges!N217)</f>
        <v/>
      </c>
      <c r="L223" s="26" t="str">
        <f aca="false">IF(B223="","",DB_Colleges!G217&amp;"")</f>
        <v/>
      </c>
      <c r="M223" s="30" t="str">
        <f aca="false">IF(OR(B223="",NOT(ISNUMBER(DB_Colleges!S217))),"",DB_Colleges!S217)</f>
        <v/>
      </c>
      <c r="N223" s="26" t="str">
        <f aca="false">IF(B223="","",DB_Colleges!U217&amp;"")</f>
        <v/>
      </c>
      <c r="O223" s="26" t="str">
        <f aca="false">IF(B223="","",IF(ISNUMBER(DB_Colleges!AH217),DB_Colleges!AH217,"Check"))</f>
        <v/>
      </c>
      <c r="P223" s="26" t="str">
        <f aca="false">IF(B223="","",DB_Colleges!W217&amp;"")</f>
        <v/>
      </c>
      <c r="Q223" s="30" t="str">
        <f aca="false">IF(OR(B223="",NOT(ISNUMBER(DB_Colleges!AF217))),"",DB_Colleges!AF217)</f>
        <v/>
      </c>
      <c r="R223" s="28" t="str">
        <f aca="false">IF(OR(B223="",NOT(ISNUMBER(DB_Colleges!AG217))),"",DB_Colleges!AG217)</f>
        <v/>
      </c>
      <c r="S223" s="26" t="str">
        <f aca="false">IF(B223="","",DB_Colleges!AK217&amp;"")</f>
        <v/>
      </c>
      <c r="T223" s="26" t="str">
        <f aca="false">IF(B223="","",DB_Colleges!AI217&amp;"")</f>
        <v/>
      </c>
      <c r="U223" s="1" t="str">
        <f aca="false">IF(AND(ISNUMBER($X$4),ISNUMBER(DB_Colleges!Z217),ISNUMBER(DB_Colleges!AA217)),IF($X$4&gt;=DB_Colleges!AA217,1,IF($X$4&lt;DB_Colleges!Z217,-1,0)),"")</f>
        <v/>
      </c>
      <c r="V223" s="1" t="str">
        <f aca="false">IF(AND(ISNUMBER($Y$4),ISNUMBER(DB_Colleges!AD217)),IF($Y$4&gt;=DB_Colleges!AD217+0.15,1,IF($Y$4&lt;DB_Colleges!AD217-0.2,-1,0)),"")</f>
        <v/>
      </c>
      <c r="W223" s="1" t="n">
        <f aca="false">IF(COUNT(U223:V223)=0,0,MIN(U223:V223))</f>
        <v>0</v>
      </c>
    </row>
    <row r="224" customFormat="false" ht="15" hidden="false" customHeight="true" outlineLevel="0" collapsed="false">
      <c r="A224" s="26" t="str">
        <f aca="false">IF(B224="","",IF(COUNTIF('My Colleges'!$B$8:$B$27,B224)&gt;0,"On list",""))</f>
        <v/>
      </c>
      <c r="B224" s="27" t="str">
        <f aca="false">IF(DB_Colleges!A218="","",DB_Colleges!A218)</f>
        <v/>
      </c>
      <c r="C224" s="26" t="str">
        <f aca="false">IF(B224="","",DB_Colleges!B218)</f>
        <v/>
      </c>
      <c r="D224" s="26" t="str">
        <f aca="false">IF(B224="","",DB_Colleges!C218&amp;", "&amp;DB_Colleges!D218)</f>
        <v/>
      </c>
      <c r="E224" s="26" t="str">
        <f aca="false">IF(B224="","",IF(AND(NOT(ISNUMBER($X$4)),NOT(ISNUMBER($Y$4))),"Add scores",IF(NOT(ISNUMBER(DB_Colleges!Y218)),IF(OR(C224="Ivy League",C224="Highly Selective"),"Reach",IF(COUNT(U224:V224)=0,"No data",CHOOSE(W224+2,"Reach","Target","Likely"))),IF(DB_Colleges!Y218&lt;0.15,"Reach",IF(DB_Colleges!Y218&gt;=0.75,IF(W224&gt;=0,"Likely","Target"),IF(DB_Colleges!Y218&gt;=0.4,CHOOSE(W224+2,"Reach","Target","Likely"),IF(W224=1,"Target","Reach")))))))</f>
        <v/>
      </c>
      <c r="F224" s="28" t="str">
        <f aca="false">IF(OR(B224="",NOT(ISNUMBER(DB_Colleges!Y218))),"",DB_Colleges!Y218)</f>
        <v/>
      </c>
      <c r="G224" s="26" t="str">
        <f aca="false">IF(OR(B224="",NOT(ISNUMBER(DB_Colleges!Z218))),"",DB_Colleges!Z218&amp;"-"&amp;DB_Colleges!AA218)</f>
        <v/>
      </c>
      <c r="H224" s="26" t="str">
        <f aca="false">IF(OR(B224="",NOT(ISNUMBER(DB_Colleges!AD218))),"",DB_Colleges!AD218)</f>
        <v/>
      </c>
      <c r="I224" s="29" t="str">
        <f aca="false">IF(B224="","",IF(COUNT(DB_Colleges!I218:O218)=0,IF(DB_Colleges!P218="Yes","Rolling","Check site"),MIN(DB_Colleges!I218:O218)))</f>
        <v/>
      </c>
      <c r="J224" s="26" t="str">
        <f aca="false">IF(OR(B224="",COUNT(DB_Colleges!I218:O218)=0),"",INDEX({"ED","ED II","EA","EA II","REA","RD","Priority"},MATCH(MIN(DB_Colleges!I218:O218),DB_Colleges!I218:O218,0)))</f>
        <v/>
      </c>
      <c r="K224" s="29" t="str">
        <f aca="false">IF(OR(B224="",NOT(ISNUMBER(DB_Colleges!N218))),"",DB_Colleges!N218)</f>
        <v/>
      </c>
      <c r="L224" s="26" t="str">
        <f aca="false">IF(B224="","",DB_Colleges!G218&amp;"")</f>
        <v/>
      </c>
      <c r="M224" s="30" t="str">
        <f aca="false">IF(OR(B224="",NOT(ISNUMBER(DB_Colleges!S218))),"",DB_Colleges!S218)</f>
        <v/>
      </c>
      <c r="N224" s="26" t="str">
        <f aca="false">IF(B224="","",DB_Colleges!U218&amp;"")</f>
        <v/>
      </c>
      <c r="O224" s="26" t="str">
        <f aca="false">IF(B224="","",IF(ISNUMBER(DB_Colleges!AH218),DB_Colleges!AH218,"Check"))</f>
        <v/>
      </c>
      <c r="P224" s="26" t="str">
        <f aca="false">IF(B224="","",DB_Colleges!W218&amp;"")</f>
        <v/>
      </c>
      <c r="Q224" s="30" t="str">
        <f aca="false">IF(OR(B224="",NOT(ISNUMBER(DB_Colleges!AF218))),"",DB_Colleges!AF218)</f>
        <v/>
      </c>
      <c r="R224" s="28" t="str">
        <f aca="false">IF(OR(B224="",NOT(ISNUMBER(DB_Colleges!AG218))),"",DB_Colleges!AG218)</f>
        <v/>
      </c>
      <c r="S224" s="26" t="str">
        <f aca="false">IF(B224="","",DB_Colleges!AK218&amp;"")</f>
        <v/>
      </c>
      <c r="T224" s="26" t="str">
        <f aca="false">IF(B224="","",DB_Colleges!AI218&amp;"")</f>
        <v/>
      </c>
      <c r="U224" s="1" t="str">
        <f aca="false">IF(AND(ISNUMBER($X$4),ISNUMBER(DB_Colleges!Z218),ISNUMBER(DB_Colleges!AA218)),IF($X$4&gt;=DB_Colleges!AA218,1,IF($X$4&lt;DB_Colleges!Z218,-1,0)),"")</f>
        <v/>
      </c>
      <c r="V224" s="1" t="str">
        <f aca="false">IF(AND(ISNUMBER($Y$4),ISNUMBER(DB_Colleges!AD218)),IF($Y$4&gt;=DB_Colleges!AD218+0.15,1,IF($Y$4&lt;DB_Colleges!AD218-0.2,-1,0)),"")</f>
        <v/>
      </c>
      <c r="W224" s="1" t="n">
        <f aca="false">IF(COUNT(U224:V224)=0,0,MIN(U224:V224))</f>
        <v>0</v>
      </c>
    </row>
    <row r="225" customFormat="false" ht="15" hidden="false" customHeight="true" outlineLevel="0" collapsed="false">
      <c r="A225" s="26" t="str">
        <f aca="false">IF(B225="","",IF(COUNTIF('My Colleges'!$B$8:$B$27,B225)&gt;0,"On list",""))</f>
        <v/>
      </c>
      <c r="B225" s="27" t="str">
        <f aca="false">IF(DB_Colleges!A219="","",DB_Colleges!A219)</f>
        <v/>
      </c>
      <c r="C225" s="26" t="str">
        <f aca="false">IF(B225="","",DB_Colleges!B219)</f>
        <v/>
      </c>
      <c r="D225" s="26" t="str">
        <f aca="false">IF(B225="","",DB_Colleges!C219&amp;", "&amp;DB_Colleges!D219)</f>
        <v/>
      </c>
      <c r="E225" s="26" t="str">
        <f aca="false">IF(B225="","",IF(AND(NOT(ISNUMBER($X$4)),NOT(ISNUMBER($Y$4))),"Add scores",IF(NOT(ISNUMBER(DB_Colleges!Y219)),IF(OR(C225="Ivy League",C225="Highly Selective"),"Reach",IF(COUNT(U225:V225)=0,"No data",CHOOSE(W225+2,"Reach","Target","Likely"))),IF(DB_Colleges!Y219&lt;0.15,"Reach",IF(DB_Colleges!Y219&gt;=0.75,IF(W225&gt;=0,"Likely","Target"),IF(DB_Colleges!Y219&gt;=0.4,CHOOSE(W225+2,"Reach","Target","Likely"),IF(W225=1,"Target","Reach")))))))</f>
        <v/>
      </c>
      <c r="F225" s="28" t="str">
        <f aca="false">IF(OR(B225="",NOT(ISNUMBER(DB_Colleges!Y219))),"",DB_Colleges!Y219)</f>
        <v/>
      </c>
      <c r="G225" s="26" t="str">
        <f aca="false">IF(OR(B225="",NOT(ISNUMBER(DB_Colleges!Z219))),"",DB_Colleges!Z219&amp;"-"&amp;DB_Colleges!AA219)</f>
        <v/>
      </c>
      <c r="H225" s="26" t="str">
        <f aca="false">IF(OR(B225="",NOT(ISNUMBER(DB_Colleges!AD219))),"",DB_Colleges!AD219)</f>
        <v/>
      </c>
      <c r="I225" s="29" t="str">
        <f aca="false">IF(B225="","",IF(COUNT(DB_Colleges!I219:O219)=0,IF(DB_Colleges!P219="Yes","Rolling","Check site"),MIN(DB_Colleges!I219:O219)))</f>
        <v/>
      </c>
      <c r="J225" s="26" t="str">
        <f aca="false">IF(OR(B225="",COUNT(DB_Colleges!I219:O219)=0),"",INDEX({"ED","ED II","EA","EA II","REA","RD","Priority"},MATCH(MIN(DB_Colleges!I219:O219),DB_Colleges!I219:O219,0)))</f>
        <v/>
      </c>
      <c r="K225" s="29" t="str">
        <f aca="false">IF(OR(B225="",NOT(ISNUMBER(DB_Colleges!N219))),"",DB_Colleges!N219)</f>
        <v/>
      </c>
      <c r="L225" s="26" t="str">
        <f aca="false">IF(B225="","",DB_Colleges!G219&amp;"")</f>
        <v/>
      </c>
      <c r="M225" s="30" t="str">
        <f aca="false">IF(OR(B225="",NOT(ISNUMBER(DB_Colleges!S219))),"",DB_Colleges!S219)</f>
        <v/>
      </c>
      <c r="N225" s="26" t="str">
        <f aca="false">IF(B225="","",DB_Colleges!U219&amp;"")</f>
        <v/>
      </c>
      <c r="O225" s="26" t="str">
        <f aca="false">IF(B225="","",IF(ISNUMBER(DB_Colleges!AH219),DB_Colleges!AH219,"Check"))</f>
        <v/>
      </c>
      <c r="P225" s="26" t="str">
        <f aca="false">IF(B225="","",DB_Colleges!W219&amp;"")</f>
        <v/>
      </c>
      <c r="Q225" s="30" t="str">
        <f aca="false">IF(OR(B225="",NOT(ISNUMBER(DB_Colleges!AF219))),"",DB_Colleges!AF219)</f>
        <v/>
      </c>
      <c r="R225" s="28" t="str">
        <f aca="false">IF(OR(B225="",NOT(ISNUMBER(DB_Colleges!AG219))),"",DB_Colleges!AG219)</f>
        <v/>
      </c>
      <c r="S225" s="26" t="str">
        <f aca="false">IF(B225="","",DB_Colleges!AK219&amp;"")</f>
        <v/>
      </c>
      <c r="T225" s="26" t="str">
        <f aca="false">IF(B225="","",DB_Colleges!AI219&amp;"")</f>
        <v/>
      </c>
      <c r="U225" s="1" t="str">
        <f aca="false">IF(AND(ISNUMBER($X$4),ISNUMBER(DB_Colleges!Z219),ISNUMBER(DB_Colleges!AA219)),IF($X$4&gt;=DB_Colleges!AA219,1,IF($X$4&lt;DB_Colleges!Z219,-1,0)),"")</f>
        <v/>
      </c>
      <c r="V225" s="1" t="str">
        <f aca="false">IF(AND(ISNUMBER($Y$4),ISNUMBER(DB_Colleges!AD219)),IF($Y$4&gt;=DB_Colleges!AD219+0.15,1,IF($Y$4&lt;DB_Colleges!AD219-0.2,-1,0)),"")</f>
        <v/>
      </c>
      <c r="W225" s="1" t="n">
        <f aca="false">IF(COUNT(U225:V225)=0,0,MIN(U225:V225))</f>
        <v>0</v>
      </c>
    </row>
    <row r="226" customFormat="false" ht="15" hidden="false" customHeight="true" outlineLevel="0" collapsed="false">
      <c r="A226" s="26" t="str">
        <f aca="false">IF(B226="","",IF(COUNTIF('My Colleges'!$B$8:$B$27,B226)&gt;0,"On list",""))</f>
        <v/>
      </c>
      <c r="B226" s="27" t="str">
        <f aca="false">IF(DB_Colleges!A220="","",DB_Colleges!A220)</f>
        <v/>
      </c>
      <c r="C226" s="26" t="str">
        <f aca="false">IF(B226="","",DB_Colleges!B220)</f>
        <v/>
      </c>
      <c r="D226" s="26" t="str">
        <f aca="false">IF(B226="","",DB_Colleges!C220&amp;", "&amp;DB_Colleges!D220)</f>
        <v/>
      </c>
      <c r="E226" s="26" t="str">
        <f aca="false">IF(B226="","",IF(AND(NOT(ISNUMBER($X$4)),NOT(ISNUMBER($Y$4))),"Add scores",IF(NOT(ISNUMBER(DB_Colleges!Y220)),IF(OR(C226="Ivy League",C226="Highly Selective"),"Reach",IF(COUNT(U226:V226)=0,"No data",CHOOSE(W226+2,"Reach","Target","Likely"))),IF(DB_Colleges!Y220&lt;0.15,"Reach",IF(DB_Colleges!Y220&gt;=0.75,IF(W226&gt;=0,"Likely","Target"),IF(DB_Colleges!Y220&gt;=0.4,CHOOSE(W226+2,"Reach","Target","Likely"),IF(W226=1,"Target","Reach")))))))</f>
        <v/>
      </c>
      <c r="F226" s="28" t="str">
        <f aca="false">IF(OR(B226="",NOT(ISNUMBER(DB_Colleges!Y220))),"",DB_Colleges!Y220)</f>
        <v/>
      </c>
      <c r="G226" s="26" t="str">
        <f aca="false">IF(OR(B226="",NOT(ISNUMBER(DB_Colleges!Z220))),"",DB_Colleges!Z220&amp;"-"&amp;DB_Colleges!AA220)</f>
        <v/>
      </c>
      <c r="H226" s="26" t="str">
        <f aca="false">IF(OR(B226="",NOT(ISNUMBER(DB_Colleges!AD220))),"",DB_Colleges!AD220)</f>
        <v/>
      </c>
      <c r="I226" s="29" t="str">
        <f aca="false">IF(B226="","",IF(COUNT(DB_Colleges!I220:O220)=0,IF(DB_Colleges!P220="Yes","Rolling","Check site"),MIN(DB_Colleges!I220:O220)))</f>
        <v/>
      </c>
      <c r="J226" s="26" t="str">
        <f aca="false">IF(OR(B226="",COUNT(DB_Colleges!I220:O220)=0),"",INDEX({"ED","ED II","EA","EA II","REA","RD","Priority"},MATCH(MIN(DB_Colleges!I220:O220),DB_Colleges!I220:O220,0)))</f>
        <v/>
      </c>
      <c r="K226" s="29" t="str">
        <f aca="false">IF(OR(B226="",NOT(ISNUMBER(DB_Colleges!N220))),"",DB_Colleges!N220)</f>
        <v/>
      </c>
      <c r="L226" s="26" t="str">
        <f aca="false">IF(B226="","",DB_Colleges!G220&amp;"")</f>
        <v/>
      </c>
      <c r="M226" s="30" t="str">
        <f aca="false">IF(OR(B226="",NOT(ISNUMBER(DB_Colleges!S220))),"",DB_Colleges!S220)</f>
        <v/>
      </c>
      <c r="N226" s="26" t="str">
        <f aca="false">IF(B226="","",DB_Colleges!U220&amp;"")</f>
        <v/>
      </c>
      <c r="O226" s="26" t="str">
        <f aca="false">IF(B226="","",IF(ISNUMBER(DB_Colleges!AH220),DB_Colleges!AH220,"Check"))</f>
        <v/>
      </c>
      <c r="P226" s="26" t="str">
        <f aca="false">IF(B226="","",DB_Colleges!W220&amp;"")</f>
        <v/>
      </c>
      <c r="Q226" s="30" t="str">
        <f aca="false">IF(OR(B226="",NOT(ISNUMBER(DB_Colleges!AF220))),"",DB_Colleges!AF220)</f>
        <v/>
      </c>
      <c r="R226" s="28" t="str">
        <f aca="false">IF(OR(B226="",NOT(ISNUMBER(DB_Colleges!AG220))),"",DB_Colleges!AG220)</f>
        <v/>
      </c>
      <c r="S226" s="26" t="str">
        <f aca="false">IF(B226="","",DB_Colleges!AK220&amp;"")</f>
        <v/>
      </c>
      <c r="T226" s="26" t="str">
        <f aca="false">IF(B226="","",DB_Colleges!AI220&amp;"")</f>
        <v/>
      </c>
      <c r="U226" s="1" t="str">
        <f aca="false">IF(AND(ISNUMBER($X$4),ISNUMBER(DB_Colleges!Z220),ISNUMBER(DB_Colleges!AA220)),IF($X$4&gt;=DB_Colleges!AA220,1,IF($X$4&lt;DB_Colleges!Z220,-1,0)),"")</f>
        <v/>
      </c>
      <c r="V226" s="1" t="str">
        <f aca="false">IF(AND(ISNUMBER($Y$4),ISNUMBER(DB_Colleges!AD220)),IF($Y$4&gt;=DB_Colleges!AD220+0.15,1,IF($Y$4&lt;DB_Colleges!AD220-0.2,-1,0)),"")</f>
        <v/>
      </c>
      <c r="W226" s="1" t="n">
        <f aca="false">IF(COUNT(U226:V226)=0,0,MIN(U226:V226))</f>
        <v>0</v>
      </c>
    </row>
    <row r="227" customFormat="false" ht="15" hidden="false" customHeight="true" outlineLevel="0" collapsed="false">
      <c r="A227" s="26" t="str">
        <f aca="false">IF(B227="","",IF(COUNTIF('My Colleges'!$B$8:$B$27,B227)&gt;0,"On list",""))</f>
        <v/>
      </c>
      <c r="B227" s="27" t="str">
        <f aca="false">IF(DB_Colleges!A221="","",DB_Colleges!A221)</f>
        <v/>
      </c>
      <c r="C227" s="26" t="str">
        <f aca="false">IF(B227="","",DB_Colleges!B221)</f>
        <v/>
      </c>
      <c r="D227" s="26" t="str">
        <f aca="false">IF(B227="","",DB_Colleges!C221&amp;", "&amp;DB_Colleges!D221)</f>
        <v/>
      </c>
      <c r="E227" s="26" t="str">
        <f aca="false">IF(B227="","",IF(AND(NOT(ISNUMBER($X$4)),NOT(ISNUMBER($Y$4))),"Add scores",IF(NOT(ISNUMBER(DB_Colleges!Y221)),IF(OR(C227="Ivy League",C227="Highly Selective"),"Reach",IF(COUNT(U227:V227)=0,"No data",CHOOSE(W227+2,"Reach","Target","Likely"))),IF(DB_Colleges!Y221&lt;0.15,"Reach",IF(DB_Colleges!Y221&gt;=0.75,IF(W227&gt;=0,"Likely","Target"),IF(DB_Colleges!Y221&gt;=0.4,CHOOSE(W227+2,"Reach","Target","Likely"),IF(W227=1,"Target","Reach")))))))</f>
        <v/>
      </c>
      <c r="F227" s="28" t="str">
        <f aca="false">IF(OR(B227="",NOT(ISNUMBER(DB_Colleges!Y221))),"",DB_Colleges!Y221)</f>
        <v/>
      </c>
      <c r="G227" s="26" t="str">
        <f aca="false">IF(OR(B227="",NOT(ISNUMBER(DB_Colleges!Z221))),"",DB_Colleges!Z221&amp;"-"&amp;DB_Colleges!AA221)</f>
        <v/>
      </c>
      <c r="H227" s="26" t="str">
        <f aca="false">IF(OR(B227="",NOT(ISNUMBER(DB_Colleges!AD221))),"",DB_Colleges!AD221)</f>
        <v/>
      </c>
      <c r="I227" s="29" t="str">
        <f aca="false">IF(B227="","",IF(COUNT(DB_Colleges!I221:O221)=0,IF(DB_Colleges!P221="Yes","Rolling","Check site"),MIN(DB_Colleges!I221:O221)))</f>
        <v/>
      </c>
      <c r="J227" s="26" t="str">
        <f aca="false">IF(OR(B227="",COUNT(DB_Colleges!I221:O221)=0),"",INDEX({"ED","ED II","EA","EA II","REA","RD","Priority"},MATCH(MIN(DB_Colleges!I221:O221),DB_Colleges!I221:O221,0)))</f>
        <v/>
      </c>
      <c r="K227" s="29" t="str">
        <f aca="false">IF(OR(B227="",NOT(ISNUMBER(DB_Colleges!N221))),"",DB_Colleges!N221)</f>
        <v/>
      </c>
      <c r="L227" s="26" t="str">
        <f aca="false">IF(B227="","",DB_Colleges!G221&amp;"")</f>
        <v/>
      </c>
      <c r="M227" s="30" t="str">
        <f aca="false">IF(OR(B227="",NOT(ISNUMBER(DB_Colleges!S221))),"",DB_Colleges!S221)</f>
        <v/>
      </c>
      <c r="N227" s="26" t="str">
        <f aca="false">IF(B227="","",DB_Colleges!U221&amp;"")</f>
        <v/>
      </c>
      <c r="O227" s="26" t="str">
        <f aca="false">IF(B227="","",IF(ISNUMBER(DB_Colleges!AH221),DB_Colleges!AH221,"Check"))</f>
        <v/>
      </c>
      <c r="P227" s="26" t="str">
        <f aca="false">IF(B227="","",DB_Colleges!W221&amp;"")</f>
        <v/>
      </c>
      <c r="Q227" s="30" t="str">
        <f aca="false">IF(OR(B227="",NOT(ISNUMBER(DB_Colleges!AF221))),"",DB_Colleges!AF221)</f>
        <v/>
      </c>
      <c r="R227" s="28" t="str">
        <f aca="false">IF(OR(B227="",NOT(ISNUMBER(DB_Colleges!AG221))),"",DB_Colleges!AG221)</f>
        <v/>
      </c>
      <c r="S227" s="26" t="str">
        <f aca="false">IF(B227="","",DB_Colleges!AK221&amp;"")</f>
        <v/>
      </c>
      <c r="T227" s="26" t="str">
        <f aca="false">IF(B227="","",DB_Colleges!AI221&amp;"")</f>
        <v/>
      </c>
      <c r="U227" s="1" t="str">
        <f aca="false">IF(AND(ISNUMBER($X$4),ISNUMBER(DB_Colleges!Z221),ISNUMBER(DB_Colleges!AA221)),IF($X$4&gt;=DB_Colleges!AA221,1,IF($X$4&lt;DB_Colleges!Z221,-1,0)),"")</f>
        <v/>
      </c>
      <c r="V227" s="1" t="str">
        <f aca="false">IF(AND(ISNUMBER($Y$4),ISNUMBER(DB_Colleges!AD221)),IF($Y$4&gt;=DB_Colleges!AD221+0.15,1,IF($Y$4&lt;DB_Colleges!AD221-0.2,-1,0)),"")</f>
        <v/>
      </c>
      <c r="W227" s="1" t="n">
        <f aca="false">IF(COUNT(U227:V227)=0,0,MIN(U227:V227))</f>
        <v>0</v>
      </c>
    </row>
    <row r="228" customFormat="false" ht="15" hidden="false" customHeight="true" outlineLevel="0" collapsed="false">
      <c r="A228" s="26" t="str">
        <f aca="false">IF(B228="","",IF(COUNTIF('My Colleges'!$B$8:$B$27,B228)&gt;0,"On list",""))</f>
        <v/>
      </c>
      <c r="B228" s="27" t="str">
        <f aca="false">IF(DB_Colleges!A222="","",DB_Colleges!A222)</f>
        <v/>
      </c>
      <c r="C228" s="26" t="str">
        <f aca="false">IF(B228="","",DB_Colleges!B222)</f>
        <v/>
      </c>
      <c r="D228" s="26" t="str">
        <f aca="false">IF(B228="","",DB_Colleges!C222&amp;", "&amp;DB_Colleges!D222)</f>
        <v/>
      </c>
      <c r="E228" s="26" t="str">
        <f aca="false">IF(B228="","",IF(AND(NOT(ISNUMBER($X$4)),NOT(ISNUMBER($Y$4))),"Add scores",IF(NOT(ISNUMBER(DB_Colleges!Y222)),IF(OR(C228="Ivy League",C228="Highly Selective"),"Reach",IF(COUNT(U228:V228)=0,"No data",CHOOSE(W228+2,"Reach","Target","Likely"))),IF(DB_Colleges!Y222&lt;0.15,"Reach",IF(DB_Colleges!Y222&gt;=0.75,IF(W228&gt;=0,"Likely","Target"),IF(DB_Colleges!Y222&gt;=0.4,CHOOSE(W228+2,"Reach","Target","Likely"),IF(W228=1,"Target","Reach")))))))</f>
        <v/>
      </c>
      <c r="F228" s="28" t="str">
        <f aca="false">IF(OR(B228="",NOT(ISNUMBER(DB_Colleges!Y222))),"",DB_Colleges!Y222)</f>
        <v/>
      </c>
      <c r="G228" s="26" t="str">
        <f aca="false">IF(OR(B228="",NOT(ISNUMBER(DB_Colleges!Z222))),"",DB_Colleges!Z222&amp;"-"&amp;DB_Colleges!AA222)</f>
        <v/>
      </c>
      <c r="H228" s="26" t="str">
        <f aca="false">IF(OR(B228="",NOT(ISNUMBER(DB_Colleges!AD222))),"",DB_Colleges!AD222)</f>
        <v/>
      </c>
      <c r="I228" s="29" t="str">
        <f aca="false">IF(B228="","",IF(COUNT(DB_Colleges!I222:O222)=0,IF(DB_Colleges!P222="Yes","Rolling","Check site"),MIN(DB_Colleges!I222:O222)))</f>
        <v/>
      </c>
      <c r="J228" s="26" t="str">
        <f aca="false">IF(OR(B228="",COUNT(DB_Colleges!I222:O222)=0),"",INDEX({"ED","ED II","EA","EA II","REA","RD","Priority"},MATCH(MIN(DB_Colleges!I222:O222),DB_Colleges!I222:O222,0)))</f>
        <v/>
      </c>
      <c r="K228" s="29" t="str">
        <f aca="false">IF(OR(B228="",NOT(ISNUMBER(DB_Colleges!N222))),"",DB_Colleges!N222)</f>
        <v/>
      </c>
      <c r="L228" s="26" t="str">
        <f aca="false">IF(B228="","",DB_Colleges!G222&amp;"")</f>
        <v/>
      </c>
      <c r="M228" s="30" t="str">
        <f aca="false">IF(OR(B228="",NOT(ISNUMBER(DB_Colleges!S222))),"",DB_Colleges!S222)</f>
        <v/>
      </c>
      <c r="N228" s="26" t="str">
        <f aca="false">IF(B228="","",DB_Colleges!U222&amp;"")</f>
        <v/>
      </c>
      <c r="O228" s="26" t="str">
        <f aca="false">IF(B228="","",IF(ISNUMBER(DB_Colleges!AH222),DB_Colleges!AH222,"Check"))</f>
        <v/>
      </c>
      <c r="P228" s="26" t="str">
        <f aca="false">IF(B228="","",DB_Colleges!W222&amp;"")</f>
        <v/>
      </c>
      <c r="Q228" s="30" t="str">
        <f aca="false">IF(OR(B228="",NOT(ISNUMBER(DB_Colleges!AF222))),"",DB_Colleges!AF222)</f>
        <v/>
      </c>
      <c r="R228" s="28" t="str">
        <f aca="false">IF(OR(B228="",NOT(ISNUMBER(DB_Colleges!AG222))),"",DB_Colleges!AG222)</f>
        <v/>
      </c>
      <c r="S228" s="26" t="str">
        <f aca="false">IF(B228="","",DB_Colleges!AK222&amp;"")</f>
        <v/>
      </c>
      <c r="T228" s="26" t="str">
        <f aca="false">IF(B228="","",DB_Colleges!AI222&amp;"")</f>
        <v/>
      </c>
      <c r="U228" s="1" t="str">
        <f aca="false">IF(AND(ISNUMBER($X$4),ISNUMBER(DB_Colleges!Z222),ISNUMBER(DB_Colleges!AA222)),IF($X$4&gt;=DB_Colleges!AA222,1,IF($X$4&lt;DB_Colleges!Z222,-1,0)),"")</f>
        <v/>
      </c>
      <c r="V228" s="1" t="str">
        <f aca="false">IF(AND(ISNUMBER($Y$4),ISNUMBER(DB_Colleges!AD222)),IF($Y$4&gt;=DB_Colleges!AD222+0.15,1,IF($Y$4&lt;DB_Colleges!AD222-0.2,-1,0)),"")</f>
        <v/>
      </c>
      <c r="W228" s="1" t="n">
        <f aca="false">IF(COUNT(U228:V228)=0,0,MIN(U228:V228))</f>
        <v>0</v>
      </c>
    </row>
    <row r="229" customFormat="false" ht="15" hidden="false" customHeight="true" outlineLevel="0" collapsed="false">
      <c r="A229" s="26" t="str">
        <f aca="false">IF(B229="","",IF(COUNTIF('My Colleges'!$B$8:$B$27,B229)&gt;0,"On list",""))</f>
        <v/>
      </c>
      <c r="B229" s="27" t="str">
        <f aca="false">IF(DB_Colleges!A223="","",DB_Colleges!A223)</f>
        <v/>
      </c>
      <c r="C229" s="26" t="str">
        <f aca="false">IF(B229="","",DB_Colleges!B223)</f>
        <v/>
      </c>
      <c r="D229" s="26" t="str">
        <f aca="false">IF(B229="","",DB_Colleges!C223&amp;", "&amp;DB_Colleges!D223)</f>
        <v/>
      </c>
      <c r="E229" s="26" t="str">
        <f aca="false">IF(B229="","",IF(AND(NOT(ISNUMBER($X$4)),NOT(ISNUMBER($Y$4))),"Add scores",IF(NOT(ISNUMBER(DB_Colleges!Y223)),IF(OR(C229="Ivy League",C229="Highly Selective"),"Reach",IF(COUNT(U229:V229)=0,"No data",CHOOSE(W229+2,"Reach","Target","Likely"))),IF(DB_Colleges!Y223&lt;0.15,"Reach",IF(DB_Colleges!Y223&gt;=0.75,IF(W229&gt;=0,"Likely","Target"),IF(DB_Colleges!Y223&gt;=0.4,CHOOSE(W229+2,"Reach","Target","Likely"),IF(W229=1,"Target","Reach")))))))</f>
        <v/>
      </c>
      <c r="F229" s="28" t="str">
        <f aca="false">IF(OR(B229="",NOT(ISNUMBER(DB_Colleges!Y223))),"",DB_Colleges!Y223)</f>
        <v/>
      </c>
      <c r="G229" s="26" t="str">
        <f aca="false">IF(OR(B229="",NOT(ISNUMBER(DB_Colleges!Z223))),"",DB_Colleges!Z223&amp;"-"&amp;DB_Colleges!AA223)</f>
        <v/>
      </c>
      <c r="H229" s="26" t="str">
        <f aca="false">IF(OR(B229="",NOT(ISNUMBER(DB_Colleges!AD223))),"",DB_Colleges!AD223)</f>
        <v/>
      </c>
      <c r="I229" s="29" t="str">
        <f aca="false">IF(B229="","",IF(COUNT(DB_Colleges!I223:O223)=0,IF(DB_Colleges!P223="Yes","Rolling","Check site"),MIN(DB_Colleges!I223:O223)))</f>
        <v/>
      </c>
      <c r="J229" s="26" t="str">
        <f aca="false">IF(OR(B229="",COUNT(DB_Colleges!I223:O223)=0),"",INDEX({"ED","ED II","EA","EA II","REA","RD","Priority"},MATCH(MIN(DB_Colleges!I223:O223),DB_Colleges!I223:O223,0)))</f>
        <v/>
      </c>
      <c r="K229" s="29" t="str">
        <f aca="false">IF(OR(B229="",NOT(ISNUMBER(DB_Colleges!N223))),"",DB_Colleges!N223)</f>
        <v/>
      </c>
      <c r="L229" s="26" t="str">
        <f aca="false">IF(B229="","",DB_Colleges!G223&amp;"")</f>
        <v/>
      </c>
      <c r="M229" s="30" t="str">
        <f aca="false">IF(OR(B229="",NOT(ISNUMBER(DB_Colleges!S223))),"",DB_Colleges!S223)</f>
        <v/>
      </c>
      <c r="N229" s="26" t="str">
        <f aca="false">IF(B229="","",DB_Colleges!U223&amp;"")</f>
        <v/>
      </c>
      <c r="O229" s="26" t="str">
        <f aca="false">IF(B229="","",IF(ISNUMBER(DB_Colleges!AH223),DB_Colleges!AH223,"Check"))</f>
        <v/>
      </c>
      <c r="P229" s="26" t="str">
        <f aca="false">IF(B229="","",DB_Colleges!W223&amp;"")</f>
        <v/>
      </c>
      <c r="Q229" s="30" t="str">
        <f aca="false">IF(OR(B229="",NOT(ISNUMBER(DB_Colleges!AF223))),"",DB_Colleges!AF223)</f>
        <v/>
      </c>
      <c r="R229" s="28" t="str">
        <f aca="false">IF(OR(B229="",NOT(ISNUMBER(DB_Colleges!AG223))),"",DB_Colleges!AG223)</f>
        <v/>
      </c>
      <c r="S229" s="26" t="str">
        <f aca="false">IF(B229="","",DB_Colleges!AK223&amp;"")</f>
        <v/>
      </c>
      <c r="T229" s="26" t="str">
        <f aca="false">IF(B229="","",DB_Colleges!AI223&amp;"")</f>
        <v/>
      </c>
      <c r="U229" s="1" t="str">
        <f aca="false">IF(AND(ISNUMBER($X$4),ISNUMBER(DB_Colleges!Z223),ISNUMBER(DB_Colleges!AA223)),IF($X$4&gt;=DB_Colleges!AA223,1,IF($X$4&lt;DB_Colleges!Z223,-1,0)),"")</f>
        <v/>
      </c>
      <c r="V229" s="1" t="str">
        <f aca="false">IF(AND(ISNUMBER($Y$4),ISNUMBER(DB_Colleges!AD223)),IF($Y$4&gt;=DB_Colleges!AD223+0.15,1,IF($Y$4&lt;DB_Colleges!AD223-0.2,-1,0)),"")</f>
        <v/>
      </c>
      <c r="W229" s="1" t="n">
        <f aca="false">IF(COUNT(U229:V229)=0,0,MIN(U229:V229))</f>
        <v>0</v>
      </c>
    </row>
    <row r="230" customFormat="false" ht="15" hidden="false" customHeight="true" outlineLevel="0" collapsed="false">
      <c r="A230" s="26" t="str">
        <f aca="false">IF(B230="","",IF(COUNTIF('My Colleges'!$B$8:$B$27,B230)&gt;0,"On list",""))</f>
        <v/>
      </c>
      <c r="B230" s="27" t="str">
        <f aca="false">IF(DB_Colleges!A224="","",DB_Colleges!A224)</f>
        <v/>
      </c>
      <c r="C230" s="26" t="str">
        <f aca="false">IF(B230="","",DB_Colleges!B224)</f>
        <v/>
      </c>
      <c r="D230" s="26" t="str">
        <f aca="false">IF(B230="","",DB_Colleges!C224&amp;", "&amp;DB_Colleges!D224)</f>
        <v/>
      </c>
      <c r="E230" s="26" t="str">
        <f aca="false">IF(B230="","",IF(AND(NOT(ISNUMBER($X$4)),NOT(ISNUMBER($Y$4))),"Add scores",IF(NOT(ISNUMBER(DB_Colleges!Y224)),IF(OR(C230="Ivy League",C230="Highly Selective"),"Reach",IF(COUNT(U230:V230)=0,"No data",CHOOSE(W230+2,"Reach","Target","Likely"))),IF(DB_Colleges!Y224&lt;0.15,"Reach",IF(DB_Colleges!Y224&gt;=0.75,IF(W230&gt;=0,"Likely","Target"),IF(DB_Colleges!Y224&gt;=0.4,CHOOSE(W230+2,"Reach","Target","Likely"),IF(W230=1,"Target","Reach")))))))</f>
        <v/>
      </c>
      <c r="F230" s="28" t="str">
        <f aca="false">IF(OR(B230="",NOT(ISNUMBER(DB_Colleges!Y224))),"",DB_Colleges!Y224)</f>
        <v/>
      </c>
      <c r="G230" s="26" t="str">
        <f aca="false">IF(OR(B230="",NOT(ISNUMBER(DB_Colleges!Z224))),"",DB_Colleges!Z224&amp;"-"&amp;DB_Colleges!AA224)</f>
        <v/>
      </c>
      <c r="H230" s="26" t="str">
        <f aca="false">IF(OR(B230="",NOT(ISNUMBER(DB_Colleges!AD224))),"",DB_Colleges!AD224)</f>
        <v/>
      </c>
      <c r="I230" s="29" t="str">
        <f aca="false">IF(B230="","",IF(COUNT(DB_Colleges!I224:O224)=0,IF(DB_Colleges!P224="Yes","Rolling","Check site"),MIN(DB_Colleges!I224:O224)))</f>
        <v/>
      </c>
      <c r="J230" s="26" t="str">
        <f aca="false">IF(OR(B230="",COUNT(DB_Colleges!I224:O224)=0),"",INDEX({"ED","ED II","EA","EA II","REA","RD","Priority"},MATCH(MIN(DB_Colleges!I224:O224),DB_Colleges!I224:O224,0)))</f>
        <v/>
      </c>
      <c r="K230" s="29" t="str">
        <f aca="false">IF(OR(B230="",NOT(ISNUMBER(DB_Colleges!N224))),"",DB_Colleges!N224)</f>
        <v/>
      </c>
      <c r="L230" s="26" t="str">
        <f aca="false">IF(B230="","",DB_Colleges!G224&amp;"")</f>
        <v/>
      </c>
      <c r="M230" s="30" t="str">
        <f aca="false">IF(OR(B230="",NOT(ISNUMBER(DB_Colleges!S224))),"",DB_Colleges!S224)</f>
        <v/>
      </c>
      <c r="N230" s="26" t="str">
        <f aca="false">IF(B230="","",DB_Colleges!U224&amp;"")</f>
        <v/>
      </c>
      <c r="O230" s="26" t="str">
        <f aca="false">IF(B230="","",IF(ISNUMBER(DB_Colleges!AH224),DB_Colleges!AH224,"Check"))</f>
        <v/>
      </c>
      <c r="P230" s="26" t="str">
        <f aca="false">IF(B230="","",DB_Colleges!W224&amp;"")</f>
        <v/>
      </c>
      <c r="Q230" s="30" t="str">
        <f aca="false">IF(OR(B230="",NOT(ISNUMBER(DB_Colleges!AF224))),"",DB_Colleges!AF224)</f>
        <v/>
      </c>
      <c r="R230" s="28" t="str">
        <f aca="false">IF(OR(B230="",NOT(ISNUMBER(DB_Colleges!AG224))),"",DB_Colleges!AG224)</f>
        <v/>
      </c>
      <c r="S230" s="26" t="str">
        <f aca="false">IF(B230="","",DB_Colleges!AK224&amp;"")</f>
        <v/>
      </c>
      <c r="T230" s="26" t="str">
        <f aca="false">IF(B230="","",DB_Colleges!AI224&amp;"")</f>
        <v/>
      </c>
      <c r="U230" s="1" t="str">
        <f aca="false">IF(AND(ISNUMBER($X$4),ISNUMBER(DB_Colleges!Z224),ISNUMBER(DB_Colleges!AA224)),IF($X$4&gt;=DB_Colleges!AA224,1,IF($X$4&lt;DB_Colleges!Z224,-1,0)),"")</f>
        <v/>
      </c>
      <c r="V230" s="1" t="str">
        <f aca="false">IF(AND(ISNUMBER($Y$4),ISNUMBER(DB_Colleges!AD224)),IF($Y$4&gt;=DB_Colleges!AD224+0.15,1,IF($Y$4&lt;DB_Colleges!AD224-0.2,-1,0)),"")</f>
        <v/>
      </c>
      <c r="W230" s="1" t="n">
        <f aca="false">IF(COUNT(U230:V230)=0,0,MIN(U230:V230))</f>
        <v>0</v>
      </c>
    </row>
    <row r="231" customFormat="false" ht="15" hidden="false" customHeight="true" outlineLevel="0" collapsed="false">
      <c r="A231" s="26" t="str">
        <f aca="false">IF(B231="","",IF(COUNTIF('My Colleges'!$B$8:$B$27,B231)&gt;0,"On list",""))</f>
        <v/>
      </c>
      <c r="B231" s="27" t="str">
        <f aca="false">IF(DB_Colleges!A225="","",DB_Colleges!A225)</f>
        <v/>
      </c>
      <c r="C231" s="26" t="str">
        <f aca="false">IF(B231="","",DB_Colleges!B225)</f>
        <v/>
      </c>
      <c r="D231" s="26" t="str">
        <f aca="false">IF(B231="","",DB_Colleges!C225&amp;", "&amp;DB_Colleges!D225)</f>
        <v/>
      </c>
      <c r="E231" s="26" t="str">
        <f aca="false">IF(B231="","",IF(AND(NOT(ISNUMBER($X$4)),NOT(ISNUMBER($Y$4))),"Add scores",IF(NOT(ISNUMBER(DB_Colleges!Y225)),IF(OR(C231="Ivy League",C231="Highly Selective"),"Reach",IF(COUNT(U231:V231)=0,"No data",CHOOSE(W231+2,"Reach","Target","Likely"))),IF(DB_Colleges!Y225&lt;0.15,"Reach",IF(DB_Colleges!Y225&gt;=0.75,IF(W231&gt;=0,"Likely","Target"),IF(DB_Colleges!Y225&gt;=0.4,CHOOSE(W231+2,"Reach","Target","Likely"),IF(W231=1,"Target","Reach")))))))</f>
        <v/>
      </c>
      <c r="F231" s="28" t="str">
        <f aca="false">IF(OR(B231="",NOT(ISNUMBER(DB_Colleges!Y225))),"",DB_Colleges!Y225)</f>
        <v/>
      </c>
      <c r="G231" s="26" t="str">
        <f aca="false">IF(OR(B231="",NOT(ISNUMBER(DB_Colleges!Z225))),"",DB_Colleges!Z225&amp;"-"&amp;DB_Colleges!AA225)</f>
        <v/>
      </c>
      <c r="H231" s="26" t="str">
        <f aca="false">IF(OR(B231="",NOT(ISNUMBER(DB_Colleges!AD225))),"",DB_Colleges!AD225)</f>
        <v/>
      </c>
      <c r="I231" s="29" t="str">
        <f aca="false">IF(B231="","",IF(COUNT(DB_Colleges!I225:O225)=0,IF(DB_Colleges!P225="Yes","Rolling","Check site"),MIN(DB_Colleges!I225:O225)))</f>
        <v/>
      </c>
      <c r="J231" s="26" t="str">
        <f aca="false">IF(OR(B231="",COUNT(DB_Colleges!I225:O225)=0),"",INDEX({"ED","ED II","EA","EA II","REA","RD","Priority"},MATCH(MIN(DB_Colleges!I225:O225),DB_Colleges!I225:O225,0)))</f>
        <v/>
      </c>
      <c r="K231" s="29" t="str">
        <f aca="false">IF(OR(B231="",NOT(ISNUMBER(DB_Colleges!N225))),"",DB_Colleges!N225)</f>
        <v/>
      </c>
      <c r="L231" s="26" t="str">
        <f aca="false">IF(B231="","",DB_Colleges!G225&amp;"")</f>
        <v/>
      </c>
      <c r="M231" s="30" t="str">
        <f aca="false">IF(OR(B231="",NOT(ISNUMBER(DB_Colleges!S225))),"",DB_Colleges!S225)</f>
        <v/>
      </c>
      <c r="N231" s="26" t="str">
        <f aca="false">IF(B231="","",DB_Colleges!U225&amp;"")</f>
        <v/>
      </c>
      <c r="O231" s="26" t="str">
        <f aca="false">IF(B231="","",IF(ISNUMBER(DB_Colleges!AH225),DB_Colleges!AH225,"Check"))</f>
        <v/>
      </c>
      <c r="P231" s="26" t="str">
        <f aca="false">IF(B231="","",DB_Colleges!W225&amp;"")</f>
        <v/>
      </c>
      <c r="Q231" s="30" t="str">
        <f aca="false">IF(OR(B231="",NOT(ISNUMBER(DB_Colleges!AF225))),"",DB_Colleges!AF225)</f>
        <v/>
      </c>
      <c r="R231" s="28" t="str">
        <f aca="false">IF(OR(B231="",NOT(ISNUMBER(DB_Colleges!AG225))),"",DB_Colleges!AG225)</f>
        <v/>
      </c>
      <c r="S231" s="26" t="str">
        <f aca="false">IF(B231="","",DB_Colleges!AK225&amp;"")</f>
        <v/>
      </c>
      <c r="T231" s="26" t="str">
        <f aca="false">IF(B231="","",DB_Colleges!AI225&amp;"")</f>
        <v/>
      </c>
      <c r="U231" s="1" t="str">
        <f aca="false">IF(AND(ISNUMBER($X$4),ISNUMBER(DB_Colleges!Z225),ISNUMBER(DB_Colleges!AA225)),IF($X$4&gt;=DB_Colleges!AA225,1,IF($X$4&lt;DB_Colleges!Z225,-1,0)),"")</f>
        <v/>
      </c>
      <c r="V231" s="1" t="str">
        <f aca="false">IF(AND(ISNUMBER($Y$4),ISNUMBER(DB_Colleges!AD225)),IF($Y$4&gt;=DB_Colleges!AD225+0.15,1,IF($Y$4&lt;DB_Colleges!AD225-0.2,-1,0)),"")</f>
        <v/>
      </c>
      <c r="W231" s="1" t="n">
        <f aca="false">IF(COUNT(U231:V231)=0,0,MIN(U231:V231))</f>
        <v>0</v>
      </c>
    </row>
    <row r="232" customFormat="false" ht="15" hidden="false" customHeight="true" outlineLevel="0" collapsed="false">
      <c r="A232" s="26" t="str">
        <f aca="false">IF(B232="","",IF(COUNTIF('My Colleges'!$B$8:$B$27,B232)&gt;0,"On list",""))</f>
        <v/>
      </c>
      <c r="B232" s="27" t="str">
        <f aca="false">IF(DB_Colleges!A226="","",DB_Colleges!A226)</f>
        <v/>
      </c>
      <c r="C232" s="26" t="str">
        <f aca="false">IF(B232="","",DB_Colleges!B226)</f>
        <v/>
      </c>
      <c r="D232" s="26" t="str">
        <f aca="false">IF(B232="","",DB_Colleges!C226&amp;", "&amp;DB_Colleges!D226)</f>
        <v/>
      </c>
      <c r="E232" s="26" t="str">
        <f aca="false">IF(B232="","",IF(AND(NOT(ISNUMBER($X$4)),NOT(ISNUMBER($Y$4))),"Add scores",IF(NOT(ISNUMBER(DB_Colleges!Y226)),IF(OR(C232="Ivy League",C232="Highly Selective"),"Reach",IF(COUNT(U232:V232)=0,"No data",CHOOSE(W232+2,"Reach","Target","Likely"))),IF(DB_Colleges!Y226&lt;0.15,"Reach",IF(DB_Colleges!Y226&gt;=0.75,IF(W232&gt;=0,"Likely","Target"),IF(DB_Colleges!Y226&gt;=0.4,CHOOSE(W232+2,"Reach","Target","Likely"),IF(W232=1,"Target","Reach")))))))</f>
        <v/>
      </c>
      <c r="F232" s="28" t="str">
        <f aca="false">IF(OR(B232="",NOT(ISNUMBER(DB_Colleges!Y226))),"",DB_Colleges!Y226)</f>
        <v/>
      </c>
      <c r="G232" s="26" t="str">
        <f aca="false">IF(OR(B232="",NOT(ISNUMBER(DB_Colleges!Z226))),"",DB_Colleges!Z226&amp;"-"&amp;DB_Colleges!AA226)</f>
        <v/>
      </c>
      <c r="H232" s="26" t="str">
        <f aca="false">IF(OR(B232="",NOT(ISNUMBER(DB_Colleges!AD226))),"",DB_Colleges!AD226)</f>
        <v/>
      </c>
      <c r="I232" s="29" t="str">
        <f aca="false">IF(B232="","",IF(COUNT(DB_Colleges!I226:O226)=0,IF(DB_Colleges!P226="Yes","Rolling","Check site"),MIN(DB_Colleges!I226:O226)))</f>
        <v/>
      </c>
      <c r="J232" s="26" t="str">
        <f aca="false">IF(OR(B232="",COUNT(DB_Colleges!I226:O226)=0),"",INDEX({"ED","ED II","EA","EA II","REA","RD","Priority"},MATCH(MIN(DB_Colleges!I226:O226),DB_Colleges!I226:O226,0)))</f>
        <v/>
      </c>
      <c r="K232" s="29" t="str">
        <f aca="false">IF(OR(B232="",NOT(ISNUMBER(DB_Colleges!N226))),"",DB_Colleges!N226)</f>
        <v/>
      </c>
      <c r="L232" s="26" t="str">
        <f aca="false">IF(B232="","",DB_Colleges!G226&amp;"")</f>
        <v/>
      </c>
      <c r="M232" s="30" t="str">
        <f aca="false">IF(OR(B232="",NOT(ISNUMBER(DB_Colleges!S226))),"",DB_Colleges!S226)</f>
        <v/>
      </c>
      <c r="N232" s="26" t="str">
        <f aca="false">IF(B232="","",DB_Colleges!U226&amp;"")</f>
        <v/>
      </c>
      <c r="O232" s="26" t="str">
        <f aca="false">IF(B232="","",IF(ISNUMBER(DB_Colleges!AH226),DB_Colleges!AH226,"Check"))</f>
        <v/>
      </c>
      <c r="P232" s="26" t="str">
        <f aca="false">IF(B232="","",DB_Colleges!W226&amp;"")</f>
        <v/>
      </c>
      <c r="Q232" s="30" t="str">
        <f aca="false">IF(OR(B232="",NOT(ISNUMBER(DB_Colleges!AF226))),"",DB_Colleges!AF226)</f>
        <v/>
      </c>
      <c r="R232" s="28" t="str">
        <f aca="false">IF(OR(B232="",NOT(ISNUMBER(DB_Colleges!AG226))),"",DB_Colleges!AG226)</f>
        <v/>
      </c>
      <c r="S232" s="26" t="str">
        <f aca="false">IF(B232="","",DB_Colleges!AK226&amp;"")</f>
        <v/>
      </c>
      <c r="T232" s="26" t="str">
        <f aca="false">IF(B232="","",DB_Colleges!AI226&amp;"")</f>
        <v/>
      </c>
      <c r="U232" s="1" t="str">
        <f aca="false">IF(AND(ISNUMBER($X$4),ISNUMBER(DB_Colleges!Z226),ISNUMBER(DB_Colleges!AA226)),IF($X$4&gt;=DB_Colleges!AA226,1,IF($X$4&lt;DB_Colleges!Z226,-1,0)),"")</f>
        <v/>
      </c>
      <c r="V232" s="1" t="str">
        <f aca="false">IF(AND(ISNUMBER($Y$4),ISNUMBER(DB_Colleges!AD226)),IF($Y$4&gt;=DB_Colleges!AD226+0.15,1,IF($Y$4&lt;DB_Colleges!AD226-0.2,-1,0)),"")</f>
        <v/>
      </c>
      <c r="W232" s="1" t="n">
        <f aca="false">IF(COUNT(U232:V232)=0,0,MIN(U232:V232))</f>
        <v>0</v>
      </c>
    </row>
    <row r="233" customFormat="false" ht="15" hidden="false" customHeight="true" outlineLevel="0" collapsed="false">
      <c r="A233" s="26" t="str">
        <f aca="false">IF(B233="","",IF(COUNTIF('My Colleges'!$B$8:$B$27,B233)&gt;0,"On list",""))</f>
        <v/>
      </c>
      <c r="B233" s="27" t="str">
        <f aca="false">IF(DB_Colleges!A227="","",DB_Colleges!A227)</f>
        <v/>
      </c>
      <c r="C233" s="26" t="str">
        <f aca="false">IF(B233="","",DB_Colleges!B227)</f>
        <v/>
      </c>
      <c r="D233" s="26" t="str">
        <f aca="false">IF(B233="","",DB_Colleges!C227&amp;", "&amp;DB_Colleges!D227)</f>
        <v/>
      </c>
      <c r="E233" s="26" t="str">
        <f aca="false">IF(B233="","",IF(AND(NOT(ISNUMBER($X$4)),NOT(ISNUMBER($Y$4))),"Add scores",IF(NOT(ISNUMBER(DB_Colleges!Y227)),IF(OR(C233="Ivy League",C233="Highly Selective"),"Reach",IF(COUNT(U233:V233)=0,"No data",CHOOSE(W233+2,"Reach","Target","Likely"))),IF(DB_Colleges!Y227&lt;0.15,"Reach",IF(DB_Colleges!Y227&gt;=0.75,IF(W233&gt;=0,"Likely","Target"),IF(DB_Colleges!Y227&gt;=0.4,CHOOSE(W233+2,"Reach","Target","Likely"),IF(W233=1,"Target","Reach")))))))</f>
        <v/>
      </c>
      <c r="F233" s="28" t="str">
        <f aca="false">IF(OR(B233="",NOT(ISNUMBER(DB_Colleges!Y227))),"",DB_Colleges!Y227)</f>
        <v/>
      </c>
      <c r="G233" s="26" t="str">
        <f aca="false">IF(OR(B233="",NOT(ISNUMBER(DB_Colleges!Z227))),"",DB_Colleges!Z227&amp;"-"&amp;DB_Colleges!AA227)</f>
        <v/>
      </c>
      <c r="H233" s="26" t="str">
        <f aca="false">IF(OR(B233="",NOT(ISNUMBER(DB_Colleges!AD227))),"",DB_Colleges!AD227)</f>
        <v/>
      </c>
      <c r="I233" s="29" t="str">
        <f aca="false">IF(B233="","",IF(COUNT(DB_Colleges!I227:O227)=0,IF(DB_Colleges!P227="Yes","Rolling","Check site"),MIN(DB_Colleges!I227:O227)))</f>
        <v/>
      </c>
      <c r="J233" s="26" t="str">
        <f aca="false">IF(OR(B233="",COUNT(DB_Colleges!I227:O227)=0),"",INDEX({"ED","ED II","EA","EA II","REA","RD","Priority"},MATCH(MIN(DB_Colleges!I227:O227),DB_Colleges!I227:O227,0)))</f>
        <v/>
      </c>
      <c r="K233" s="29" t="str">
        <f aca="false">IF(OR(B233="",NOT(ISNUMBER(DB_Colleges!N227))),"",DB_Colleges!N227)</f>
        <v/>
      </c>
      <c r="L233" s="26" t="str">
        <f aca="false">IF(B233="","",DB_Colleges!G227&amp;"")</f>
        <v/>
      </c>
      <c r="M233" s="30" t="str">
        <f aca="false">IF(OR(B233="",NOT(ISNUMBER(DB_Colleges!S227))),"",DB_Colleges!S227)</f>
        <v/>
      </c>
      <c r="N233" s="26" t="str">
        <f aca="false">IF(B233="","",DB_Colleges!U227&amp;"")</f>
        <v/>
      </c>
      <c r="O233" s="26" t="str">
        <f aca="false">IF(B233="","",IF(ISNUMBER(DB_Colleges!AH227),DB_Colleges!AH227,"Check"))</f>
        <v/>
      </c>
      <c r="P233" s="26" t="str">
        <f aca="false">IF(B233="","",DB_Colleges!W227&amp;"")</f>
        <v/>
      </c>
      <c r="Q233" s="30" t="str">
        <f aca="false">IF(OR(B233="",NOT(ISNUMBER(DB_Colleges!AF227))),"",DB_Colleges!AF227)</f>
        <v/>
      </c>
      <c r="R233" s="28" t="str">
        <f aca="false">IF(OR(B233="",NOT(ISNUMBER(DB_Colleges!AG227))),"",DB_Colleges!AG227)</f>
        <v/>
      </c>
      <c r="S233" s="26" t="str">
        <f aca="false">IF(B233="","",DB_Colleges!AK227&amp;"")</f>
        <v/>
      </c>
      <c r="T233" s="26" t="str">
        <f aca="false">IF(B233="","",DB_Colleges!AI227&amp;"")</f>
        <v/>
      </c>
      <c r="U233" s="1" t="str">
        <f aca="false">IF(AND(ISNUMBER($X$4),ISNUMBER(DB_Colleges!Z227),ISNUMBER(DB_Colleges!AA227)),IF($X$4&gt;=DB_Colleges!AA227,1,IF($X$4&lt;DB_Colleges!Z227,-1,0)),"")</f>
        <v/>
      </c>
      <c r="V233" s="1" t="str">
        <f aca="false">IF(AND(ISNUMBER($Y$4),ISNUMBER(DB_Colleges!AD227)),IF($Y$4&gt;=DB_Colleges!AD227+0.15,1,IF($Y$4&lt;DB_Colleges!AD227-0.2,-1,0)),"")</f>
        <v/>
      </c>
      <c r="W233" s="1" t="n">
        <f aca="false">IF(COUNT(U233:V233)=0,0,MIN(U233:V233))</f>
        <v>0</v>
      </c>
    </row>
    <row r="234" customFormat="false" ht="15" hidden="false" customHeight="true" outlineLevel="0" collapsed="false">
      <c r="A234" s="26" t="str">
        <f aca="false">IF(B234="","",IF(COUNTIF('My Colleges'!$B$8:$B$27,B234)&gt;0,"On list",""))</f>
        <v/>
      </c>
      <c r="B234" s="27" t="str">
        <f aca="false">IF(DB_Colleges!A228="","",DB_Colleges!A228)</f>
        <v/>
      </c>
      <c r="C234" s="26" t="str">
        <f aca="false">IF(B234="","",DB_Colleges!B228)</f>
        <v/>
      </c>
      <c r="D234" s="26" t="str">
        <f aca="false">IF(B234="","",DB_Colleges!C228&amp;", "&amp;DB_Colleges!D228)</f>
        <v/>
      </c>
      <c r="E234" s="26" t="str">
        <f aca="false">IF(B234="","",IF(AND(NOT(ISNUMBER($X$4)),NOT(ISNUMBER($Y$4))),"Add scores",IF(NOT(ISNUMBER(DB_Colleges!Y228)),IF(OR(C234="Ivy League",C234="Highly Selective"),"Reach",IF(COUNT(U234:V234)=0,"No data",CHOOSE(W234+2,"Reach","Target","Likely"))),IF(DB_Colleges!Y228&lt;0.15,"Reach",IF(DB_Colleges!Y228&gt;=0.75,IF(W234&gt;=0,"Likely","Target"),IF(DB_Colleges!Y228&gt;=0.4,CHOOSE(W234+2,"Reach","Target","Likely"),IF(W234=1,"Target","Reach")))))))</f>
        <v/>
      </c>
      <c r="F234" s="28" t="str">
        <f aca="false">IF(OR(B234="",NOT(ISNUMBER(DB_Colleges!Y228))),"",DB_Colleges!Y228)</f>
        <v/>
      </c>
      <c r="G234" s="26" t="str">
        <f aca="false">IF(OR(B234="",NOT(ISNUMBER(DB_Colleges!Z228))),"",DB_Colleges!Z228&amp;"-"&amp;DB_Colleges!AA228)</f>
        <v/>
      </c>
      <c r="H234" s="26" t="str">
        <f aca="false">IF(OR(B234="",NOT(ISNUMBER(DB_Colleges!AD228))),"",DB_Colleges!AD228)</f>
        <v/>
      </c>
      <c r="I234" s="29" t="str">
        <f aca="false">IF(B234="","",IF(COUNT(DB_Colleges!I228:O228)=0,IF(DB_Colleges!P228="Yes","Rolling","Check site"),MIN(DB_Colleges!I228:O228)))</f>
        <v/>
      </c>
      <c r="J234" s="26" t="str">
        <f aca="false">IF(OR(B234="",COUNT(DB_Colleges!I228:O228)=0),"",INDEX({"ED","ED II","EA","EA II","REA","RD","Priority"},MATCH(MIN(DB_Colleges!I228:O228),DB_Colleges!I228:O228,0)))</f>
        <v/>
      </c>
      <c r="K234" s="29" t="str">
        <f aca="false">IF(OR(B234="",NOT(ISNUMBER(DB_Colleges!N228))),"",DB_Colleges!N228)</f>
        <v/>
      </c>
      <c r="L234" s="26" t="str">
        <f aca="false">IF(B234="","",DB_Colleges!G228&amp;"")</f>
        <v/>
      </c>
      <c r="M234" s="30" t="str">
        <f aca="false">IF(OR(B234="",NOT(ISNUMBER(DB_Colleges!S228))),"",DB_Colleges!S228)</f>
        <v/>
      </c>
      <c r="N234" s="26" t="str">
        <f aca="false">IF(B234="","",DB_Colleges!U228&amp;"")</f>
        <v/>
      </c>
      <c r="O234" s="26" t="str">
        <f aca="false">IF(B234="","",IF(ISNUMBER(DB_Colleges!AH228),DB_Colleges!AH228,"Check"))</f>
        <v/>
      </c>
      <c r="P234" s="26" t="str">
        <f aca="false">IF(B234="","",DB_Colleges!W228&amp;"")</f>
        <v/>
      </c>
      <c r="Q234" s="30" t="str">
        <f aca="false">IF(OR(B234="",NOT(ISNUMBER(DB_Colleges!AF228))),"",DB_Colleges!AF228)</f>
        <v/>
      </c>
      <c r="R234" s="28" t="str">
        <f aca="false">IF(OR(B234="",NOT(ISNUMBER(DB_Colleges!AG228))),"",DB_Colleges!AG228)</f>
        <v/>
      </c>
      <c r="S234" s="26" t="str">
        <f aca="false">IF(B234="","",DB_Colleges!AK228&amp;"")</f>
        <v/>
      </c>
      <c r="T234" s="26" t="str">
        <f aca="false">IF(B234="","",DB_Colleges!AI228&amp;"")</f>
        <v/>
      </c>
      <c r="U234" s="1" t="str">
        <f aca="false">IF(AND(ISNUMBER($X$4),ISNUMBER(DB_Colleges!Z228),ISNUMBER(DB_Colleges!AA228)),IF($X$4&gt;=DB_Colleges!AA228,1,IF($X$4&lt;DB_Colleges!Z228,-1,0)),"")</f>
        <v/>
      </c>
      <c r="V234" s="1" t="str">
        <f aca="false">IF(AND(ISNUMBER($Y$4),ISNUMBER(DB_Colleges!AD228)),IF($Y$4&gt;=DB_Colleges!AD228+0.15,1,IF($Y$4&lt;DB_Colleges!AD228-0.2,-1,0)),"")</f>
        <v/>
      </c>
      <c r="W234" s="1" t="n">
        <f aca="false">IF(COUNT(U234:V234)=0,0,MIN(U234:V234))</f>
        <v>0</v>
      </c>
    </row>
    <row r="235" customFormat="false" ht="15" hidden="false" customHeight="true" outlineLevel="0" collapsed="false">
      <c r="A235" s="26" t="str">
        <f aca="false">IF(B235="","",IF(COUNTIF('My Colleges'!$B$8:$B$27,B235)&gt;0,"On list",""))</f>
        <v/>
      </c>
      <c r="B235" s="27" t="str">
        <f aca="false">IF(DB_Colleges!A229="","",DB_Colleges!A229)</f>
        <v/>
      </c>
      <c r="C235" s="26" t="str">
        <f aca="false">IF(B235="","",DB_Colleges!B229)</f>
        <v/>
      </c>
      <c r="D235" s="26" t="str">
        <f aca="false">IF(B235="","",DB_Colleges!C229&amp;", "&amp;DB_Colleges!D229)</f>
        <v/>
      </c>
      <c r="E235" s="26" t="str">
        <f aca="false">IF(B235="","",IF(AND(NOT(ISNUMBER($X$4)),NOT(ISNUMBER($Y$4))),"Add scores",IF(NOT(ISNUMBER(DB_Colleges!Y229)),IF(OR(C235="Ivy League",C235="Highly Selective"),"Reach",IF(COUNT(U235:V235)=0,"No data",CHOOSE(W235+2,"Reach","Target","Likely"))),IF(DB_Colleges!Y229&lt;0.15,"Reach",IF(DB_Colleges!Y229&gt;=0.75,IF(W235&gt;=0,"Likely","Target"),IF(DB_Colleges!Y229&gt;=0.4,CHOOSE(W235+2,"Reach","Target","Likely"),IF(W235=1,"Target","Reach")))))))</f>
        <v/>
      </c>
      <c r="F235" s="28" t="str">
        <f aca="false">IF(OR(B235="",NOT(ISNUMBER(DB_Colleges!Y229))),"",DB_Colleges!Y229)</f>
        <v/>
      </c>
      <c r="G235" s="26" t="str">
        <f aca="false">IF(OR(B235="",NOT(ISNUMBER(DB_Colleges!Z229))),"",DB_Colleges!Z229&amp;"-"&amp;DB_Colleges!AA229)</f>
        <v/>
      </c>
      <c r="H235" s="26" t="str">
        <f aca="false">IF(OR(B235="",NOT(ISNUMBER(DB_Colleges!AD229))),"",DB_Colleges!AD229)</f>
        <v/>
      </c>
      <c r="I235" s="29" t="str">
        <f aca="false">IF(B235="","",IF(COUNT(DB_Colleges!I229:O229)=0,IF(DB_Colleges!P229="Yes","Rolling","Check site"),MIN(DB_Colleges!I229:O229)))</f>
        <v/>
      </c>
      <c r="J235" s="26" t="str">
        <f aca="false">IF(OR(B235="",COUNT(DB_Colleges!I229:O229)=0),"",INDEX({"ED","ED II","EA","EA II","REA","RD","Priority"},MATCH(MIN(DB_Colleges!I229:O229),DB_Colleges!I229:O229,0)))</f>
        <v/>
      </c>
      <c r="K235" s="29" t="str">
        <f aca="false">IF(OR(B235="",NOT(ISNUMBER(DB_Colleges!N229))),"",DB_Colleges!N229)</f>
        <v/>
      </c>
      <c r="L235" s="26" t="str">
        <f aca="false">IF(B235="","",DB_Colleges!G229&amp;"")</f>
        <v/>
      </c>
      <c r="M235" s="30" t="str">
        <f aca="false">IF(OR(B235="",NOT(ISNUMBER(DB_Colleges!S229))),"",DB_Colleges!S229)</f>
        <v/>
      </c>
      <c r="N235" s="26" t="str">
        <f aca="false">IF(B235="","",DB_Colleges!U229&amp;"")</f>
        <v/>
      </c>
      <c r="O235" s="26" t="str">
        <f aca="false">IF(B235="","",IF(ISNUMBER(DB_Colleges!AH229),DB_Colleges!AH229,"Check"))</f>
        <v/>
      </c>
      <c r="P235" s="26" t="str">
        <f aca="false">IF(B235="","",DB_Colleges!W229&amp;"")</f>
        <v/>
      </c>
      <c r="Q235" s="30" t="str">
        <f aca="false">IF(OR(B235="",NOT(ISNUMBER(DB_Colleges!AF229))),"",DB_Colleges!AF229)</f>
        <v/>
      </c>
      <c r="R235" s="28" t="str">
        <f aca="false">IF(OR(B235="",NOT(ISNUMBER(DB_Colleges!AG229))),"",DB_Colleges!AG229)</f>
        <v/>
      </c>
      <c r="S235" s="26" t="str">
        <f aca="false">IF(B235="","",DB_Colleges!AK229&amp;"")</f>
        <v/>
      </c>
      <c r="T235" s="26" t="str">
        <f aca="false">IF(B235="","",DB_Colleges!AI229&amp;"")</f>
        <v/>
      </c>
      <c r="U235" s="1" t="str">
        <f aca="false">IF(AND(ISNUMBER($X$4),ISNUMBER(DB_Colleges!Z229),ISNUMBER(DB_Colleges!AA229)),IF($X$4&gt;=DB_Colleges!AA229,1,IF($X$4&lt;DB_Colleges!Z229,-1,0)),"")</f>
        <v/>
      </c>
      <c r="V235" s="1" t="str">
        <f aca="false">IF(AND(ISNUMBER($Y$4),ISNUMBER(DB_Colleges!AD229)),IF($Y$4&gt;=DB_Colleges!AD229+0.15,1,IF($Y$4&lt;DB_Colleges!AD229-0.2,-1,0)),"")</f>
        <v/>
      </c>
      <c r="W235" s="1" t="n">
        <f aca="false">IF(COUNT(U235:V235)=0,0,MIN(U235:V235))</f>
        <v>0</v>
      </c>
    </row>
    <row r="236" customFormat="false" ht="15" hidden="false" customHeight="true" outlineLevel="0" collapsed="false">
      <c r="A236" s="26" t="str">
        <f aca="false">IF(B236="","",IF(COUNTIF('My Colleges'!$B$8:$B$27,B236)&gt;0,"On list",""))</f>
        <v/>
      </c>
      <c r="B236" s="27" t="str">
        <f aca="false">IF(DB_Colleges!A230="","",DB_Colleges!A230)</f>
        <v/>
      </c>
      <c r="C236" s="26" t="str">
        <f aca="false">IF(B236="","",DB_Colleges!B230)</f>
        <v/>
      </c>
      <c r="D236" s="26" t="str">
        <f aca="false">IF(B236="","",DB_Colleges!C230&amp;", "&amp;DB_Colleges!D230)</f>
        <v/>
      </c>
      <c r="E236" s="26" t="str">
        <f aca="false">IF(B236="","",IF(AND(NOT(ISNUMBER($X$4)),NOT(ISNUMBER($Y$4))),"Add scores",IF(NOT(ISNUMBER(DB_Colleges!Y230)),IF(OR(C236="Ivy League",C236="Highly Selective"),"Reach",IF(COUNT(U236:V236)=0,"No data",CHOOSE(W236+2,"Reach","Target","Likely"))),IF(DB_Colleges!Y230&lt;0.15,"Reach",IF(DB_Colleges!Y230&gt;=0.75,IF(W236&gt;=0,"Likely","Target"),IF(DB_Colleges!Y230&gt;=0.4,CHOOSE(W236+2,"Reach","Target","Likely"),IF(W236=1,"Target","Reach")))))))</f>
        <v/>
      </c>
      <c r="F236" s="28" t="str">
        <f aca="false">IF(OR(B236="",NOT(ISNUMBER(DB_Colleges!Y230))),"",DB_Colleges!Y230)</f>
        <v/>
      </c>
      <c r="G236" s="26" t="str">
        <f aca="false">IF(OR(B236="",NOT(ISNUMBER(DB_Colleges!Z230))),"",DB_Colleges!Z230&amp;"-"&amp;DB_Colleges!AA230)</f>
        <v/>
      </c>
      <c r="H236" s="26" t="str">
        <f aca="false">IF(OR(B236="",NOT(ISNUMBER(DB_Colleges!AD230))),"",DB_Colleges!AD230)</f>
        <v/>
      </c>
      <c r="I236" s="29" t="str">
        <f aca="false">IF(B236="","",IF(COUNT(DB_Colleges!I230:O230)=0,IF(DB_Colleges!P230="Yes","Rolling","Check site"),MIN(DB_Colleges!I230:O230)))</f>
        <v/>
      </c>
      <c r="J236" s="26" t="str">
        <f aca="false">IF(OR(B236="",COUNT(DB_Colleges!I230:O230)=0),"",INDEX({"ED","ED II","EA","EA II","REA","RD","Priority"},MATCH(MIN(DB_Colleges!I230:O230),DB_Colleges!I230:O230,0)))</f>
        <v/>
      </c>
      <c r="K236" s="29" t="str">
        <f aca="false">IF(OR(B236="",NOT(ISNUMBER(DB_Colleges!N230))),"",DB_Colleges!N230)</f>
        <v/>
      </c>
      <c r="L236" s="26" t="str">
        <f aca="false">IF(B236="","",DB_Colleges!G230&amp;"")</f>
        <v/>
      </c>
      <c r="M236" s="30" t="str">
        <f aca="false">IF(OR(B236="",NOT(ISNUMBER(DB_Colleges!S230))),"",DB_Colleges!S230)</f>
        <v/>
      </c>
      <c r="N236" s="26" t="str">
        <f aca="false">IF(B236="","",DB_Colleges!U230&amp;"")</f>
        <v/>
      </c>
      <c r="O236" s="26" t="str">
        <f aca="false">IF(B236="","",IF(ISNUMBER(DB_Colleges!AH230),DB_Colleges!AH230,"Check"))</f>
        <v/>
      </c>
      <c r="P236" s="26" t="str">
        <f aca="false">IF(B236="","",DB_Colleges!W230&amp;"")</f>
        <v/>
      </c>
      <c r="Q236" s="30" t="str">
        <f aca="false">IF(OR(B236="",NOT(ISNUMBER(DB_Colleges!AF230))),"",DB_Colleges!AF230)</f>
        <v/>
      </c>
      <c r="R236" s="28" t="str">
        <f aca="false">IF(OR(B236="",NOT(ISNUMBER(DB_Colleges!AG230))),"",DB_Colleges!AG230)</f>
        <v/>
      </c>
      <c r="S236" s="26" t="str">
        <f aca="false">IF(B236="","",DB_Colleges!AK230&amp;"")</f>
        <v/>
      </c>
      <c r="T236" s="26" t="str">
        <f aca="false">IF(B236="","",DB_Colleges!AI230&amp;"")</f>
        <v/>
      </c>
      <c r="U236" s="1" t="str">
        <f aca="false">IF(AND(ISNUMBER($X$4),ISNUMBER(DB_Colleges!Z230),ISNUMBER(DB_Colleges!AA230)),IF($X$4&gt;=DB_Colleges!AA230,1,IF($X$4&lt;DB_Colleges!Z230,-1,0)),"")</f>
        <v/>
      </c>
      <c r="V236" s="1" t="str">
        <f aca="false">IF(AND(ISNUMBER($Y$4),ISNUMBER(DB_Colleges!AD230)),IF($Y$4&gt;=DB_Colleges!AD230+0.15,1,IF($Y$4&lt;DB_Colleges!AD230-0.2,-1,0)),"")</f>
        <v/>
      </c>
      <c r="W236" s="1" t="n">
        <f aca="false">IF(COUNT(U236:V236)=0,0,MIN(U236:V236))</f>
        <v>0</v>
      </c>
    </row>
    <row r="237" customFormat="false" ht="15" hidden="false" customHeight="true" outlineLevel="0" collapsed="false">
      <c r="A237" s="26" t="str">
        <f aca="false">IF(B237="","",IF(COUNTIF('My Colleges'!$B$8:$B$27,B237)&gt;0,"On list",""))</f>
        <v/>
      </c>
      <c r="B237" s="27" t="str">
        <f aca="false">IF(DB_Colleges!A231="","",DB_Colleges!A231)</f>
        <v/>
      </c>
      <c r="C237" s="26" t="str">
        <f aca="false">IF(B237="","",DB_Colleges!B231)</f>
        <v/>
      </c>
      <c r="D237" s="26" t="str">
        <f aca="false">IF(B237="","",DB_Colleges!C231&amp;", "&amp;DB_Colleges!D231)</f>
        <v/>
      </c>
      <c r="E237" s="26" t="str">
        <f aca="false">IF(B237="","",IF(AND(NOT(ISNUMBER($X$4)),NOT(ISNUMBER($Y$4))),"Add scores",IF(NOT(ISNUMBER(DB_Colleges!Y231)),IF(OR(C237="Ivy League",C237="Highly Selective"),"Reach",IF(COUNT(U237:V237)=0,"No data",CHOOSE(W237+2,"Reach","Target","Likely"))),IF(DB_Colleges!Y231&lt;0.15,"Reach",IF(DB_Colleges!Y231&gt;=0.75,IF(W237&gt;=0,"Likely","Target"),IF(DB_Colleges!Y231&gt;=0.4,CHOOSE(W237+2,"Reach","Target","Likely"),IF(W237=1,"Target","Reach")))))))</f>
        <v/>
      </c>
      <c r="F237" s="28" t="str">
        <f aca="false">IF(OR(B237="",NOT(ISNUMBER(DB_Colleges!Y231))),"",DB_Colleges!Y231)</f>
        <v/>
      </c>
      <c r="G237" s="26" t="str">
        <f aca="false">IF(OR(B237="",NOT(ISNUMBER(DB_Colleges!Z231))),"",DB_Colleges!Z231&amp;"-"&amp;DB_Colleges!AA231)</f>
        <v/>
      </c>
      <c r="H237" s="26" t="str">
        <f aca="false">IF(OR(B237="",NOT(ISNUMBER(DB_Colleges!AD231))),"",DB_Colleges!AD231)</f>
        <v/>
      </c>
      <c r="I237" s="29" t="str">
        <f aca="false">IF(B237="","",IF(COUNT(DB_Colleges!I231:O231)=0,IF(DB_Colleges!P231="Yes","Rolling","Check site"),MIN(DB_Colleges!I231:O231)))</f>
        <v/>
      </c>
      <c r="J237" s="26" t="str">
        <f aca="false">IF(OR(B237="",COUNT(DB_Colleges!I231:O231)=0),"",INDEX({"ED","ED II","EA","EA II","REA","RD","Priority"},MATCH(MIN(DB_Colleges!I231:O231),DB_Colleges!I231:O231,0)))</f>
        <v/>
      </c>
      <c r="K237" s="29" t="str">
        <f aca="false">IF(OR(B237="",NOT(ISNUMBER(DB_Colleges!N231))),"",DB_Colleges!N231)</f>
        <v/>
      </c>
      <c r="L237" s="26" t="str">
        <f aca="false">IF(B237="","",DB_Colleges!G231&amp;"")</f>
        <v/>
      </c>
      <c r="M237" s="30" t="str">
        <f aca="false">IF(OR(B237="",NOT(ISNUMBER(DB_Colleges!S231))),"",DB_Colleges!S231)</f>
        <v/>
      </c>
      <c r="N237" s="26" t="str">
        <f aca="false">IF(B237="","",DB_Colleges!U231&amp;"")</f>
        <v/>
      </c>
      <c r="O237" s="26" t="str">
        <f aca="false">IF(B237="","",IF(ISNUMBER(DB_Colleges!AH231),DB_Colleges!AH231,"Check"))</f>
        <v/>
      </c>
      <c r="P237" s="26" t="str">
        <f aca="false">IF(B237="","",DB_Colleges!W231&amp;"")</f>
        <v/>
      </c>
      <c r="Q237" s="30" t="str">
        <f aca="false">IF(OR(B237="",NOT(ISNUMBER(DB_Colleges!AF231))),"",DB_Colleges!AF231)</f>
        <v/>
      </c>
      <c r="R237" s="28" t="str">
        <f aca="false">IF(OR(B237="",NOT(ISNUMBER(DB_Colleges!AG231))),"",DB_Colleges!AG231)</f>
        <v/>
      </c>
      <c r="S237" s="26" t="str">
        <f aca="false">IF(B237="","",DB_Colleges!AK231&amp;"")</f>
        <v/>
      </c>
      <c r="T237" s="26" t="str">
        <f aca="false">IF(B237="","",DB_Colleges!AI231&amp;"")</f>
        <v/>
      </c>
      <c r="U237" s="1" t="str">
        <f aca="false">IF(AND(ISNUMBER($X$4),ISNUMBER(DB_Colleges!Z231),ISNUMBER(DB_Colleges!AA231)),IF($X$4&gt;=DB_Colleges!AA231,1,IF($X$4&lt;DB_Colleges!Z231,-1,0)),"")</f>
        <v/>
      </c>
      <c r="V237" s="1" t="str">
        <f aca="false">IF(AND(ISNUMBER($Y$4),ISNUMBER(DB_Colleges!AD231)),IF($Y$4&gt;=DB_Colleges!AD231+0.15,1,IF($Y$4&lt;DB_Colleges!AD231-0.2,-1,0)),"")</f>
        <v/>
      </c>
      <c r="W237" s="1" t="n">
        <f aca="false">IF(COUNT(U237:V237)=0,0,MIN(U237:V237))</f>
        <v>0</v>
      </c>
    </row>
    <row r="238" customFormat="false" ht="15" hidden="false" customHeight="true" outlineLevel="0" collapsed="false">
      <c r="A238" s="26" t="str">
        <f aca="false">IF(B238="","",IF(COUNTIF('My Colleges'!$B$8:$B$27,B238)&gt;0,"On list",""))</f>
        <v/>
      </c>
      <c r="B238" s="27" t="str">
        <f aca="false">IF(DB_Colleges!A232="","",DB_Colleges!A232)</f>
        <v/>
      </c>
      <c r="C238" s="26" t="str">
        <f aca="false">IF(B238="","",DB_Colleges!B232)</f>
        <v/>
      </c>
      <c r="D238" s="26" t="str">
        <f aca="false">IF(B238="","",DB_Colleges!C232&amp;", "&amp;DB_Colleges!D232)</f>
        <v/>
      </c>
      <c r="E238" s="26" t="str">
        <f aca="false">IF(B238="","",IF(AND(NOT(ISNUMBER($X$4)),NOT(ISNUMBER($Y$4))),"Add scores",IF(NOT(ISNUMBER(DB_Colleges!Y232)),IF(OR(C238="Ivy League",C238="Highly Selective"),"Reach",IF(COUNT(U238:V238)=0,"No data",CHOOSE(W238+2,"Reach","Target","Likely"))),IF(DB_Colleges!Y232&lt;0.15,"Reach",IF(DB_Colleges!Y232&gt;=0.75,IF(W238&gt;=0,"Likely","Target"),IF(DB_Colleges!Y232&gt;=0.4,CHOOSE(W238+2,"Reach","Target","Likely"),IF(W238=1,"Target","Reach")))))))</f>
        <v/>
      </c>
      <c r="F238" s="28" t="str">
        <f aca="false">IF(OR(B238="",NOT(ISNUMBER(DB_Colleges!Y232))),"",DB_Colleges!Y232)</f>
        <v/>
      </c>
      <c r="G238" s="26" t="str">
        <f aca="false">IF(OR(B238="",NOT(ISNUMBER(DB_Colleges!Z232))),"",DB_Colleges!Z232&amp;"-"&amp;DB_Colleges!AA232)</f>
        <v/>
      </c>
      <c r="H238" s="26" t="str">
        <f aca="false">IF(OR(B238="",NOT(ISNUMBER(DB_Colleges!AD232))),"",DB_Colleges!AD232)</f>
        <v/>
      </c>
      <c r="I238" s="29" t="str">
        <f aca="false">IF(B238="","",IF(COUNT(DB_Colleges!I232:O232)=0,IF(DB_Colleges!P232="Yes","Rolling","Check site"),MIN(DB_Colleges!I232:O232)))</f>
        <v/>
      </c>
      <c r="J238" s="26" t="str">
        <f aca="false">IF(OR(B238="",COUNT(DB_Colleges!I232:O232)=0),"",INDEX({"ED","ED II","EA","EA II","REA","RD","Priority"},MATCH(MIN(DB_Colleges!I232:O232),DB_Colleges!I232:O232,0)))</f>
        <v/>
      </c>
      <c r="K238" s="29" t="str">
        <f aca="false">IF(OR(B238="",NOT(ISNUMBER(DB_Colleges!N232))),"",DB_Colleges!N232)</f>
        <v/>
      </c>
      <c r="L238" s="26" t="str">
        <f aca="false">IF(B238="","",DB_Colleges!G232&amp;"")</f>
        <v/>
      </c>
      <c r="M238" s="30" t="str">
        <f aca="false">IF(OR(B238="",NOT(ISNUMBER(DB_Colleges!S232))),"",DB_Colleges!S232)</f>
        <v/>
      </c>
      <c r="N238" s="26" t="str">
        <f aca="false">IF(B238="","",DB_Colleges!U232&amp;"")</f>
        <v/>
      </c>
      <c r="O238" s="26" t="str">
        <f aca="false">IF(B238="","",IF(ISNUMBER(DB_Colleges!AH232),DB_Colleges!AH232,"Check"))</f>
        <v/>
      </c>
      <c r="P238" s="26" t="str">
        <f aca="false">IF(B238="","",DB_Colleges!W232&amp;"")</f>
        <v/>
      </c>
      <c r="Q238" s="30" t="str">
        <f aca="false">IF(OR(B238="",NOT(ISNUMBER(DB_Colleges!AF232))),"",DB_Colleges!AF232)</f>
        <v/>
      </c>
      <c r="R238" s="28" t="str">
        <f aca="false">IF(OR(B238="",NOT(ISNUMBER(DB_Colleges!AG232))),"",DB_Colleges!AG232)</f>
        <v/>
      </c>
      <c r="S238" s="26" t="str">
        <f aca="false">IF(B238="","",DB_Colleges!AK232&amp;"")</f>
        <v/>
      </c>
      <c r="T238" s="26" t="str">
        <f aca="false">IF(B238="","",DB_Colleges!AI232&amp;"")</f>
        <v/>
      </c>
      <c r="U238" s="1" t="str">
        <f aca="false">IF(AND(ISNUMBER($X$4),ISNUMBER(DB_Colleges!Z232),ISNUMBER(DB_Colleges!AA232)),IF($X$4&gt;=DB_Colleges!AA232,1,IF($X$4&lt;DB_Colleges!Z232,-1,0)),"")</f>
        <v/>
      </c>
      <c r="V238" s="1" t="str">
        <f aca="false">IF(AND(ISNUMBER($Y$4),ISNUMBER(DB_Colleges!AD232)),IF($Y$4&gt;=DB_Colleges!AD232+0.15,1,IF($Y$4&lt;DB_Colleges!AD232-0.2,-1,0)),"")</f>
        <v/>
      </c>
      <c r="W238" s="1" t="n">
        <f aca="false">IF(COUNT(U238:V238)=0,0,MIN(U238:V238))</f>
        <v>0</v>
      </c>
    </row>
    <row r="239" customFormat="false" ht="15" hidden="false" customHeight="true" outlineLevel="0" collapsed="false">
      <c r="A239" s="26" t="str">
        <f aca="false">IF(B239="","",IF(COUNTIF('My Colleges'!$B$8:$B$27,B239)&gt;0,"On list",""))</f>
        <v/>
      </c>
      <c r="B239" s="27" t="str">
        <f aca="false">IF(DB_Colleges!A233="","",DB_Colleges!A233)</f>
        <v/>
      </c>
      <c r="C239" s="26" t="str">
        <f aca="false">IF(B239="","",DB_Colleges!B233)</f>
        <v/>
      </c>
      <c r="D239" s="26" t="str">
        <f aca="false">IF(B239="","",DB_Colleges!C233&amp;", "&amp;DB_Colleges!D233)</f>
        <v/>
      </c>
      <c r="E239" s="26" t="str">
        <f aca="false">IF(B239="","",IF(AND(NOT(ISNUMBER($X$4)),NOT(ISNUMBER($Y$4))),"Add scores",IF(NOT(ISNUMBER(DB_Colleges!Y233)),IF(OR(C239="Ivy League",C239="Highly Selective"),"Reach",IF(COUNT(U239:V239)=0,"No data",CHOOSE(W239+2,"Reach","Target","Likely"))),IF(DB_Colleges!Y233&lt;0.15,"Reach",IF(DB_Colleges!Y233&gt;=0.75,IF(W239&gt;=0,"Likely","Target"),IF(DB_Colleges!Y233&gt;=0.4,CHOOSE(W239+2,"Reach","Target","Likely"),IF(W239=1,"Target","Reach")))))))</f>
        <v/>
      </c>
      <c r="F239" s="28" t="str">
        <f aca="false">IF(OR(B239="",NOT(ISNUMBER(DB_Colleges!Y233))),"",DB_Colleges!Y233)</f>
        <v/>
      </c>
      <c r="G239" s="26" t="str">
        <f aca="false">IF(OR(B239="",NOT(ISNUMBER(DB_Colleges!Z233))),"",DB_Colleges!Z233&amp;"-"&amp;DB_Colleges!AA233)</f>
        <v/>
      </c>
      <c r="H239" s="26" t="str">
        <f aca="false">IF(OR(B239="",NOT(ISNUMBER(DB_Colleges!AD233))),"",DB_Colleges!AD233)</f>
        <v/>
      </c>
      <c r="I239" s="29" t="str">
        <f aca="false">IF(B239="","",IF(COUNT(DB_Colleges!I233:O233)=0,IF(DB_Colleges!P233="Yes","Rolling","Check site"),MIN(DB_Colleges!I233:O233)))</f>
        <v/>
      </c>
      <c r="J239" s="26" t="str">
        <f aca="false">IF(OR(B239="",COUNT(DB_Colleges!I233:O233)=0),"",INDEX({"ED","ED II","EA","EA II","REA","RD","Priority"},MATCH(MIN(DB_Colleges!I233:O233),DB_Colleges!I233:O233,0)))</f>
        <v/>
      </c>
      <c r="K239" s="29" t="str">
        <f aca="false">IF(OR(B239="",NOT(ISNUMBER(DB_Colleges!N233))),"",DB_Colleges!N233)</f>
        <v/>
      </c>
      <c r="L239" s="26" t="str">
        <f aca="false">IF(B239="","",DB_Colleges!G233&amp;"")</f>
        <v/>
      </c>
      <c r="M239" s="30" t="str">
        <f aca="false">IF(OR(B239="",NOT(ISNUMBER(DB_Colleges!S233))),"",DB_Colleges!S233)</f>
        <v/>
      </c>
      <c r="N239" s="26" t="str">
        <f aca="false">IF(B239="","",DB_Colleges!U233&amp;"")</f>
        <v/>
      </c>
      <c r="O239" s="26" t="str">
        <f aca="false">IF(B239="","",IF(ISNUMBER(DB_Colleges!AH233),DB_Colleges!AH233,"Check"))</f>
        <v/>
      </c>
      <c r="P239" s="26" t="str">
        <f aca="false">IF(B239="","",DB_Colleges!W233&amp;"")</f>
        <v/>
      </c>
      <c r="Q239" s="30" t="str">
        <f aca="false">IF(OR(B239="",NOT(ISNUMBER(DB_Colleges!AF233))),"",DB_Colleges!AF233)</f>
        <v/>
      </c>
      <c r="R239" s="28" t="str">
        <f aca="false">IF(OR(B239="",NOT(ISNUMBER(DB_Colleges!AG233))),"",DB_Colleges!AG233)</f>
        <v/>
      </c>
      <c r="S239" s="26" t="str">
        <f aca="false">IF(B239="","",DB_Colleges!AK233&amp;"")</f>
        <v/>
      </c>
      <c r="T239" s="26" t="str">
        <f aca="false">IF(B239="","",DB_Colleges!AI233&amp;"")</f>
        <v/>
      </c>
      <c r="U239" s="1" t="str">
        <f aca="false">IF(AND(ISNUMBER($X$4),ISNUMBER(DB_Colleges!Z233),ISNUMBER(DB_Colleges!AA233)),IF($X$4&gt;=DB_Colleges!AA233,1,IF($X$4&lt;DB_Colleges!Z233,-1,0)),"")</f>
        <v/>
      </c>
      <c r="V239" s="1" t="str">
        <f aca="false">IF(AND(ISNUMBER($Y$4),ISNUMBER(DB_Colleges!AD233)),IF($Y$4&gt;=DB_Colleges!AD233+0.15,1,IF($Y$4&lt;DB_Colleges!AD233-0.2,-1,0)),"")</f>
        <v/>
      </c>
      <c r="W239" s="1" t="n">
        <f aca="false">IF(COUNT(U239:V239)=0,0,MIN(U239:V239))</f>
        <v>0</v>
      </c>
    </row>
    <row r="240" customFormat="false" ht="15" hidden="false" customHeight="true" outlineLevel="0" collapsed="false">
      <c r="A240" s="26" t="str">
        <f aca="false">IF(B240="","",IF(COUNTIF('My Colleges'!$B$8:$B$27,B240)&gt;0,"On list",""))</f>
        <v/>
      </c>
      <c r="B240" s="27" t="str">
        <f aca="false">IF(DB_Colleges!A234="","",DB_Colleges!A234)</f>
        <v/>
      </c>
      <c r="C240" s="26" t="str">
        <f aca="false">IF(B240="","",DB_Colleges!B234)</f>
        <v/>
      </c>
      <c r="D240" s="26" t="str">
        <f aca="false">IF(B240="","",DB_Colleges!C234&amp;", "&amp;DB_Colleges!D234)</f>
        <v/>
      </c>
      <c r="E240" s="26" t="str">
        <f aca="false">IF(B240="","",IF(AND(NOT(ISNUMBER($X$4)),NOT(ISNUMBER($Y$4))),"Add scores",IF(NOT(ISNUMBER(DB_Colleges!Y234)),IF(OR(C240="Ivy League",C240="Highly Selective"),"Reach",IF(COUNT(U240:V240)=0,"No data",CHOOSE(W240+2,"Reach","Target","Likely"))),IF(DB_Colleges!Y234&lt;0.15,"Reach",IF(DB_Colleges!Y234&gt;=0.75,IF(W240&gt;=0,"Likely","Target"),IF(DB_Colleges!Y234&gt;=0.4,CHOOSE(W240+2,"Reach","Target","Likely"),IF(W240=1,"Target","Reach")))))))</f>
        <v/>
      </c>
      <c r="F240" s="28" t="str">
        <f aca="false">IF(OR(B240="",NOT(ISNUMBER(DB_Colleges!Y234))),"",DB_Colleges!Y234)</f>
        <v/>
      </c>
      <c r="G240" s="26" t="str">
        <f aca="false">IF(OR(B240="",NOT(ISNUMBER(DB_Colleges!Z234))),"",DB_Colleges!Z234&amp;"-"&amp;DB_Colleges!AA234)</f>
        <v/>
      </c>
      <c r="H240" s="26" t="str">
        <f aca="false">IF(OR(B240="",NOT(ISNUMBER(DB_Colleges!AD234))),"",DB_Colleges!AD234)</f>
        <v/>
      </c>
      <c r="I240" s="29" t="str">
        <f aca="false">IF(B240="","",IF(COUNT(DB_Colleges!I234:O234)=0,IF(DB_Colleges!P234="Yes","Rolling","Check site"),MIN(DB_Colleges!I234:O234)))</f>
        <v/>
      </c>
      <c r="J240" s="26" t="str">
        <f aca="false">IF(OR(B240="",COUNT(DB_Colleges!I234:O234)=0),"",INDEX({"ED","ED II","EA","EA II","REA","RD","Priority"},MATCH(MIN(DB_Colleges!I234:O234),DB_Colleges!I234:O234,0)))</f>
        <v/>
      </c>
      <c r="K240" s="29" t="str">
        <f aca="false">IF(OR(B240="",NOT(ISNUMBER(DB_Colleges!N234))),"",DB_Colleges!N234)</f>
        <v/>
      </c>
      <c r="L240" s="26" t="str">
        <f aca="false">IF(B240="","",DB_Colleges!G234&amp;"")</f>
        <v/>
      </c>
      <c r="M240" s="30" t="str">
        <f aca="false">IF(OR(B240="",NOT(ISNUMBER(DB_Colleges!S234))),"",DB_Colleges!S234)</f>
        <v/>
      </c>
      <c r="N240" s="26" t="str">
        <f aca="false">IF(B240="","",DB_Colleges!U234&amp;"")</f>
        <v/>
      </c>
      <c r="O240" s="26" t="str">
        <f aca="false">IF(B240="","",IF(ISNUMBER(DB_Colleges!AH234),DB_Colleges!AH234,"Check"))</f>
        <v/>
      </c>
      <c r="P240" s="26" t="str">
        <f aca="false">IF(B240="","",DB_Colleges!W234&amp;"")</f>
        <v/>
      </c>
      <c r="Q240" s="30" t="str">
        <f aca="false">IF(OR(B240="",NOT(ISNUMBER(DB_Colleges!AF234))),"",DB_Colleges!AF234)</f>
        <v/>
      </c>
      <c r="R240" s="28" t="str">
        <f aca="false">IF(OR(B240="",NOT(ISNUMBER(DB_Colleges!AG234))),"",DB_Colleges!AG234)</f>
        <v/>
      </c>
      <c r="S240" s="26" t="str">
        <f aca="false">IF(B240="","",DB_Colleges!AK234&amp;"")</f>
        <v/>
      </c>
      <c r="T240" s="26" t="str">
        <f aca="false">IF(B240="","",DB_Colleges!AI234&amp;"")</f>
        <v/>
      </c>
      <c r="U240" s="1" t="str">
        <f aca="false">IF(AND(ISNUMBER($X$4),ISNUMBER(DB_Colleges!Z234),ISNUMBER(DB_Colleges!AA234)),IF($X$4&gt;=DB_Colleges!AA234,1,IF($X$4&lt;DB_Colleges!Z234,-1,0)),"")</f>
        <v/>
      </c>
      <c r="V240" s="1" t="str">
        <f aca="false">IF(AND(ISNUMBER($Y$4),ISNUMBER(DB_Colleges!AD234)),IF($Y$4&gt;=DB_Colleges!AD234+0.15,1,IF($Y$4&lt;DB_Colleges!AD234-0.2,-1,0)),"")</f>
        <v/>
      </c>
      <c r="W240" s="1" t="n">
        <f aca="false">IF(COUNT(U240:V240)=0,0,MIN(U240:V240))</f>
        <v>0</v>
      </c>
    </row>
    <row r="241" customFormat="false" ht="15" hidden="false" customHeight="true" outlineLevel="0" collapsed="false">
      <c r="A241" s="26" t="str">
        <f aca="false">IF(B241="","",IF(COUNTIF('My Colleges'!$B$8:$B$27,B241)&gt;0,"On list",""))</f>
        <v/>
      </c>
      <c r="B241" s="27" t="str">
        <f aca="false">IF(DB_Colleges!A235="","",DB_Colleges!A235)</f>
        <v/>
      </c>
      <c r="C241" s="26" t="str">
        <f aca="false">IF(B241="","",DB_Colleges!B235)</f>
        <v/>
      </c>
      <c r="D241" s="26" t="str">
        <f aca="false">IF(B241="","",DB_Colleges!C235&amp;", "&amp;DB_Colleges!D235)</f>
        <v/>
      </c>
      <c r="E241" s="26" t="str">
        <f aca="false">IF(B241="","",IF(AND(NOT(ISNUMBER($X$4)),NOT(ISNUMBER($Y$4))),"Add scores",IF(NOT(ISNUMBER(DB_Colleges!Y235)),IF(OR(C241="Ivy League",C241="Highly Selective"),"Reach",IF(COUNT(U241:V241)=0,"No data",CHOOSE(W241+2,"Reach","Target","Likely"))),IF(DB_Colleges!Y235&lt;0.15,"Reach",IF(DB_Colleges!Y235&gt;=0.75,IF(W241&gt;=0,"Likely","Target"),IF(DB_Colleges!Y235&gt;=0.4,CHOOSE(W241+2,"Reach","Target","Likely"),IF(W241=1,"Target","Reach")))))))</f>
        <v/>
      </c>
      <c r="F241" s="28" t="str">
        <f aca="false">IF(OR(B241="",NOT(ISNUMBER(DB_Colleges!Y235))),"",DB_Colleges!Y235)</f>
        <v/>
      </c>
      <c r="G241" s="26" t="str">
        <f aca="false">IF(OR(B241="",NOT(ISNUMBER(DB_Colleges!Z235))),"",DB_Colleges!Z235&amp;"-"&amp;DB_Colleges!AA235)</f>
        <v/>
      </c>
      <c r="H241" s="26" t="str">
        <f aca="false">IF(OR(B241="",NOT(ISNUMBER(DB_Colleges!AD235))),"",DB_Colleges!AD235)</f>
        <v/>
      </c>
      <c r="I241" s="29" t="str">
        <f aca="false">IF(B241="","",IF(COUNT(DB_Colleges!I235:O235)=0,IF(DB_Colleges!P235="Yes","Rolling","Check site"),MIN(DB_Colleges!I235:O235)))</f>
        <v/>
      </c>
      <c r="J241" s="26" t="str">
        <f aca="false">IF(OR(B241="",COUNT(DB_Colleges!I235:O235)=0),"",INDEX({"ED","ED II","EA","EA II","REA","RD","Priority"},MATCH(MIN(DB_Colleges!I235:O235),DB_Colleges!I235:O235,0)))</f>
        <v/>
      </c>
      <c r="K241" s="29" t="str">
        <f aca="false">IF(OR(B241="",NOT(ISNUMBER(DB_Colleges!N235))),"",DB_Colleges!N235)</f>
        <v/>
      </c>
      <c r="L241" s="26" t="str">
        <f aca="false">IF(B241="","",DB_Colleges!G235&amp;"")</f>
        <v/>
      </c>
      <c r="M241" s="30" t="str">
        <f aca="false">IF(OR(B241="",NOT(ISNUMBER(DB_Colleges!S235))),"",DB_Colleges!S235)</f>
        <v/>
      </c>
      <c r="N241" s="26" t="str">
        <f aca="false">IF(B241="","",DB_Colleges!U235&amp;"")</f>
        <v/>
      </c>
      <c r="O241" s="26" t="str">
        <f aca="false">IF(B241="","",IF(ISNUMBER(DB_Colleges!AH235),DB_Colleges!AH235,"Check"))</f>
        <v/>
      </c>
      <c r="P241" s="26" t="str">
        <f aca="false">IF(B241="","",DB_Colleges!W235&amp;"")</f>
        <v/>
      </c>
      <c r="Q241" s="30" t="str">
        <f aca="false">IF(OR(B241="",NOT(ISNUMBER(DB_Colleges!AF235))),"",DB_Colleges!AF235)</f>
        <v/>
      </c>
      <c r="R241" s="28" t="str">
        <f aca="false">IF(OR(B241="",NOT(ISNUMBER(DB_Colleges!AG235))),"",DB_Colleges!AG235)</f>
        <v/>
      </c>
      <c r="S241" s="26" t="str">
        <f aca="false">IF(B241="","",DB_Colleges!AK235&amp;"")</f>
        <v/>
      </c>
      <c r="T241" s="26" t="str">
        <f aca="false">IF(B241="","",DB_Colleges!AI235&amp;"")</f>
        <v/>
      </c>
      <c r="U241" s="1" t="str">
        <f aca="false">IF(AND(ISNUMBER($X$4),ISNUMBER(DB_Colleges!Z235),ISNUMBER(DB_Colleges!AA235)),IF($X$4&gt;=DB_Colleges!AA235,1,IF($X$4&lt;DB_Colleges!Z235,-1,0)),"")</f>
        <v/>
      </c>
      <c r="V241" s="1" t="str">
        <f aca="false">IF(AND(ISNUMBER($Y$4),ISNUMBER(DB_Colleges!AD235)),IF($Y$4&gt;=DB_Colleges!AD235+0.15,1,IF($Y$4&lt;DB_Colleges!AD235-0.2,-1,0)),"")</f>
        <v/>
      </c>
      <c r="W241" s="1" t="n">
        <f aca="false">IF(COUNT(U241:V241)=0,0,MIN(U241:V241))</f>
        <v>0</v>
      </c>
    </row>
    <row r="242" customFormat="false" ht="15" hidden="false" customHeight="true" outlineLevel="0" collapsed="false">
      <c r="A242" s="26" t="str">
        <f aca="false">IF(B242="","",IF(COUNTIF('My Colleges'!$B$8:$B$27,B242)&gt;0,"On list",""))</f>
        <v/>
      </c>
      <c r="B242" s="27" t="str">
        <f aca="false">IF(DB_Colleges!A236="","",DB_Colleges!A236)</f>
        <v/>
      </c>
      <c r="C242" s="26" t="str">
        <f aca="false">IF(B242="","",DB_Colleges!B236)</f>
        <v/>
      </c>
      <c r="D242" s="26" t="str">
        <f aca="false">IF(B242="","",DB_Colleges!C236&amp;", "&amp;DB_Colleges!D236)</f>
        <v/>
      </c>
      <c r="E242" s="26" t="str">
        <f aca="false">IF(B242="","",IF(AND(NOT(ISNUMBER($X$4)),NOT(ISNUMBER($Y$4))),"Add scores",IF(NOT(ISNUMBER(DB_Colleges!Y236)),IF(OR(C242="Ivy League",C242="Highly Selective"),"Reach",IF(COUNT(U242:V242)=0,"No data",CHOOSE(W242+2,"Reach","Target","Likely"))),IF(DB_Colleges!Y236&lt;0.15,"Reach",IF(DB_Colleges!Y236&gt;=0.75,IF(W242&gt;=0,"Likely","Target"),IF(DB_Colleges!Y236&gt;=0.4,CHOOSE(W242+2,"Reach","Target","Likely"),IF(W242=1,"Target","Reach")))))))</f>
        <v/>
      </c>
      <c r="F242" s="28" t="str">
        <f aca="false">IF(OR(B242="",NOT(ISNUMBER(DB_Colleges!Y236))),"",DB_Colleges!Y236)</f>
        <v/>
      </c>
      <c r="G242" s="26" t="str">
        <f aca="false">IF(OR(B242="",NOT(ISNUMBER(DB_Colleges!Z236))),"",DB_Colleges!Z236&amp;"-"&amp;DB_Colleges!AA236)</f>
        <v/>
      </c>
      <c r="H242" s="26" t="str">
        <f aca="false">IF(OR(B242="",NOT(ISNUMBER(DB_Colleges!AD236))),"",DB_Colleges!AD236)</f>
        <v/>
      </c>
      <c r="I242" s="29" t="str">
        <f aca="false">IF(B242="","",IF(COUNT(DB_Colleges!I236:O236)=0,IF(DB_Colleges!P236="Yes","Rolling","Check site"),MIN(DB_Colleges!I236:O236)))</f>
        <v/>
      </c>
      <c r="J242" s="26" t="str">
        <f aca="false">IF(OR(B242="",COUNT(DB_Colleges!I236:O236)=0),"",INDEX({"ED","ED II","EA","EA II","REA","RD","Priority"},MATCH(MIN(DB_Colleges!I236:O236),DB_Colleges!I236:O236,0)))</f>
        <v/>
      </c>
      <c r="K242" s="29" t="str">
        <f aca="false">IF(OR(B242="",NOT(ISNUMBER(DB_Colleges!N236))),"",DB_Colleges!N236)</f>
        <v/>
      </c>
      <c r="L242" s="26" t="str">
        <f aca="false">IF(B242="","",DB_Colleges!G236&amp;"")</f>
        <v/>
      </c>
      <c r="M242" s="30" t="str">
        <f aca="false">IF(OR(B242="",NOT(ISNUMBER(DB_Colleges!S236))),"",DB_Colleges!S236)</f>
        <v/>
      </c>
      <c r="N242" s="26" t="str">
        <f aca="false">IF(B242="","",DB_Colleges!U236&amp;"")</f>
        <v/>
      </c>
      <c r="O242" s="26" t="str">
        <f aca="false">IF(B242="","",IF(ISNUMBER(DB_Colleges!AH236),DB_Colleges!AH236,"Check"))</f>
        <v/>
      </c>
      <c r="P242" s="26" t="str">
        <f aca="false">IF(B242="","",DB_Colleges!W236&amp;"")</f>
        <v/>
      </c>
      <c r="Q242" s="30" t="str">
        <f aca="false">IF(OR(B242="",NOT(ISNUMBER(DB_Colleges!AF236))),"",DB_Colleges!AF236)</f>
        <v/>
      </c>
      <c r="R242" s="28" t="str">
        <f aca="false">IF(OR(B242="",NOT(ISNUMBER(DB_Colleges!AG236))),"",DB_Colleges!AG236)</f>
        <v/>
      </c>
      <c r="S242" s="26" t="str">
        <f aca="false">IF(B242="","",DB_Colleges!AK236&amp;"")</f>
        <v/>
      </c>
      <c r="T242" s="26" t="str">
        <f aca="false">IF(B242="","",DB_Colleges!AI236&amp;"")</f>
        <v/>
      </c>
      <c r="U242" s="1" t="str">
        <f aca="false">IF(AND(ISNUMBER($X$4),ISNUMBER(DB_Colleges!Z236),ISNUMBER(DB_Colleges!AA236)),IF($X$4&gt;=DB_Colleges!AA236,1,IF($X$4&lt;DB_Colleges!Z236,-1,0)),"")</f>
        <v/>
      </c>
      <c r="V242" s="1" t="str">
        <f aca="false">IF(AND(ISNUMBER($Y$4),ISNUMBER(DB_Colleges!AD236)),IF($Y$4&gt;=DB_Colleges!AD236+0.15,1,IF($Y$4&lt;DB_Colleges!AD236-0.2,-1,0)),"")</f>
        <v/>
      </c>
      <c r="W242" s="1" t="n">
        <f aca="false">IF(COUNT(U242:V242)=0,0,MIN(U242:V242))</f>
        <v>0</v>
      </c>
    </row>
    <row r="243" customFormat="false" ht="15" hidden="false" customHeight="true" outlineLevel="0" collapsed="false">
      <c r="A243" s="26" t="str">
        <f aca="false">IF(B243="","",IF(COUNTIF('My Colleges'!$B$8:$B$27,B243)&gt;0,"On list",""))</f>
        <v/>
      </c>
      <c r="B243" s="27" t="str">
        <f aca="false">IF(DB_Colleges!A237="","",DB_Colleges!A237)</f>
        <v/>
      </c>
      <c r="C243" s="26" t="str">
        <f aca="false">IF(B243="","",DB_Colleges!B237)</f>
        <v/>
      </c>
      <c r="D243" s="26" t="str">
        <f aca="false">IF(B243="","",DB_Colleges!C237&amp;", "&amp;DB_Colleges!D237)</f>
        <v/>
      </c>
      <c r="E243" s="26" t="str">
        <f aca="false">IF(B243="","",IF(AND(NOT(ISNUMBER($X$4)),NOT(ISNUMBER($Y$4))),"Add scores",IF(NOT(ISNUMBER(DB_Colleges!Y237)),IF(OR(C243="Ivy League",C243="Highly Selective"),"Reach",IF(COUNT(U243:V243)=0,"No data",CHOOSE(W243+2,"Reach","Target","Likely"))),IF(DB_Colleges!Y237&lt;0.15,"Reach",IF(DB_Colleges!Y237&gt;=0.75,IF(W243&gt;=0,"Likely","Target"),IF(DB_Colleges!Y237&gt;=0.4,CHOOSE(W243+2,"Reach","Target","Likely"),IF(W243=1,"Target","Reach")))))))</f>
        <v/>
      </c>
      <c r="F243" s="28" t="str">
        <f aca="false">IF(OR(B243="",NOT(ISNUMBER(DB_Colleges!Y237))),"",DB_Colleges!Y237)</f>
        <v/>
      </c>
      <c r="G243" s="26" t="str">
        <f aca="false">IF(OR(B243="",NOT(ISNUMBER(DB_Colleges!Z237))),"",DB_Colleges!Z237&amp;"-"&amp;DB_Colleges!AA237)</f>
        <v/>
      </c>
      <c r="H243" s="26" t="str">
        <f aca="false">IF(OR(B243="",NOT(ISNUMBER(DB_Colleges!AD237))),"",DB_Colleges!AD237)</f>
        <v/>
      </c>
      <c r="I243" s="29" t="str">
        <f aca="false">IF(B243="","",IF(COUNT(DB_Colleges!I237:O237)=0,IF(DB_Colleges!P237="Yes","Rolling","Check site"),MIN(DB_Colleges!I237:O237)))</f>
        <v/>
      </c>
      <c r="J243" s="26" t="str">
        <f aca="false">IF(OR(B243="",COUNT(DB_Colleges!I237:O237)=0),"",INDEX({"ED","ED II","EA","EA II","REA","RD","Priority"},MATCH(MIN(DB_Colleges!I237:O237),DB_Colleges!I237:O237,0)))</f>
        <v/>
      </c>
      <c r="K243" s="29" t="str">
        <f aca="false">IF(OR(B243="",NOT(ISNUMBER(DB_Colleges!N237))),"",DB_Colleges!N237)</f>
        <v/>
      </c>
      <c r="L243" s="26" t="str">
        <f aca="false">IF(B243="","",DB_Colleges!G237&amp;"")</f>
        <v/>
      </c>
      <c r="M243" s="30" t="str">
        <f aca="false">IF(OR(B243="",NOT(ISNUMBER(DB_Colleges!S237))),"",DB_Colleges!S237)</f>
        <v/>
      </c>
      <c r="N243" s="26" t="str">
        <f aca="false">IF(B243="","",DB_Colleges!U237&amp;"")</f>
        <v/>
      </c>
      <c r="O243" s="26" t="str">
        <f aca="false">IF(B243="","",IF(ISNUMBER(DB_Colleges!AH237),DB_Colleges!AH237,"Check"))</f>
        <v/>
      </c>
      <c r="P243" s="26" t="str">
        <f aca="false">IF(B243="","",DB_Colleges!W237&amp;"")</f>
        <v/>
      </c>
      <c r="Q243" s="30" t="str">
        <f aca="false">IF(OR(B243="",NOT(ISNUMBER(DB_Colleges!AF237))),"",DB_Colleges!AF237)</f>
        <v/>
      </c>
      <c r="R243" s="28" t="str">
        <f aca="false">IF(OR(B243="",NOT(ISNUMBER(DB_Colleges!AG237))),"",DB_Colleges!AG237)</f>
        <v/>
      </c>
      <c r="S243" s="26" t="str">
        <f aca="false">IF(B243="","",DB_Colleges!AK237&amp;"")</f>
        <v/>
      </c>
      <c r="T243" s="26" t="str">
        <f aca="false">IF(B243="","",DB_Colleges!AI237&amp;"")</f>
        <v/>
      </c>
      <c r="U243" s="1" t="str">
        <f aca="false">IF(AND(ISNUMBER($X$4),ISNUMBER(DB_Colleges!Z237),ISNUMBER(DB_Colleges!AA237)),IF($X$4&gt;=DB_Colleges!AA237,1,IF($X$4&lt;DB_Colleges!Z237,-1,0)),"")</f>
        <v/>
      </c>
      <c r="V243" s="1" t="str">
        <f aca="false">IF(AND(ISNUMBER($Y$4),ISNUMBER(DB_Colleges!AD237)),IF($Y$4&gt;=DB_Colleges!AD237+0.15,1,IF($Y$4&lt;DB_Colleges!AD237-0.2,-1,0)),"")</f>
        <v/>
      </c>
      <c r="W243" s="1" t="n">
        <f aca="false">IF(COUNT(U243:V243)=0,0,MIN(U243:V243))</f>
        <v>0</v>
      </c>
    </row>
    <row r="244" customFormat="false" ht="15" hidden="false" customHeight="true" outlineLevel="0" collapsed="false">
      <c r="A244" s="26" t="str">
        <f aca="false">IF(B244="","",IF(COUNTIF('My Colleges'!$B$8:$B$27,B244)&gt;0,"On list",""))</f>
        <v/>
      </c>
      <c r="B244" s="27" t="str">
        <f aca="false">IF(DB_Colleges!A238="","",DB_Colleges!A238)</f>
        <v/>
      </c>
      <c r="C244" s="26" t="str">
        <f aca="false">IF(B244="","",DB_Colleges!B238)</f>
        <v/>
      </c>
      <c r="D244" s="26" t="str">
        <f aca="false">IF(B244="","",DB_Colleges!C238&amp;", "&amp;DB_Colleges!D238)</f>
        <v/>
      </c>
      <c r="E244" s="26" t="str">
        <f aca="false">IF(B244="","",IF(AND(NOT(ISNUMBER($X$4)),NOT(ISNUMBER($Y$4))),"Add scores",IF(NOT(ISNUMBER(DB_Colleges!Y238)),IF(OR(C244="Ivy League",C244="Highly Selective"),"Reach",IF(COUNT(U244:V244)=0,"No data",CHOOSE(W244+2,"Reach","Target","Likely"))),IF(DB_Colleges!Y238&lt;0.15,"Reach",IF(DB_Colleges!Y238&gt;=0.75,IF(W244&gt;=0,"Likely","Target"),IF(DB_Colleges!Y238&gt;=0.4,CHOOSE(W244+2,"Reach","Target","Likely"),IF(W244=1,"Target","Reach")))))))</f>
        <v/>
      </c>
      <c r="F244" s="28" t="str">
        <f aca="false">IF(OR(B244="",NOT(ISNUMBER(DB_Colleges!Y238))),"",DB_Colleges!Y238)</f>
        <v/>
      </c>
      <c r="G244" s="26" t="str">
        <f aca="false">IF(OR(B244="",NOT(ISNUMBER(DB_Colleges!Z238))),"",DB_Colleges!Z238&amp;"-"&amp;DB_Colleges!AA238)</f>
        <v/>
      </c>
      <c r="H244" s="26" t="str">
        <f aca="false">IF(OR(B244="",NOT(ISNUMBER(DB_Colleges!AD238))),"",DB_Colleges!AD238)</f>
        <v/>
      </c>
      <c r="I244" s="29" t="str">
        <f aca="false">IF(B244="","",IF(COUNT(DB_Colleges!I238:O238)=0,IF(DB_Colleges!P238="Yes","Rolling","Check site"),MIN(DB_Colleges!I238:O238)))</f>
        <v/>
      </c>
      <c r="J244" s="26" t="str">
        <f aca="false">IF(OR(B244="",COUNT(DB_Colleges!I238:O238)=0),"",INDEX({"ED","ED II","EA","EA II","REA","RD","Priority"},MATCH(MIN(DB_Colleges!I238:O238),DB_Colleges!I238:O238,0)))</f>
        <v/>
      </c>
      <c r="K244" s="29" t="str">
        <f aca="false">IF(OR(B244="",NOT(ISNUMBER(DB_Colleges!N238))),"",DB_Colleges!N238)</f>
        <v/>
      </c>
      <c r="L244" s="26" t="str">
        <f aca="false">IF(B244="","",DB_Colleges!G238&amp;"")</f>
        <v/>
      </c>
      <c r="M244" s="30" t="str">
        <f aca="false">IF(OR(B244="",NOT(ISNUMBER(DB_Colleges!S238))),"",DB_Colleges!S238)</f>
        <v/>
      </c>
      <c r="N244" s="26" t="str">
        <f aca="false">IF(B244="","",DB_Colleges!U238&amp;"")</f>
        <v/>
      </c>
      <c r="O244" s="26" t="str">
        <f aca="false">IF(B244="","",IF(ISNUMBER(DB_Colleges!AH238),DB_Colleges!AH238,"Check"))</f>
        <v/>
      </c>
      <c r="P244" s="26" t="str">
        <f aca="false">IF(B244="","",DB_Colleges!W238&amp;"")</f>
        <v/>
      </c>
      <c r="Q244" s="30" t="str">
        <f aca="false">IF(OR(B244="",NOT(ISNUMBER(DB_Colleges!AF238))),"",DB_Colleges!AF238)</f>
        <v/>
      </c>
      <c r="R244" s="28" t="str">
        <f aca="false">IF(OR(B244="",NOT(ISNUMBER(DB_Colleges!AG238))),"",DB_Colleges!AG238)</f>
        <v/>
      </c>
      <c r="S244" s="26" t="str">
        <f aca="false">IF(B244="","",DB_Colleges!AK238&amp;"")</f>
        <v/>
      </c>
      <c r="T244" s="26" t="str">
        <f aca="false">IF(B244="","",DB_Colleges!AI238&amp;"")</f>
        <v/>
      </c>
      <c r="U244" s="1" t="str">
        <f aca="false">IF(AND(ISNUMBER($X$4),ISNUMBER(DB_Colleges!Z238),ISNUMBER(DB_Colleges!AA238)),IF($X$4&gt;=DB_Colleges!AA238,1,IF($X$4&lt;DB_Colleges!Z238,-1,0)),"")</f>
        <v/>
      </c>
      <c r="V244" s="1" t="str">
        <f aca="false">IF(AND(ISNUMBER($Y$4),ISNUMBER(DB_Colleges!AD238)),IF($Y$4&gt;=DB_Colleges!AD238+0.15,1,IF($Y$4&lt;DB_Colleges!AD238-0.2,-1,0)),"")</f>
        <v/>
      </c>
      <c r="W244" s="1" t="n">
        <f aca="false">IF(COUNT(U244:V244)=0,0,MIN(U244:V244))</f>
        <v>0</v>
      </c>
    </row>
    <row r="245" customFormat="false" ht="15" hidden="false" customHeight="true" outlineLevel="0" collapsed="false">
      <c r="A245" s="26" t="str">
        <f aca="false">IF(B245="","",IF(COUNTIF('My Colleges'!$B$8:$B$27,B245)&gt;0,"On list",""))</f>
        <v/>
      </c>
      <c r="B245" s="27" t="str">
        <f aca="false">IF(DB_Colleges!A239="","",DB_Colleges!A239)</f>
        <v/>
      </c>
      <c r="C245" s="26" t="str">
        <f aca="false">IF(B245="","",DB_Colleges!B239)</f>
        <v/>
      </c>
      <c r="D245" s="26" t="str">
        <f aca="false">IF(B245="","",DB_Colleges!C239&amp;", "&amp;DB_Colleges!D239)</f>
        <v/>
      </c>
      <c r="E245" s="26" t="str">
        <f aca="false">IF(B245="","",IF(AND(NOT(ISNUMBER($X$4)),NOT(ISNUMBER($Y$4))),"Add scores",IF(NOT(ISNUMBER(DB_Colleges!Y239)),IF(OR(C245="Ivy League",C245="Highly Selective"),"Reach",IF(COUNT(U245:V245)=0,"No data",CHOOSE(W245+2,"Reach","Target","Likely"))),IF(DB_Colleges!Y239&lt;0.15,"Reach",IF(DB_Colleges!Y239&gt;=0.75,IF(W245&gt;=0,"Likely","Target"),IF(DB_Colleges!Y239&gt;=0.4,CHOOSE(W245+2,"Reach","Target","Likely"),IF(W245=1,"Target","Reach")))))))</f>
        <v/>
      </c>
      <c r="F245" s="28" t="str">
        <f aca="false">IF(OR(B245="",NOT(ISNUMBER(DB_Colleges!Y239))),"",DB_Colleges!Y239)</f>
        <v/>
      </c>
      <c r="G245" s="26" t="str">
        <f aca="false">IF(OR(B245="",NOT(ISNUMBER(DB_Colleges!Z239))),"",DB_Colleges!Z239&amp;"-"&amp;DB_Colleges!AA239)</f>
        <v/>
      </c>
      <c r="H245" s="26" t="str">
        <f aca="false">IF(OR(B245="",NOT(ISNUMBER(DB_Colleges!AD239))),"",DB_Colleges!AD239)</f>
        <v/>
      </c>
      <c r="I245" s="29" t="str">
        <f aca="false">IF(B245="","",IF(COUNT(DB_Colleges!I239:O239)=0,IF(DB_Colleges!P239="Yes","Rolling","Check site"),MIN(DB_Colleges!I239:O239)))</f>
        <v/>
      </c>
      <c r="J245" s="26" t="str">
        <f aca="false">IF(OR(B245="",COUNT(DB_Colleges!I239:O239)=0),"",INDEX({"ED","ED II","EA","EA II","REA","RD","Priority"},MATCH(MIN(DB_Colleges!I239:O239),DB_Colleges!I239:O239,0)))</f>
        <v/>
      </c>
      <c r="K245" s="29" t="str">
        <f aca="false">IF(OR(B245="",NOT(ISNUMBER(DB_Colleges!N239))),"",DB_Colleges!N239)</f>
        <v/>
      </c>
      <c r="L245" s="26" t="str">
        <f aca="false">IF(B245="","",DB_Colleges!G239&amp;"")</f>
        <v/>
      </c>
      <c r="M245" s="30" t="str">
        <f aca="false">IF(OR(B245="",NOT(ISNUMBER(DB_Colleges!S239))),"",DB_Colleges!S239)</f>
        <v/>
      </c>
      <c r="N245" s="26" t="str">
        <f aca="false">IF(B245="","",DB_Colleges!U239&amp;"")</f>
        <v/>
      </c>
      <c r="O245" s="26" t="str">
        <f aca="false">IF(B245="","",IF(ISNUMBER(DB_Colleges!AH239),DB_Colleges!AH239,"Check"))</f>
        <v/>
      </c>
      <c r="P245" s="26" t="str">
        <f aca="false">IF(B245="","",DB_Colleges!W239&amp;"")</f>
        <v/>
      </c>
      <c r="Q245" s="30" t="str">
        <f aca="false">IF(OR(B245="",NOT(ISNUMBER(DB_Colleges!AF239))),"",DB_Colleges!AF239)</f>
        <v/>
      </c>
      <c r="R245" s="28" t="str">
        <f aca="false">IF(OR(B245="",NOT(ISNUMBER(DB_Colleges!AG239))),"",DB_Colleges!AG239)</f>
        <v/>
      </c>
      <c r="S245" s="26" t="str">
        <f aca="false">IF(B245="","",DB_Colleges!AK239&amp;"")</f>
        <v/>
      </c>
      <c r="T245" s="26" t="str">
        <f aca="false">IF(B245="","",DB_Colleges!AI239&amp;"")</f>
        <v/>
      </c>
      <c r="U245" s="1" t="str">
        <f aca="false">IF(AND(ISNUMBER($X$4),ISNUMBER(DB_Colleges!Z239),ISNUMBER(DB_Colleges!AA239)),IF($X$4&gt;=DB_Colleges!AA239,1,IF($X$4&lt;DB_Colleges!Z239,-1,0)),"")</f>
        <v/>
      </c>
      <c r="V245" s="1" t="str">
        <f aca="false">IF(AND(ISNUMBER($Y$4),ISNUMBER(DB_Colleges!AD239)),IF($Y$4&gt;=DB_Colleges!AD239+0.15,1,IF($Y$4&lt;DB_Colleges!AD239-0.2,-1,0)),"")</f>
        <v/>
      </c>
      <c r="W245" s="1" t="n">
        <f aca="false">IF(COUNT(U245:V245)=0,0,MIN(U245:V245))</f>
        <v>0</v>
      </c>
    </row>
    <row r="246" customFormat="false" ht="15" hidden="false" customHeight="true" outlineLevel="0" collapsed="false">
      <c r="A246" s="26" t="str">
        <f aca="false">IF(B246="","",IF(COUNTIF('My Colleges'!$B$8:$B$27,B246)&gt;0,"On list",""))</f>
        <v/>
      </c>
      <c r="B246" s="27" t="str">
        <f aca="false">IF(DB_Colleges!A240="","",DB_Colleges!A240)</f>
        <v/>
      </c>
      <c r="C246" s="26" t="str">
        <f aca="false">IF(B246="","",DB_Colleges!B240)</f>
        <v/>
      </c>
      <c r="D246" s="26" t="str">
        <f aca="false">IF(B246="","",DB_Colleges!C240&amp;", "&amp;DB_Colleges!D240)</f>
        <v/>
      </c>
      <c r="E246" s="26" t="str">
        <f aca="false">IF(B246="","",IF(AND(NOT(ISNUMBER($X$4)),NOT(ISNUMBER($Y$4))),"Add scores",IF(NOT(ISNUMBER(DB_Colleges!Y240)),IF(OR(C246="Ivy League",C246="Highly Selective"),"Reach",IF(COUNT(U246:V246)=0,"No data",CHOOSE(W246+2,"Reach","Target","Likely"))),IF(DB_Colleges!Y240&lt;0.15,"Reach",IF(DB_Colleges!Y240&gt;=0.75,IF(W246&gt;=0,"Likely","Target"),IF(DB_Colleges!Y240&gt;=0.4,CHOOSE(W246+2,"Reach","Target","Likely"),IF(W246=1,"Target","Reach")))))))</f>
        <v/>
      </c>
      <c r="F246" s="28" t="str">
        <f aca="false">IF(OR(B246="",NOT(ISNUMBER(DB_Colleges!Y240))),"",DB_Colleges!Y240)</f>
        <v/>
      </c>
      <c r="G246" s="26" t="str">
        <f aca="false">IF(OR(B246="",NOT(ISNUMBER(DB_Colleges!Z240))),"",DB_Colleges!Z240&amp;"-"&amp;DB_Colleges!AA240)</f>
        <v/>
      </c>
      <c r="H246" s="26" t="str">
        <f aca="false">IF(OR(B246="",NOT(ISNUMBER(DB_Colleges!AD240))),"",DB_Colleges!AD240)</f>
        <v/>
      </c>
      <c r="I246" s="29" t="str">
        <f aca="false">IF(B246="","",IF(COUNT(DB_Colleges!I240:O240)=0,IF(DB_Colleges!P240="Yes","Rolling","Check site"),MIN(DB_Colleges!I240:O240)))</f>
        <v/>
      </c>
      <c r="J246" s="26" t="str">
        <f aca="false">IF(OR(B246="",COUNT(DB_Colleges!I240:O240)=0),"",INDEX({"ED","ED II","EA","EA II","REA","RD","Priority"},MATCH(MIN(DB_Colleges!I240:O240),DB_Colleges!I240:O240,0)))</f>
        <v/>
      </c>
      <c r="K246" s="29" t="str">
        <f aca="false">IF(OR(B246="",NOT(ISNUMBER(DB_Colleges!N240))),"",DB_Colleges!N240)</f>
        <v/>
      </c>
      <c r="L246" s="26" t="str">
        <f aca="false">IF(B246="","",DB_Colleges!G240&amp;"")</f>
        <v/>
      </c>
      <c r="M246" s="30" t="str">
        <f aca="false">IF(OR(B246="",NOT(ISNUMBER(DB_Colleges!S240))),"",DB_Colleges!S240)</f>
        <v/>
      </c>
      <c r="N246" s="26" t="str">
        <f aca="false">IF(B246="","",DB_Colleges!U240&amp;"")</f>
        <v/>
      </c>
      <c r="O246" s="26" t="str">
        <f aca="false">IF(B246="","",IF(ISNUMBER(DB_Colleges!AH240),DB_Colleges!AH240,"Check"))</f>
        <v/>
      </c>
      <c r="P246" s="26" t="str">
        <f aca="false">IF(B246="","",DB_Colleges!W240&amp;"")</f>
        <v/>
      </c>
      <c r="Q246" s="30" t="str">
        <f aca="false">IF(OR(B246="",NOT(ISNUMBER(DB_Colleges!AF240))),"",DB_Colleges!AF240)</f>
        <v/>
      </c>
      <c r="R246" s="28" t="str">
        <f aca="false">IF(OR(B246="",NOT(ISNUMBER(DB_Colleges!AG240))),"",DB_Colleges!AG240)</f>
        <v/>
      </c>
      <c r="S246" s="26" t="str">
        <f aca="false">IF(B246="","",DB_Colleges!AK240&amp;"")</f>
        <v/>
      </c>
      <c r="T246" s="26" t="str">
        <f aca="false">IF(B246="","",DB_Colleges!AI240&amp;"")</f>
        <v/>
      </c>
      <c r="U246" s="1" t="str">
        <f aca="false">IF(AND(ISNUMBER($X$4),ISNUMBER(DB_Colleges!Z240),ISNUMBER(DB_Colleges!AA240)),IF($X$4&gt;=DB_Colleges!AA240,1,IF($X$4&lt;DB_Colleges!Z240,-1,0)),"")</f>
        <v/>
      </c>
      <c r="V246" s="1" t="str">
        <f aca="false">IF(AND(ISNUMBER($Y$4),ISNUMBER(DB_Colleges!AD240)),IF($Y$4&gt;=DB_Colleges!AD240+0.15,1,IF($Y$4&lt;DB_Colleges!AD240-0.2,-1,0)),"")</f>
        <v/>
      </c>
      <c r="W246" s="1" t="n">
        <f aca="false">IF(COUNT(U246:V246)=0,0,MIN(U246:V246))</f>
        <v>0</v>
      </c>
    </row>
    <row r="247" customFormat="false" ht="15" hidden="false" customHeight="true" outlineLevel="0" collapsed="false">
      <c r="A247" s="26" t="str">
        <f aca="false">IF(B247="","",IF(COUNTIF('My Colleges'!$B$8:$B$27,B247)&gt;0,"On list",""))</f>
        <v/>
      </c>
      <c r="B247" s="27" t="str">
        <f aca="false">IF(DB_Colleges!A241="","",DB_Colleges!A241)</f>
        <v/>
      </c>
      <c r="C247" s="26" t="str">
        <f aca="false">IF(B247="","",DB_Colleges!B241)</f>
        <v/>
      </c>
      <c r="D247" s="26" t="str">
        <f aca="false">IF(B247="","",DB_Colleges!C241&amp;", "&amp;DB_Colleges!D241)</f>
        <v/>
      </c>
      <c r="E247" s="26" t="str">
        <f aca="false">IF(B247="","",IF(AND(NOT(ISNUMBER($X$4)),NOT(ISNUMBER($Y$4))),"Add scores",IF(NOT(ISNUMBER(DB_Colleges!Y241)),IF(OR(C247="Ivy League",C247="Highly Selective"),"Reach",IF(COUNT(U247:V247)=0,"No data",CHOOSE(W247+2,"Reach","Target","Likely"))),IF(DB_Colleges!Y241&lt;0.15,"Reach",IF(DB_Colleges!Y241&gt;=0.75,IF(W247&gt;=0,"Likely","Target"),IF(DB_Colleges!Y241&gt;=0.4,CHOOSE(W247+2,"Reach","Target","Likely"),IF(W247=1,"Target","Reach")))))))</f>
        <v/>
      </c>
      <c r="F247" s="28" t="str">
        <f aca="false">IF(OR(B247="",NOT(ISNUMBER(DB_Colleges!Y241))),"",DB_Colleges!Y241)</f>
        <v/>
      </c>
      <c r="G247" s="26" t="str">
        <f aca="false">IF(OR(B247="",NOT(ISNUMBER(DB_Colleges!Z241))),"",DB_Colleges!Z241&amp;"-"&amp;DB_Colleges!AA241)</f>
        <v/>
      </c>
      <c r="H247" s="26" t="str">
        <f aca="false">IF(OR(B247="",NOT(ISNUMBER(DB_Colleges!AD241))),"",DB_Colleges!AD241)</f>
        <v/>
      </c>
      <c r="I247" s="29" t="str">
        <f aca="false">IF(B247="","",IF(COUNT(DB_Colleges!I241:O241)=0,IF(DB_Colleges!P241="Yes","Rolling","Check site"),MIN(DB_Colleges!I241:O241)))</f>
        <v/>
      </c>
      <c r="J247" s="26" t="str">
        <f aca="false">IF(OR(B247="",COUNT(DB_Colleges!I241:O241)=0),"",INDEX({"ED","ED II","EA","EA II","REA","RD","Priority"},MATCH(MIN(DB_Colleges!I241:O241),DB_Colleges!I241:O241,0)))</f>
        <v/>
      </c>
      <c r="K247" s="29" t="str">
        <f aca="false">IF(OR(B247="",NOT(ISNUMBER(DB_Colleges!N241))),"",DB_Colleges!N241)</f>
        <v/>
      </c>
      <c r="L247" s="26" t="str">
        <f aca="false">IF(B247="","",DB_Colleges!G241&amp;"")</f>
        <v/>
      </c>
      <c r="M247" s="30" t="str">
        <f aca="false">IF(OR(B247="",NOT(ISNUMBER(DB_Colleges!S241))),"",DB_Colleges!S241)</f>
        <v/>
      </c>
      <c r="N247" s="26" t="str">
        <f aca="false">IF(B247="","",DB_Colleges!U241&amp;"")</f>
        <v/>
      </c>
      <c r="O247" s="26" t="str">
        <f aca="false">IF(B247="","",IF(ISNUMBER(DB_Colleges!AH241),DB_Colleges!AH241,"Check"))</f>
        <v/>
      </c>
      <c r="P247" s="26" t="str">
        <f aca="false">IF(B247="","",DB_Colleges!W241&amp;"")</f>
        <v/>
      </c>
      <c r="Q247" s="30" t="str">
        <f aca="false">IF(OR(B247="",NOT(ISNUMBER(DB_Colleges!AF241))),"",DB_Colleges!AF241)</f>
        <v/>
      </c>
      <c r="R247" s="28" t="str">
        <f aca="false">IF(OR(B247="",NOT(ISNUMBER(DB_Colleges!AG241))),"",DB_Colleges!AG241)</f>
        <v/>
      </c>
      <c r="S247" s="26" t="str">
        <f aca="false">IF(B247="","",DB_Colleges!AK241&amp;"")</f>
        <v/>
      </c>
      <c r="T247" s="26" t="str">
        <f aca="false">IF(B247="","",DB_Colleges!AI241&amp;"")</f>
        <v/>
      </c>
      <c r="U247" s="1" t="str">
        <f aca="false">IF(AND(ISNUMBER($X$4),ISNUMBER(DB_Colleges!Z241),ISNUMBER(DB_Colleges!AA241)),IF($X$4&gt;=DB_Colleges!AA241,1,IF($X$4&lt;DB_Colleges!Z241,-1,0)),"")</f>
        <v/>
      </c>
      <c r="V247" s="1" t="str">
        <f aca="false">IF(AND(ISNUMBER($Y$4),ISNUMBER(DB_Colleges!AD241)),IF($Y$4&gt;=DB_Colleges!AD241+0.15,1,IF($Y$4&lt;DB_Colleges!AD241-0.2,-1,0)),"")</f>
        <v/>
      </c>
      <c r="W247" s="1" t="n">
        <f aca="false">IF(COUNT(U247:V247)=0,0,MIN(U247:V247))</f>
        <v>0</v>
      </c>
    </row>
    <row r="248" customFormat="false" ht="15" hidden="false" customHeight="true" outlineLevel="0" collapsed="false">
      <c r="A248" s="26" t="str">
        <f aca="false">IF(B248="","",IF(COUNTIF('My Colleges'!$B$8:$B$27,B248)&gt;0,"On list",""))</f>
        <v/>
      </c>
      <c r="B248" s="27" t="str">
        <f aca="false">IF(DB_Colleges!A242="","",DB_Colleges!A242)</f>
        <v/>
      </c>
      <c r="C248" s="26" t="str">
        <f aca="false">IF(B248="","",DB_Colleges!B242)</f>
        <v/>
      </c>
      <c r="D248" s="26" t="str">
        <f aca="false">IF(B248="","",DB_Colleges!C242&amp;", "&amp;DB_Colleges!D242)</f>
        <v/>
      </c>
      <c r="E248" s="26" t="str">
        <f aca="false">IF(B248="","",IF(AND(NOT(ISNUMBER($X$4)),NOT(ISNUMBER($Y$4))),"Add scores",IF(NOT(ISNUMBER(DB_Colleges!Y242)),IF(OR(C248="Ivy League",C248="Highly Selective"),"Reach",IF(COUNT(U248:V248)=0,"No data",CHOOSE(W248+2,"Reach","Target","Likely"))),IF(DB_Colleges!Y242&lt;0.15,"Reach",IF(DB_Colleges!Y242&gt;=0.75,IF(W248&gt;=0,"Likely","Target"),IF(DB_Colleges!Y242&gt;=0.4,CHOOSE(W248+2,"Reach","Target","Likely"),IF(W248=1,"Target","Reach")))))))</f>
        <v/>
      </c>
      <c r="F248" s="28" t="str">
        <f aca="false">IF(OR(B248="",NOT(ISNUMBER(DB_Colleges!Y242))),"",DB_Colleges!Y242)</f>
        <v/>
      </c>
      <c r="G248" s="26" t="str">
        <f aca="false">IF(OR(B248="",NOT(ISNUMBER(DB_Colleges!Z242))),"",DB_Colleges!Z242&amp;"-"&amp;DB_Colleges!AA242)</f>
        <v/>
      </c>
      <c r="H248" s="26" t="str">
        <f aca="false">IF(OR(B248="",NOT(ISNUMBER(DB_Colleges!AD242))),"",DB_Colleges!AD242)</f>
        <v/>
      </c>
      <c r="I248" s="29" t="str">
        <f aca="false">IF(B248="","",IF(COUNT(DB_Colleges!I242:O242)=0,IF(DB_Colleges!P242="Yes","Rolling","Check site"),MIN(DB_Colleges!I242:O242)))</f>
        <v/>
      </c>
      <c r="J248" s="26" t="str">
        <f aca="false">IF(OR(B248="",COUNT(DB_Colleges!I242:O242)=0),"",INDEX({"ED","ED II","EA","EA II","REA","RD","Priority"},MATCH(MIN(DB_Colleges!I242:O242),DB_Colleges!I242:O242,0)))</f>
        <v/>
      </c>
      <c r="K248" s="29" t="str">
        <f aca="false">IF(OR(B248="",NOT(ISNUMBER(DB_Colleges!N242))),"",DB_Colleges!N242)</f>
        <v/>
      </c>
      <c r="L248" s="26" t="str">
        <f aca="false">IF(B248="","",DB_Colleges!G242&amp;"")</f>
        <v/>
      </c>
      <c r="M248" s="30" t="str">
        <f aca="false">IF(OR(B248="",NOT(ISNUMBER(DB_Colleges!S242))),"",DB_Colleges!S242)</f>
        <v/>
      </c>
      <c r="N248" s="26" t="str">
        <f aca="false">IF(B248="","",DB_Colleges!U242&amp;"")</f>
        <v/>
      </c>
      <c r="O248" s="26" t="str">
        <f aca="false">IF(B248="","",IF(ISNUMBER(DB_Colleges!AH242),DB_Colleges!AH242,"Check"))</f>
        <v/>
      </c>
      <c r="P248" s="26" t="str">
        <f aca="false">IF(B248="","",DB_Colleges!W242&amp;"")</f>
        <v/>
      </c>
      <c r="Q248" s="30" t="str">
        <f aca="false">IF(OR(B248="",NOT(ISNUMBER(DB_Colleges!AF242))),"",DB_Colleges!AF242)</f>
        <v/>
      </c>
      <c r="R248" s="28" t="str">
        <f aca="false">IF(OR(B248="",NOT(ISNUMBER(DB_Colleges!AG242))),"",DB_Colleges!AG242)</f>
        <v/>
      </c>
      <c r="S248" s="26" t="str">
        <f aca="false">IF(B248="","",DB_Colleges!AK242&amp;"")</f>
        <v/>
      </c>
      <c r="T248" s="26" t="str">
        <f aca="false">IF(B248="","",DB_Colleges!AI242&amp;"")</f>
        <v/>
      </c>
      <c r="U248" s="1" t="str">
        <f aca="false">IF(AND(ISNUMBER($X$4),ISNUMBER(DB_Colleges!Z242),ISNUMBER(DB_Colleges!AA242)),IF($X$4&gt;=DB_Colleges!AA242,1,IF($X$4&lt;DB_Colleges!Z242,-1,0)),"")</f>
        <v/>
      </c>
      <c r="V248" s="1" t="str">
        <f aca="false">IF(AND(ISNUMBER($Y$4),ISNUMBER(DB_Colleges!AD242)),IF($Y$4&gt;=DB_Colleges!AD242+0.15,1,IF($Y$4&lt;DB_Colleges!AD242-0.2,-1,0)),"")</f>
        <v/>
      </c>
      <c r="W248" s="1" t="n">
        <f aca="false">IF(COUNT(U248:V248)=0,0,MIN(U248:V248))</f>
        <v>0</v>
      </c>
    </row>
    <row r="249" customFormat="false" ht="15" hidden="false" customHeight="true" outlineLevel="0" collapsed="false">
      <c r="A249" s="26" t="str">
        <f aca="false">IF(B249="","",IF(COUNTIF('My Colleges'!$B$8:$B$27,B249)&gt;0,"On list",""))</f>
        <v/>
      </c>
      <c r="B249" s="27" t="str">
        <f aca="false">IF(DB_Colleges!A243="","",DB_Colleges!A243)</f>
        <v/>
      </c>
      <c r="C249" s="26" t="str">
        <f aca="false">IF(B249="","",DB_Colleges!B243)</f>
        <v/>
      </c>
      <c r="D249" s="26" t="str">
        <f aca="false">IF(B249="","",DB_Colleges!C243&amp;", "&amp;DB_Colleges!D243)</f>
        <v/>
      </c>
      <c r="E249" s="26" t="str">
        <f aca="false">IF(B249="","",IF(AND(NOT(ISNUMBER($X$4)),NOT(ISNUMBER($Y$4))),"Add scores",IF(NOT(ISNUMBER(DB_Colleges!Y243)),IF(OR(C249="Ivy League",C249="Highly Selective"),"Reach",IF(COUNT(U249:V249)=0,"No data",CHOOSE(W249+2,"Reach","Target","Likely"))),IF(DB_Colleges!Y243&lt;0.15,"Reach",IF(DB_Colleges!Y243&gt;=0.75,IF(W249&gt;=0,"Likely","Target"),IF(DB_Colleges!Y243&gt;=0.4,CHOOSE(W249+2,"Reach","Target","Likely"),IF(W249=1,"Target","Reach")))))))</f>
        <v/>
      </c>
      <c r="F249" s="28" t="str">
        <f aca="false">IF(OR(B249="",NOT(ISNUMBER(DB_Colleges!Y243))),"",DB_Colleges!Y243)</f>
        <v/>
      </c>
      <c r="G249" s="26" t="str">
        <f aca="false">IF(OR(B249="",NOT(ISNUMBER(DB_Colleges!Z243))),"",DB_Colleges!Z243&amp;"-"&amp;DB_Colleges!AA243)</f>
        <v/>
      </c>
      <c r="H249" s="26" t="str">
        <f aca="false">IF(OR(B249="",NOT(ISNUMBER(DB_Colleges!AD243))),"",DB_Colleges!AD243)</f>
        <v/>
      </c>
      <c r="I249" s="29" t="str">
        <f aca="false">IF(B249="","",IF(COUNT(DB_Colleges!I243:O243)=0,IF(DB_Colleges!P243="Yes","Rolling","Check site"),MIN(DB_Colleges!I243:O243)))</f>
        <v/>
      </c>
      <c r="J249" s="26" t="str">
        <f aca="false">IF(OR(B249="",COUNT(DB_Colleges!I243:O243)=0),"",INDEX({"ED","ED II","EA","EA II","REA","RD","Priority"},MATCH(MIN(DB_Colleges!I243:O243),DB_Colleges!I243:O243,0)))</f>
        <v/>
      </c>
      <c r="K249" s="29" t="str">
        <f aca="false">IF(OR(B249="",NOT(ISNUMBER(DB_Colleges!N243))),"",DB_Colleges!N243)</f>
        <v/>
      </c>
      <c r="L249" s="26" t="str">
        <f aca="false">IF(B249="","",DB_Colleges!G243&amp;"")</f>
        <v/>
      </c>
      <c r="M249" s="30" t="str">
        <f aca="false">IF(OR(B249="",NOT(ISNUMBER(DB_Colleges!S243))),"",DB_Colleges!S243)</f>
        <v/>
      </c>
      <c r="N249" s="26" t="str">
        <f aca="false">IF(B249="","",DB_Colleges!U243&amp;"")</f>
        <v/>
      </c>
      <c r="O249" s="26" t="str">
        <f aca="false">IF(B249="","",IF(ISNUMBER(DB_Colleges!AH243),DB_Colleges!AH243,"Check"))</f>
        <v/>
      </c>
      <c r="P249" s="26" t="str">
        <f aca="false">IF(B249="","",DB_Colleges!W243&amp;"")</f>
        <v/>
      </c>
      <c r="Q249" s="30" t="str">
        <f aca="false">IF(OR(B249="",NOT(ISNUMBER(DB_Colleges!AF243))),"",DB_Colleges!AF243)</f>
        <v/>
      </c>
      <c r="R249" s="28" t="str">
        <f aca="false">IF(OR(B249="",NOT(ISNUMBER(DB_Colleges!AG243))),"",DB_Colleges!AG243)</f>
        <v/>
      </c>
      <c r="S249" s="26" t="str">
        <f aca="false">IF(B249="","",DB_Colleges!AK243&amp;"")</f>
        <v/>
      </c>
      <c r="T249" s="26" t="str">
        <f aca="false">IF(B249="","",DB_Colleges!AI243&amp;"")</f>
        <v/>
      </c>
      <c r="U249" s="1" t="str">
        <f aca="false">IF(AND(ISNUMBER($X$4),ISNUMBER(DB_Colleges!Z243),ISNUMBER(DB_Colleges!AA243)),IF($X$4&gt;=DB_Colleges!AA243,1,IF($X$4&lt;DB_Colleges!Z243,-1,0)),"")</f>
        <v/>
      </c>
      <c r="V249" s="1" t="str">
        <f aca="false">IF(AND(ISNUMBER($Y$4),ISNUMBER(DB_Colleges!AD243)),IF($Y$4&gt;=DB_Colleges!AD243+0.15,1,IF($Y$4&lt;DB_Colleges!AD243-0.2,-1,0)),"")</f>
        <v/>
      </c>
      <c r="W249" s="1" t="n">
        <f aca="false">IF(COUNT(U249:V249)=0,0,MIN(U249:V249))</f>
        <v>0</v>
      </c>
    </row>
    <row r="250" customFormat="false" ht="15" hidden="false" customHeight="true" outlineLevel="0" collapsed="false">
      <c r="A250" s="26" t="str">
        <f aca="false">IF(B250="","",IF(COUNTIF('My Colleges'!$B$8:$B$27,B250)&gt;0,"On list",""))</f>
        <v/>
      </c>
      <c r="B250" s="27" t="str">
        <f aca="false">IF(DB_Colleges!A244="","",DB_Colleges!A244)</f>
        <v/>
      </c>
      <c r="C250" s="26" t="str">
        <f aca="false">IF(B250="","",DB_Colleges!B244)</f>
        <v/>
      </c>
      <c r="D250" s="26" t="str">
        <f aca="false">IF(B250="","",DB_Colleges!C244&amp;", "&amp;DB_Colleges!D244)</f>
        <v/>
      </c>
      <c r="E250" s="26" t="str">
        <f aca="false">IF(B250="","",IF(AND(NOT(ISNUMBER($X$4)),NOT(ISNUMBER($Y$4))),"Add scores",IF(NOT(ISNUMBER(DB_Colleges!Y244)),IF(OR(C250="Ivy League",C250="Highly Selective"),"Reach",IF(COUNT(U250:V250)=0,"No data",CHOOSE(W250+2,"Reach","Target","Likely"))),IF(DB_Colleges!Y244&lt;0.15,"Reach",IF(DB_Colleges!Y244&gt;=0.75,IF(W250&gt;=0,"Likely","Target"),IF(DB_Colleges!Y244&gt;=0.4,CHOOSE(W250+2,"Reach","Target","Likely"),IF(W250=1,"Target","Reach")))))))</f>
        <v/>
      </c>
      <c r="F250" s="28" t="str">
        <f aca="false">IF(OR(B250="",NOT(ISNUMBER(DB_Colleges!Y244))),"",DB_Colleges!Y244)</f>
        <v/>
      </c>
      <c r="G250" s="26" t="str">
        <f aca="false">IF(OR(B250="",NOT(ISNUMBER(DB_Colleges!Z244))),"",DB_Colleges!Z244&amp;"-"&amp;DB_Colleges!AA244)</f>
        <v/>
      </c>
      <c r="H250" s="26" t="str">
        <f aca="false">IF(OR(B250="",NOT(ISNUMBER(DB_Colleges!AD244))),"",DB_Colleges!AD244)</f>
        <v/>
      </c>
      <c r="I250" s="29" t="str">
        <f aca="false">IF(B250="","",IF(COUNT(DB_Colleges!I244:O244)=0,IF(DB_Colleges!P244="Yes","Rolling","Check site"),MIN(DB_Colleges!I244:O244)))</f>
        <v/>
      </c>
      <c r="J250" s="26" t="str">
        <f aca="false">IF(OR(B250="",COUNT(DB_Colleges!I244:O244)=0),"",INDEX({"ED","ED II","EA","EA II","REA","RD","Priority"},MATCH(MIN(DB_Colleges!I244:O244),DB_Colleges!I244:O244,0)))</f>
        <v/>
      </c>
      <c r="K250" s="29" t="str">
        <f aca="false">IF(OR(B250="",NOT(ISNUMBER(DB_Colleges!N244))),"",DB_Colleges!N244)</f>
        <v/>
      </c>
      <c r="L250" s="26" t="str">
        <f aca="false">IF(B250="","",DB_Colleges!G244&amp;"")</f>
        <v/>
      </c>
      <c r="M250" s="30" t="str">
        <f aca="false">IF(OR(B250="",NOT(ISNUMBER(DB_Colleges!S244))),"",DB_Colleges!S244)</f>
        <v/>
      </c>
      <c r="N250" s="26" t="str">
        <f aca="false">IF(B250="","",DB_Colleges!U244&amp;"")</f>
        <v/>
      </c>
      <c r="O250" s="26" t="str">
        <f aca="false">IF(B250="","",IF(ISNUMBER(DB_Colleges!AH244),DB_Colleges!AH244,"Check"))</f>
        <v/>
      </c>
      <c r="P250" s="26" t="str">
        <f aca="false">IF(B250="","",DB_Colleges!W244&amp;"")</f>
        <v/>
      </c>
      <c r="Q250" s="30" t="str">
        <f aca="false">IF(OR(B250="",NOT(ISNUMBER(DB_Colleges!AF244))),"",DB_Colleges!AF244)</f>
        <v/>
      </c>
      <c r="R250" s="28" t="str">
        <f aca="false">IF(OR(B250="",NOT(ISNUMBER(DB_Colleges!AG244))),"",DB_Colleges!AG244)</f>
        <v/>
      </c>
      <c r="S250" s="26" t="str">
        <f aca="false">IF(B250="","",DB_Colleges!AK244&amp;"")</f>
        <v/>
      </c>
      <c r="T250" s="26" t="str">
        <f aca="false">IF(B250="","",DB_Colleges!AI244&amp;"")</f>
        <v/>
      </c>
      <c r="U250" s="1" t="str">
        <f aca="false">IF(AND(ISNUMBER($X$4),ISNUMBER(DB_Colleges!Z244),ISNUMBER(DB_Colleges!AA244)),IF($X$4&gt;=DB_Colleges!AA244,1,IF($X$4&lt;DB_Colleges!Z244,-1,0)),"")</f>
        <v/>
      </c>
      <c r="V250" s="1" t="str">
        <f aca="false">IF(AND(ISNUMBER($Y$4),ISNUMBER(DB_Colleges!AD244)),IF($Y$4&gt;=DB_Colleges!AD244+0.15,1,IF($Y$4&lt;DB_Colleges!AD244-0.2,-1,0)),"")</f>
        <v/>
      </c>
      <c r="W250" s="1" t="n">
        <f aca="false">IF(COUNT(U250:V250)=0,0,MIN(U250:V250))</f>
        <v>0</v>
      </c>
    </row>
    <row r="251" customFormat="false" ht="15" hidden="false" customHeight="true" outlineLevel="0" collapsed="false">
      <c r="A251" s="26" t="str">
        <f aca="false">IF(B251="","",IF(COUNTIF('My Colleges'!$B$8:$B$27,B251)&gt;0,"On list",""))</f>
        <v/>
      </c>
      <c r="B251" s="27" t="str">
        <f aca="false">IF(DB_Colleges!A245="","",DB_Colleges!A245)</f>
        <v/>
      </c>
      <c r="C251" s="26" t="str">
        <f aca="false">IF(B251="","",DB_Colleges!B245)</f>
        <v/>
      </c>
      <c r="D251" s="26" t="str">
        <f aca="false">IF(B251="","",DB_Colleges!C245&amp;", "&amp;DB_Colleges!D245)</f>
        <v/>
      </c>
      <c r="E251" s="26" t="str">
        <f aca="false">IF(B251="","",IF(AND(NOT(ISNUMBER($X$4)),NOT(ISNUMBER($Y$4))),"Add scores",IF(NOT(ISNUMBER(DB_Colleges!Y245)),IF(OR(C251="Ivy League",C251="Highly Selective"),"Reach",IF(COUNT(U251:V251)=0,"No data",CHOOSE(W251+2,"Reach","Target","Likely"))),IF(DB_Colleges!Y245&lt;0.15,"Reach",IF(DB_Colleges!Y245&gt;=0.75,IF(W251&gt;=0,"Likely","Target"),IF(DB_Colleges!Y245&gt;=0.4,CHOOSE(W251+2,"Reach","Target","Likely"),IF(W251=1,"Target","Reach")))))))</f>
        <v/>
      </c>
      <c r="F251" s="28" t="str">
        <f aca="false">IF(OR(B251="",NOT(ISNUMBER(DB_Colleges!Y245))),"",DB_Colleges!Y245)</f>
        <v/>
      </c>
      <c r="G251" s="26" t="str">
        <f aca="false">IF(OR(B251="",NOT(ISNUMBER(DB_Colleges!Z245))),"",DB_Colleges!Z245&amp;"-"&amp;DB_Colleges!AA245)</f>
        <v/>
      </c>
      <c r="H251" s="26" t="str">
        <f aca="false">IF(OR(B251="",NOT(ISNUMBER(DB_Colleges!AD245))),"",DB_Colleges!AD245)</f>
        <v/>
      </c>
      <c r="I251" s="29" t="str">
        <f aca="false">IF(B251="","",IF(COUNT(DB_Colleges!I245:O245)=0,IF(DB_Colleges!P245="Yes","Rolling","Check site"),MIN(DB_Colleges!I245:O245)))</f>
        <v/>
      </c>
      <c r="J251" s="26" t="str">
        <f aca="false">IF(OR(B251="",COUNT(DB_Colleges!I245:O245)=0),"",INDEX({"ED","ED II","EA","EA II","REA","RD","Priority"},MATCH(MIN(DB_Colleges!I245:O245),DB_Colleges!I245:O245,0)))</f>
        <v/>
      </c>
      <c r="K251" s="29" t="str">
        <f aca="false">IF(OR(B251="",NOT(ISNUMBER(DB_Colleges!N245))),"",DB_Colleges!N245)</f>
        <v/>
      </c>
      <c r="L251" s="26" t="str">
        <f aca="false">IF(B251="","",DB_Colleges!G245&amp;"")</f>
        <v/>
      </c>
      <c r="M251" s="30" t="str">
        <f aca="false">IF(OR(B251="",NOT(ISNUMBER(DB_Colleges!S245))),"",DB_Colleges!S245)</f>
        <v/>
      </c>
      <c r="N251" s="26" t="str">
        <f aca="false">IF(B251="","",DB_Colleges!U245&amp;"")</f>
        <v/>
      </c>
      <c r="O251" s="26" t="str">
        <f aca="false">IF(B251="","",IF(ISNUMBER(DB_Colleges!AH245),DB_Colleges!AH245,"Check"))</f>
        <v/>
      </c>
      <c r="P251" s="26" t="str">
        <f aca="false">IF(B251="","",DB_Colleges!W245&amp;"")</f>
        <v/>
      </c>
      <c r="Q251" s="30" t="str">
        <f aca="false">IF(OR(B251="",NOT(ISNUMBER(DB_Colleges!AF245))),"",DB_Colleges!AF245)</f>
        <v/>
      </c>
      <c r="R251" s="28" t="str">
        <f aca="false">IF(OR(B251="",NOT(ISNUMBER(DB_Colleges!AG245))),"",DB_Colleges!AG245)</f>
        <v/>
      </c>
      <c r="S251" s="26" t="str">
        <f aca="false">IF(B251="","",DB_Colleges!AK245&amp;"")</f>
        <v/>
      </c>
      <c r="T251" s="26" t="str">
        <f aca="false">IF(B251="","",DB_Colleges!AI245&amp;"")</f>
        <v/>
      </c>
      <c r="U251" s="1" t="str">
        <f aca="false">IF(AND(ISNUMBER($X$4),ISNUMBER(DB_Colleges!Z245),ISNUMBER(DB_Colleges!AA245)),IF($X$4&gt;=DB_Colleges!AA245,1,IF($X$4&lt;DB_Colleges!Z245,-1,0)),"")</f>
        <v/>
      </c>
      <c r="V251" s="1" t="str">
        <f aca="false">IF(AND(ISNUMBER($Y$4),ISNUMBER(DB_Colleges!AD245)),IF($Y$4&gt;=DB_Colleges!AD245+0.15,1,IF($Y$4&lt;DB_Colleges!AD245-0.2,-1,0)),"")</f>
        <v/>
      </c>
      <c r="W251" s="1" t="n">
        <f aca="false">IF(COUNT(U251:V251)=0,0,MIN(U251:V251))</f>
        <v>0</v>
      </c>
    </row>
    <row r="252" customFormat="false" ht="15" hidden="false" customHeight="true" outlineLevel="0" collapsed="false">
      <c r="A252" s="26" t="str">
        <f aca="false">IF(B252="","",IF(COUNTIF('My Colleges'!$B$8:$B$27,B252)&gt;0,"On list",""))</f>
        <v/>
      </c>
      <c r="B252" s="27" t="str">
        <f aca="false">IF(DB_Colleges!A246="","",DB_Colleges!A246)</f>
        <v/>
      </c>
      <c r="C252" s="26" t="str">
        <f aca="false">IF(B252="","",DB_Colleges!B246)</f>
        <v/>
      </c>
      <c r="D252" s="26" t="str">
        <f aca="false">IF(B252="","",DB_Colleges!C246&amp;", "&amp;DB_Colleges!D246)</f>
        <v/>
      </c>
      <c r="E252" s="26" t="str">
        <f aca="false">IF(B252="","",IF(AND(NOT(ISNUMBER($X$4)),NOT(ISNUMBER($Y$4))),"Add scores",IF(NOT(ISNUMBER(DB_Colleges!Y246)),IF(OR(C252="Ivy League",C252="Highly Selective"),"Reach",IF(COUNT(U252:V252)=0,"No data",CHOOSE(W252+2,"Reach","Target","Likely"))),IF(DB_Colleges!Y246&lt;0.15,"Reach",IF(DB_Colleges!Y246&gt;=0.75,IF(W252&gt;=0,"Likely","Target"),IF(DB_Colleges!Y246&gt;=0.4,CHOOSE(W252+2,"Reach","Target","Likely"),IF(W252=1,"Target","Reach")))))))</f>
        <v/>
      </c>
      <c r="F252" s="28" t="str">
        <f aca="false">IF(OR(B252="",NOT(ISNUMBER(DB_Colleges!Y246))),"",DB_Colleges!Y246)</f>
        <v/>
      </c>
      <c r="G252" s="26" t="str">
        <f aca="false">IF(OR(B252="",NOT(ISNUMBER(DB_Colleges!Z246))),"",DB_Colleges!Z246&amp;"-"&amp;DB_Colleges!AA246)</f>
        <v/>
      </c>
      <c r="H252" s="26" t="str">
        <f aca="false">IF(OR(B252="",NOT(ISNUMBER(DB_Colleges!AD246))),"",DB_Colleges!AD246)</f>
        <v/>
      </c>
      <c r="I252" s="29" t="str">
        <f aca="false">IF(B252="","",IF(COUNT(DB_Colleges!I246:O246)=0,IF(DB_Colleges!P246="Yes","Rolling","Check site"),MIN(DB_Colleges!I246:O246)))</f>
        <v/>
      </c>
      <c r="J252" s="26" t="str">
        <f aca="false">IF(OR(B252="",COUNT(DB_Colleges!I246:O246)=0),"",INDEX({"ED","ED II","EA","EA II","REA","RD","Priority"},MATCH(MIN(DB_Colleges!I246:O246),DB_Colleges!I246:O246,0)))</f>
        <v/>
      </c>
      <c r="K252" s="29" t="str">
        <f aca="false">IF(OR(B252="",NOT(ISNUMBER(DB_Colleges!N246))),"",DB_Colleges!N246)</f>
        <v/>
      </c>
      <c r="L252" s="26" t="str">
        <f aca="false">IF(B252="","",DB_Colleges!G246&amp;"")</f>
        <v/>
      </c>
      <c r="M252" s="30" t="str">
        <f aca="false">IF(OR(B252="",NOT(ISNUMBER(DB_Colleges!S246))),"",DB_Colleges!S246)</f>
        <v/>
      </c>
      <c r="N252" s="26" t="str">
        <f aca="false">IF(B252="","",DB_Colleges!U246&amp;"")</f>
        <v/>
      </c>
      <c r="O252" s="26" t="str">
        <f aca="false">IF(B252="","",IF(ISNUMBER(DB_Colleges!AH246),DB_Colleges!AH246,"Check"))</f>
        <v/>
      </c>
      <c r="P252" s="26" t="str">
        <f aca="false">IF(B252="","",DB_Colleges!W246&amp;"")</f>
        <v/>
      </c>
      <c r="Q252" s="30" t="str">
        <f aca="false">IF(OR(B252="",NOT(ISNUMBER(DB_Colleges!AF246))),"",DB_Colleges!AF246)</f>
        <v/>
      </c>
      <c r="R252" s="28" t="str">
        <f aca="false">IF(OR(B252="",NOT(ISNUMBER(DB_Colleges!AG246))),"",DB_Colleges!AG246)</f>
        <v/>
      </c>
      <c r="S252" s="26" t="str">
        <f aca="false">IF(B252="","",DB_Colleges!AK246&amp;"")</f>
        <v/>
      </c>
      <c r="T252" s="26" t="str">
        <f aca="false">IF(B252="","",DB_Colleges!AI246&amp;"")</f>
        <v/>
      </c>
      <c r="U252" s="1" t="str">
        <f aca="false">IF(AND(ISNUMBER($X$4),ISNUMBER(DB_Colleges!Z246),ISNUMBER(DB_Colleges!AA246)),IF($X$4&gt;=DB_Colleges!AA246,1,IF($X$4&lt;DB_Colleges!Z246,-1,0)),"")</f>
        <v/>
      </c>
      <c r="V252" s="1" t="str">
        <f aca="false">IF(AND(ISNUMBER($Y$4),ISNUMBER(DB_Colleges!AD246)),IF($Y$4&gt;=DB_Colleges!AD246+0.15,1,IF($Y$4&lt;DB_Colleges!AD246-0.2,-1,0)),"")</f>
        <v/>
      </c>
      <c r="W252" s="1" t="n">
        <f aca="false">IF(COUNT(U252:V252)=0,0,MIN(U252:V252))</f>
        <v>0</v>
      </c>
    </row>
    <row r="253" customFormat="false" ht="15" hidden="false" customHeight="true" outlineLevel="0" collapsed="false">
      <c r="A253" s="26" t="str">
        <f aca="false">IF(B253="","",IF(COUNTIF('My Colleges'!$B$8:$B$27,B253)&gt;0,"On list",""))</f>
        <v/>
      </c>
      <c r="B253" s="27" t="str">
        <f aca="false">IF(DB_Colleges!A247="","",DB_Colleges!A247)</f>
        <v/>
      </c>
      <c r="C253" s="26" t="str">
        <f aca="false">IF(B253="","",DB_Colleges!B247)</f>
        <v/>
      </c>
      <c r="D253" s="26" t="str">
        <f aca="false">IF(B253="","",DB_Colleges!C247&amp;", "&amp;DB_Colleges!D247)</f>
        <v/>
      </c>
      <c r="E253" s="26" t="str">
        <f aca="false">IF(B253="","",IF(AND(NOT(ISNUMBER($X$4)),NOT(ISNUMBER($Y$4))),"Add scores",IF(NOT(ISNUMBER(DB_Colleges!Y247)),IF(OR(C253="Ivy League",C253="Highly Selective"),"Reach",IF(COUNT(U253:V253)=0,"No data",CHOOSE(W253+2,"Reach","Target","Likely"))),IF(DB_Colleges!Y247&lt;0.15,"Reach",IF(DB_Colleges!Y247&gt;=0.75,IF(W253&gt;=0,"Likely","Target"),IF(DB_Colleges!Y247&gt;=0.4,CHOOSE(W253+2,"Reach","Target","Likely"),IF(W253=1,"Target","Reach")))))))</f>
        <v/>
      </c>
      <c r="F253" s="28" t="str">
        <f aca="false">IF(OR(B253="",NOT(ISNUMBER(DB_Colleges!Y247))),"",DB_Colleges!Y247)</f>
        <v/>
      </c>
      <c r="G253" s="26" t="str">
        <f aca="false">IF(OR(B253="",NOT(ISNUMBER(DB_Colleges!Z247))),"",DB_Colleges!Z247&amp;"-"&amp;DB_Colleges!AA247)</f>
        <v/>
      </c>
      <c r="H253" s="26" t="str">
        <f aca="false">IF(OR(B253="",NOT(ISNUMBER(DB_Colleges!AD247))),"",DB_Colleges!AD247)</f>
        <v/>
      </c>
      <c r="I253" s="29" t="str">
        <f aca="false">IF(B253="","",IF(COUNT(DB_Colleges!I247:O247)=0,IF(DB_Colleges!P247="Yes","Rolling","Check site"),MIN(DB_Colleges!I247:O247)))</f>
        <v/>
      </c>
      <c r="J253" s="26" t="str">
        <f aca="false">IF(OR(B253="",COUNT(DB_Colleges!I247:O247)=0),"",INDEX({"ED","ED II","EA","EA II","REA","RD","Priority"},MATCH(MIN(DB_Colleges!I247:O247),DB_Colleges!I247:O247,0)))</f>
        <v/>
      </c>
      <c r="K253" s="29" t="str">
        <f aca="false">IF(OR(B253="",NOT(ISNUMBER(DB_Colleges!N247))),"",DB_Colleges!N247)</f>
        <v/>
      </c>
      <c r="L253" s="26" t="str">
        <f aca="false">IF(B253="","",DB_Colleges!G247&amp;"")</f>
        <v/>
      </c>
      <c r="M253" s="30" t="str">
        <f aca="false">IF(OR(B253="",NOT(ISNUMBER(DB_Colleges!S247))),"",DB_Colleges!S247)</f>
        <v/>
      </c>
      <c r="N253" s="26" t="str">
        <f aca="false">IF(B253="","",DB_Colleges!U247&amp;"")</f>
        <v/>
      </c>
      <c r="O253" s="26" t="str">
        <f aca="false">IF(B253="","",IF(ISNUMBER(DB_Colleges!AH247),DB_Colleges!AH247,"Check"))</f>
        <v/>
      </c>
      <c r="P253" s="26" t="str">
        <f aca="false">IF(B253="","",DB_Colleges!W247&amp;"")</f>
        <v/>
      </c>
      <c r="Q253" s="30" t="str">
        <f aca="false">IF(OR(B253="",NOT(ISNUMBER(DB_Colleges!AF247))),"",DB_Colleges!AF247)</f>
        <v/>
      </c>
      <c r="R253" s="28" t="str">
        <f aca="false">IF(OR(B253="",NOT(ISNUMBER(DB_Colleges!AG247))),"",DB_Colleges!AG247)</f>
        <v/>
      </c>
      <c r="S253" s="26" t="str">
        <f aca="false">IF(B253="","",DB_Colleges!AK247&amp;"")</f>
        <v/>
      </c>
      <c r="T253" s="26" t="str">
        <f aca="false">IF(B253="","",DB_Colleges!AI247&amp;"")</f>
        <v/>
      </c>
      <c r="U253" s="1" t="str">
        <f aca="false">IF(AND(ISNUMBER($X$4),ISNUMBER(DB_Colleges!Z247),ISNUMBER(DB_Colleges!AA247)),IF($X$4&gt;=DB_Colleges!AA247,1,IF($X$4&lt;DB_Colleges!Z247,-1,0)),"")</f>
        <v/>
      </c>
      <c r="V253" s="1" t="str">
        <f aca="false">IF(AND(ISNUMBER($Y$4),ISNUMBER(DB_Colleges!AD247)),IF($Y$4&gt;=DB_Colleges!AD247+0.15,1,IF($Y$4&lt;DB_Colleges!AD247-0.2,-1,0)),"")</f>
        <v/>
      </c>
      <c r="W253" s="1" t="n">
        <f aca="false">IF(COUNT(U253:V253)=0,0,MIN(U253:V253))</f>
        <v>0</v>
      </c>
    </row>
    <row r="254" customFormat="false" ht="15" hidden="false" customHeight="true" outlineLevel="0" collapsed="false">
      <c r="A254" s="26" t="str">
        <f aca="false">IF(B254="","",IF(COUNTIF('My Colleges'!$B$8:$B$27,B254)&gt;0,"On list",""))</f>
        <v/>
      </c>
      <c r="B254" s="27" t="str">
        <f aca="false">IF(DB_Colleges!A248="","",DB_Colleges!A248)</f>
        <v/>
      </c>
      <c r="C254" s="26" t="str">
        <f aca="false">IF(B254="","",DB_Colleges!B248)</f>
        <v/>
      </c>
      <c r="D254" s="26" t="str">
        <f aca="false">IF(B254="","",DB_Colleges!C248&amp;", "&amp;DB_Colleges!D248)</f>
        <v/>
      </c>
      <c r="E254" s="26" t="str">
        <f aca="false">IF(B254="","",IF(AND(NOT(ISNUMBER($X$4)),NOT(ISNUMBER($Y$4))),"Add scores",IF(NOT(ISNUMBER(DB_Colleges!Y248)),IF(OR(C254="Ivy League",C254="Highly Selective"),"Reach",IF(COUNT(U254:V254)=0,"No data",CHOOSE(W254+2,"Reach","Target","Likely"))),IF(DB_Colleges!Y248&lt;0.15,"Reach",IF(DB_Colleges!Y248&gt;=0.75,IF(W254&gt;=0,"Likely","Target"),IF(DB_Colleges!Y248&gt;=0.4,CHOOSE(W254+2,"Reach","Target","Likely"),IF(W254=1,"Target","Reach")))))))</f>
        <v/>
      </c>
      <c r="F254" s="28" t="str">
        <f aca="false">IF(OR(B254="",NOT(ISNUMBER(DB_Colleges!Y248))),"",DB_Colleges!Y248)</f>
        <v/>
      </c>
      <c r="G254" s="26" t="str">
        <f aca="false">IF(OR(B254="",NOT(ISNUMBER(DB_Colleges!Z248))),"",DB_Colleges!Z248&amp;"-"&amp;DB_Colleges!AA248)</f>
        <v/>
      </c>
      <c r="H254" s="26" t="str">
        <f aca="false">IF(OR(B254="",NOT(ISNUMBER(DB_Colleges!AD248))),"",DB_Colleges!AD248)</f>
        <v/>
      </c>
      <c r="I254" s="29" t="str">
        <f aca="false">IF(B254="","",IF(COUNT(DB_Colleges!I248:O248)=0,IF(DB_Colleges!P248="Yes","Rolling","Check site"),MIN(DB_Colleges!I248:O248)))</f>
        <v/>
      </c>
      <c r="J254" s="26" t="str">
        <f aca="false">IF(OR(B254="",COUNT(DB_Colleges!I248:O248)=0),"",INDEX({"ED","ED II","EA","EA II","REA","RD","Priority"},MATCH(MIN(DB_Colleges!I248:O248),DB_Colleges!I248:O248,0)))</f>
        <v/>
      </c>
      <c r="K254" s="29" t="str">
        <f aca="false">IF(OR(B254="",NOT(ISNUMBER(DB_Colleges!N248))),"",DB_Colleges!N248)</f>
        <v/>
      </c>
      <c r="L254" s="26" t="str">
        <f aca="false">IF(B254="","",DB_Colleges!G248&amp;"")</f>
        <v/>
      </c>
      <c r="M254" s="30" t="str">
        <f aca="false">IF(OR(B254="",NOT(ISNUMBER(DB_Colleges!S248))),"",DB_Colleges!S248)</f>
        <v/>
      </c>
      <c r="N254" s="26" t="str">
        <f aca="false">IF(B254="","",DB_Colleges!U248&amp;"")</f>
        <v/>
      </c>
      <c r="O254" s="26" t="str">
        <f aca="false">IF(B254="","",IF(ISNUMBER(DB_Colleges!AH248),DB_Colleges!AH248,"Check"))</f>
        <v/>
      </c>
      <c r="P254" s="26" t="str">
        <f aca="false">IF(B254="","",DB_Colleges!W248&amp;"")</f>
        <v/>
      </c>
      <c r="Q254" s="30" t="str">
        <f aca="false">IF(OR(B254="",NOT(ISNUMBER(DB_Colleges!AF248))),"",DB_Colleges!AF248)</f>
        <v/>
      </c>
      <c r="R254" s="28" t="str">
        <f aca="false">IF(OR(B254="",NOT(ISNUMBER(DB_Colleges!AG248))),"",DB_Colleges!AG248)</f>
        <v/>
      </c>
      <c r="S254" s="26" t="str">
        <f aca="false">IF(B254="","",DB_Colleges!AK248&amp;"")</f>
        <v/>
      </c>
      <c r="T254" s="26" t="str">
        <f aca="false">IF(B254="","",DB_Colleges!AI248&amp;"")</f>
        <v/>
      </c>
      <c r="U254" s="1" t="str">
        <f aca="false">IF(AND(ISNUMBER($X$4),ISNUMBER(DB_Colleges!Z248),ISNUMBER(DB_Colleges!AA248)),IF($X$4&gt;=DB_Colleges!AA248,1,IF($X$4&lt;DB_Colleges!Z248,-1,0)),"")</f>
        <v/>
      </c>
      <c r="V254" s="1" t="str">
        <f aca="false">IF(AND(ISNUMBER($Y$4),ISNUMBER(DB_Colleges!AD248)),IF($Y$4&gt;=DB_Colleges!AD248+0.15,1,IF($Y$4&lt;DB_Colleges!AD248-0.2,-1,0)),"")</f>
        <v/>
      </c>
      <c r="W254" s="1" t="n">
        <f aca="false">IF(COUNT(U254:V254)=0,0,MIN(U254:V254))</f>
        <v>0</v>
      </c>
    </row>
    <row r="255" customFormat="false" ht="15" hidden="false" customHeight="true" outlineLevel="0" collapsed="false">
      <c r="A255" s="26" t="str">
        <f aca="false">IF(B255="","",IF(COUNTIF('My Colleges'!$B$8:$B$27,B255)&gt;0,"On list",""))</f>
        <v/>
      </c>
      <c r="B255" s="27" t="str">
        <f aca="false">IF(DB_Colleges!A249="","",DB_Colleges!A249)</f>
        <v/>
      </c>
      <c r="C255" s="26" t="str">
        <f aca="false">IF(B255="","",DB_Colleges!B249)</f>
        <v/>
      </c>
      <c r="D255" s="26" t="str">
        <f aca="false">IF(B255="","",DB_Colleges!C249&amp;", "&amp;DB_Colleges!D249)</f>
        <v/>
      </c>
      <c r="E255" s="26" t="str">
        <f aca="false">IF(B255="","",IF(AND(NOT(ISNUMBER($X$4)),NOT(ISNUMBER($Y$4))),"Add scores",IF(NOT(ISNUMBER(DB_Colleges!Y249)),IF(OR(C255="Ivy League",C255="Highly Selective"),"Reach",IF(COUNT(U255:V255)=0,"No data",CHOOSE(W255+2,"Reach","Target","Likely"))),IF(DB_Colleges!Y249&lt;0.15,"Reach",IF(DB_Colleges!Y249&gt;=0.75,IF(W255&gt;=0,"Likely","Target"),IF(DB_Colleges!Y249&gt;=0.4,CHOOSE(W255+2,"Reach","Target","Likely"),IF(W255=1,"Target","Reach")))))))</f>
        <v/>
      </c>
      <c r="F255" s="28" t="str">
        <f aca="false">IF(OR(B255="",NOT(ISNUMBER(DB_Colleges!Y249))),"",DB_Colleges!Y249)</f>
        <v/>
      </c>
      <c r="G255" s="26" t="str">
        <f aca="false">IF(OR(B255="",NOT(ISNUMBER(DB_Colleges!Z249))),"",DB_Colleges!Z249&amp;"-"&amp;DB_Colleges!AA249)</f>
        <v/>
      </c>
      <c r="H255" s="26" t="str">
        <f aca="false">IF(OR(B255="",NOT(ISNUMBER(DB_Colleges!AD249))),"",DB_Colleges!AD249)</f>
        <v/>
      </c>
      <c r="I255" s="29" t="str">
        <f aca="false">IF(B255="","",IF(COUNT(DB_Colleges!I249:O249)=0,IF(DB_Colleges!P249="Yes","Rolling","Check site"),MIN(DB_Colleges!I249:O249)))</f>
        <v/>
      </c>
      <c r="J255" s="26" t="str">
        <f aca="false">IF(OR(B255="",COUNT(DB_Colleges!I249:O249)=0),"",INDEX({"ED","ED II","EA","EA II","REA","RD","Priority"},MATCH(MIN(DB_Colleges!I249:O249),DB_Colleges!I249:O249,0)))</f>
        <v/>
      </c>
      <c r="K255" s="29" t="str">
        <f aca="false">IF(OR(B255="",NOT(ISNUMBER(DB_Colleges!N249))),"",DB_Colleges!N249)</f>
        <v/>
      </c>
      <c r="L255" s="26" t="str">
        <f aca="false">IF(B255="","",DB_Colleges!G249&amp;"")</f>
        <v/>
      </c>
      <c r="M255" s="30" t="str">
        <f aca="false">IF(OR(B255="",NOT(ISNUMBER(DB_Colleges!S249))),"",DB_Colleges!S249)</f>
        <v/>
      </c>
      <c r="N255" s="26" t="str">
        <f aca="false">IF(B255="","",DB_Colleges!U249&amp;"")</f>
        <v/>
      </c>
      <c r="O255" s="26" t="str">
        <f aca="false">IF(B255="","",IF(ISNUMBER(DB_Colleges!AH249),DB_Colleges!AH249,"Check"))</f>
        <v/>
      </c>
      <c r="P255" s="26" t="str">
        <f aca="false">IF(B255="","",DB_Colleges!W249&amp;"")</f>
        <v/>
      </c>
      <c r="Q255" s="30" t="str">
        <f aca="false">IF(OR(B255="",NOT(ISNUMBER(DB_Colleges!AF249))),"",DB_Colleges!AF249)</f>
        <v/>
      </c>
      <c r="R255" s="28" t="str">
        <f aca="false">IF(OR(B255="",NOT(ISNUMBER(DB_Colleges!AG249))),"",DB_Colleges!AG249)</f>
        <v/>
      </c>
      <c r="S255" s="26" t="str">
        <f aca="false">IF(B255="","",DB_Colleges!AK249&amp;"")</f>
        <v/>
      </c>
      <c r="T255" s="26" t="str">
        <f aca="false">IF(B255="","",DB_Colleges!AI249&amp;"")</f>
        <v/>
      </c>
      <c r="U255" s="1" t="str">
        <f aca="false">IF(AND(ISNUMBER($X$4),ISNUMBER(DB_Colleges!Z249),ISNUMBER(DB_Colleges!AA249)),IF($X$4&gt;=DB_Colleges!AA249,1,IF($X$4&lt;DB_Colleges!Z249,-1,0)),"")</f>
        <v/>
      </c>
      <c r="V255" s="1" t="str">
        <f aca="false">IF(AND(ISNUMBER($Y$4),ISNUMBER(DB_Colleges!AD249)),IF($Y$4&gt;=DB_Colleges!AD249+0.15,1,IF($Y$4&lt;DB_Colleges!AD249-0.2,-1,0)),"")</f>
        <v/>
      </c>
      <c r="W255" s="1" t="n">
        <f aca="false">IF(COUNT(U255:V255)=0,0,MIN(U255:V255))</f>
        <v>0</v>
      </c>
    </row>
    <row r="256" customFormat="false" ht="15" hidden="false" customHeight="true" outlineLevel="0" collapsed="false">
      <c r="A256" s="26" t="str">
        <f aca="false">IF(B256="","",IF(COUNTIF('My Colleges'!$B$8:$B$27,B256)&gt;0,"On list",""))</f>
        <v/>
      </c>
      <c r="B256" s="27" t="str">
        <f aca="false">IF(DB_Colleges!A250="","",DB_Colleges!A250)</f>
        <v/>
      </c>
      <c r="C256" s="26" t="str">
        <f aca="false">IF(B256="","",DB_Colleges!B250)</f>
        <v/>
      </c>
      <c r="D256" s="26" t="str">
        <f aca="false">IF(B256="","",DB_Colleges!C250&amp;", "&amp;DB_Colleges!D250)</f>
        <v/>
      </c>
      <c r="E256" s="26" t="str">
        <f aca="false">IF(B256="","",IF(AND(NOT(ISNUMBER($X$4)),NOT(ISNUMBER($Y$4))),"Add scores",IF(NOT(ISNUMBER(DB_Colleges!Y250)),IF(OR(C256="Ivy League",C256="Highly Selective"),"Reach",IF(COUNT(U256:V256)=0,"No data",CHOOSE(W256+2,"Reach","Target","Likely"))),IF(DB_Colleges!Y250&lt;0.15,"Reach",IF(DB_Colleges!Y250&gt;=0.75,IF(W256&gt;=0,"Likely","Target"),IF(DB_Colleges!Y250&gt;=0.4,CHOOSE(W256+2,"Reach","Target","Likely"),IF(W256=1,"Target","Reach")))))))</f>
        <v/>
      </c>
      <c r="F256" s="28" t="str">
        <f aca="false">IF(OR(B256="",NOT(ISNUMBER(DB_Colleges!Y250))),"",DB_Colleges!Y250)</f>
        <v/>
      </c>
      <c r="G256" s="26" t="str">
        <f aca="false">IF(OR(B256="",NOT(ISNUMBER(DB_Colleges!Z250))),"",DB_Colleges!Z250&amp;"-"&amp;DB_Colleges!AA250)</f>
        <v/>
      </c>
      <c r="H256" s="26" t="str">
        <f aca="false">IF(OR(B256="",NOT(ISNUMBER(DB_Colleges!AD250))),"",DB_Colleges!AD250)</f>
        <v/>
      </c>
      <c r="I256" s="29" t="str">
        <f aca="false">IF(B256="","",IF(COUNT(DB_Colleges!I250:O250)=0,IF(DB_Colleges!P250="Yes","Rolling","Check site"),MIN(DB_Colleges!I250:O250)))</f>
        <v/>
      </c>
      <c r="J256" s="26" t="str">
        <f aca="false">IF(OR(B256="",COUNT(DB_Colleges!I250:O250)=0),"",INDEX({"ED","ED II","EA","EA II","REA","RD","Priority"},MATCH(MIN(DB_Colleges!I250:O250),DB_Colleges!I250:O250,0)))</f>
        <v/>
      </c>
      <c r="K256" s="29" t="str">
        <f aca="false">IF(OR(B256="",NOT(ISNUMBER(DB_Colleges!N250))),"",DB_Colleges!N250)</f>
        <v/>
      </c>
      <c r="L256" s="26" t="str">
        <f aca="false">IF(B256="","",DB_Colleges!G250&amp;"")</f>
        <v/>
      </c>
      <c r="M256" s="30" t="str">
        <f aca="false">IF(OR(B256="",NOT(ISNUMBER(DB_Colleges!S250))),"",DB_Colleges!S250)</f>
        <v/>
      </c>
      <c r="N256" s="26" t="str">
        <f aca="false">IF(B256="","",DB_Colleges!U250&amp;"")</f>
        <v/>
      </c>
      <c r="O256" s="26" t="str">
        <f aca="false">IF(B256="","",IF(ISNUMBER(DB_Colleges!AH250),DB_Colleges!AH250,"Check"))</f>
        <v/>
      </c>
      <c r="P256" s="26" t="str">
        <f aca="false">IF(B256="","",DB_Colleges!W250&amp;"")</f>
        <v/>
      </c>
      <c r="Q256" s="30" t="str">
        <f aca="false">IF(OR(B256="",NOT(ISNUMBER(DB_Colleges!AF250))),"",DB_Colleges!AF250)</f>
        <v/>
      </c>
      <c r="R256" s="28" t="str">
        <f aca="false">IF(OR(B256="",NOT(ISNUMBER(DB_Colleges!AG250))),"",DB_Colleges!AG250)</f>
        <v/>
      </c>
      <c r="S256" s="26" t="str">
        <f aca="false">IF(B256="","",DB_Colleges!AK250&amp;"")</f>
        <v/>
      </c>
      <c r="T256" s="26" t="str">
        <f aca="false">IF(B256="","",DB_Colleges!AI250&amp;"")</f>
        <v/>
      </c>
      <c r="U256" s="1" t="str">
        <f aca="false">IF(AND(ISNUMBER($X$4),ISNUMBER(DB_Colleges!Z250),ISNUMBER(DB_Colleges!AA250)),IF($X$4&gt;=DB_Colleges!AA250,1,IF($X$4&lt;DB_Colleges!Z250,-1,0)),"")</f>
        <v/>
      </c>
      <c r="V256" s="1" t="str">
        <f aca="false">IF(AND(ISNUMBER($Y$4),ISNUMBER(DB_Colleges!AD250)),IF($Y$4&gt;=DB_Colleges!AD250+0.15,1,IF($Y$4&lt;DB_Colleges!AD250-0.2,-1,0)),"")</f>
        <v/>
      </c>
      <c r="W256" s="1" t="n">
        <f aca="false">IF(COUNT(U256:V256)=0,0,MIN(U256:V256))</f>
        <v>0</v>
      </c>
    </row>
    <row r="257" customFormat="false" ht="15" hidden="false" customHeight="true" outlineLevel="0" collapsed="false">
      <c r="A257" s="26" t="str">
        <f aca="false">IF(B257="","",IF(COUNTIF('My Colleges'!$B$8:$B$27,B257)&gt;0,"On list",""))</f>
        <v/>
      </c>
      <c r="B257" s="27" t="str">
        <f aca="false">IF(DB_Colleges!A251="","",DB_Colleges!A251)</f>
        <v/>
      </c>
      <c r="C257" s="26" t="str">
        <f aca="false">IF(B257="","",DB_Colleges!B251)</f>
        <v/>
      </c>
      <c r="D257" s="26" t="str">
        <f aca="false">IF(B257="","",DB_Colleges!C251&amp;", "&amp;DB_Colleges!D251)</f>
        <v/>
      </c>
      <c r="E257" s="26" t="str">
        <f aca="false">IF(B257="","",IF(AND(NOT(ISNUMBER($X$4)),NOT(ISNUMBER($Y$4))),"Add scores",IF(NOT(ISNUMBER(DB_Colleges!Y251)),IF(OR(C257="Ivy League",C257="Highly Selective"),"Reach",IF(COUNT(U257:V257)=0,"No data",CHOOSE(W257+2,"Reach","Target","Likely"))),IF(DB_Colleges!Y251&lt;0.15,"Reach",IF(DB_Colleges!Y251&gt;=0.75,IF(W257&gt;=0,"Likely","Target"),IF(DB_Colleges!Y251&gt;=0.4,CHOOSE(W257+2,"Reach","Target","Likely"),IF(W257=1,"Target","Reach")))))))</f>
        <v/>
      </c>
      <c r="F257" s="28" t="str">
        <f aca="false">IF(OR(B257="",NOT(ISNUMBER(DB_Colleges!Y251))),"",DB_Colleges!Y251)</f>
        <v/>
      </c>
      <c r="G257" s="26" t="str">
        <f aca="false">IF(OR(B257="",NOT(ISNUMBER(DB_Colleges!Z251))),"",DB_Colleges!Z251&amp;"-"&amp;DB_Colleges!AA251)</f>
        <v/>
      </c>
      <c r="H257" s="26" t="str">
        <f aca="false">IF(OR(B257="",NOT(ISNUMBER(DB_Colleges!AD251))),"",DB_Colleges!AD251)</f>
        <v/>
      </c>
      <c r="I257" s="29" t="str">
        <f aca="false">IF(B257="","",IF(COUNT(DB_Colleges!I251:O251)=0,IF(DB_Colleges!P251="Yes","Rolling","Check site"),MIN(DB_Colleges!I251:O251)))</f>
        <v/>
      </c>
      <c r="J257" s="26" t="str">
        <f aca="false">IF(OR(B257="",COUNT(DB_Colleges!I251:O251)=0),"",INDEX({"ED","ED II","EA","EA II","REA","RD","Priority"},MATCH(MIN(DB_Colleges!I251:O251),DB_Colleges!I251:O251,0)))</f>
        <v/>
      </c>
      <c r="K257" s="29" t="str">
        <f aca="false">IF(OR(B257="",NOT(ISNUMBER(DB_Colleges!N251))),"",DB_Colleges!N251)</f>
        <v/>
      </c>
      <c r="L257" s="26" t="str">
        <f aca="false">IF(B257="","",DB_Colleges!G251&amp;"")</f>
        <v/>
      </c>
      <c r="M257" s="30" t="str">
        <f aca="false">IF(OR(B257="",NOT(ISNUMBER(DB_Colleges!S251))),"",DB_Colleges!S251)</f>
        <v/>
      </c>
      <c r="N257" s="26" t="str">
        <f aca="false">IF(B257="","",DB_Colleges!U251&amp;"")</f>
        <v/>
      </c>
      <c r="O257" s="26" t="str">
        <f aca="false">IF(B257="","",IF(ISNUMBER(DB_Colleges!AH251),DB_Colleges!AH251,"Check"))</f>
        <v/>
      </c>
      <c r="P257" s="26" t="str">
        <f aca="false">IF(B257="","",DB_Colleges!W251&amp;"")</f>
        <v/>
      </c>
      <c r="Q257" s="30" t="str">
        <f aca="false">IF(OR(B257="",NOT(ISNUMBER(DB_Colleges!AF251))),"",DB_Colleges!AF251)</f>
        <v/>
      </c>
      <c r="R257" s="28" t="str">
        <f aca="false">IF(OR(B257="",NOT(ISNUMBER(DB_Colleges!AG251))),"",DB_Colleges!AG251)</f>
        <v/>
      </c>
      <c r="S257" s="26" t="str">
        <f aca="false">IF(B257="","",DB_Colleges!AK251&amp;"")</f>
        <v/>
      </c>
      <c r="T257" s="26" t="str">
        <f aca="false">IF(B257="","",DB_Colleges!AI251&amp;"")</f>
        <v/>
      </c>
      <c r="U257" s="1" t="str">
        <f aca="false">IF(AND(ISNUMBER($X$4),ISNUMBER(DB_Colleges!Z251),ISNUMBER(DB_Colleges!AA251)),IF($X$4&gt;=DB_Colleges!AA251,1,IF($X$4&lt;DB_Colleges!Z251,-1,0)),"")</f>
        <v/>
      </c>
      <c r="V257" s="1" t="str">
        <f aca="false">IF(AND(ISNUMBER($Y$4),ISNUMBER(DB_Colleges!AD251)),IF($Y$4&gt;=DB_Colleges!AD251+0.15,1,IF($Y$4&lt;DB_Colleges!AD251-0.2,-1,0)),"")</f>
        <v/>
      </c>
      <c r="W257" s="1" t="n">
        <f aca="false">IF(COUNT(U257:V257)=0,0,MIN(U257:V257))</f>
        <v>0</v>
      </c>
    </row>
    <row r="258" customFormat="false" ht="15" hidden="false" customHeight="true" outlineLevel="0" collapsed="false">
      <c r="A258" s="26" t="str">
        <f aca="false">IF(B258="","",IF(COUNTIF('My Colleges'!$B$8:$B$27,B258)&gt;0,"On list",""))</f>
        <v/>
      </c>
      <c r="B258" s="27" t="str">
        <f aca="false">IF(DB_Colleges!A252="","",DB_Colleges!A252)</f>
        <v/>
      </c>
      <c r="C258" s="26" t="str">
        <f aca="false">IF(B258="","",DB_Colleges!B252)</f>
        <v/>
      </c>
      <c r="D258" s="26" t="str">
        <f aca="false">IF(B258="","",DB_Colleges!C252&amp;", "&amp;DB_Colleges!D252)</f>
        <v/>
      </c>
      <c r="E258" s="26" t="str">
        <f aca="false">IF(B258="","",IF(AND(NOT(ISNUMBER($X$4)),NOT(ISNUMBER($Y$4))),"Add scores",IF(NOT(ISNUMBER(DB_Colleges!Y252)),IF(OR(C258="Ivy League",C258="Highly Selective"),"Reach",IF(COUNT(U258:V258)=0,"No data",CHOOSE(W258+2,"Reach","Target","Likely"))),IF(DB_Colleges!Y252&lt;0.15,"Reach",IF(DB_Colleges!Y252&gt;=0.75,IF(W258&gt;=0,"Likely","Target"),IF(DB_Colleges!Y252&gt;=0.4,CHOOSE(W258+2,"Reach","Target","Likely"),IF(W258=1,"Target","Reach")))))))</f>
        <v/>
      </c>
      <c r="F258" s="28" t="str">
        <f aca="false">IF(OR(B258="",NOT(ISNUMBER(DB_Colleges!Y252))),"",DB_Colleges!Y252)</f>
        <v/>
      </c>
      <c r="G258" s="26" t="str">
        <f aca="false">IF(OR(B258="",NOT(ISNUMBER(DB_Colleges!Z252))),"",DB_Colleges!Z252&amp;"-"&amp;DB_Colleges!AA252)</f>
        <v/>
      </c>
      <c r="H258" s="26" t="str">
        <f aca="false">IF(OR(B258="",NOT(ISNUMBER(DB_Colleges!AD252))),"",DB_Colleges!AD252)</f>
        <v/>
      </c>
      <c r="I258" s="29" t="str">
        <f aca="false">IF(B258="","",IF(COUNT(DB_Colleges!I252:O252)=0,IF(DB_Colleges!P252="Yes","Rolling","Check site"),MIN(DB_Colleges!I252:O252)))</f>
        <v/>
      </c>
      <c r="J258" s="26" t="str">
        <f aca="false">IF(OR(B258="",COUNT(DB_Colleges!I252:O252)=0),"",INDEX({"ED","ED II","EA","EA II","REA","RD","Priority"},MATCH(MIN(DB_Colleges!I252:O252),DB_Colleges!I252:O252,0)))</f>
        <v/>
      </c>
      <c r="K258" s="29" t="str">
        <f aca="false">IF(OR(B258="",NOT(ISNUMBER(DB_Colleges!N252))),"",DB_Colleges!N252)</f>
        <v/>
      </c>
      <c r="L258" s="26" t="str">
        <f aca="false">IF(B258="","",DB_Colleges!G252&amp;"")</f>
        <v/>
      </c>
      <c r="M258" s="30" t="str">
        <f aca="false">IF(OR(B258="",NOT(ISNUMBER(DB_Colleges!S252))),"",DB_Colleges!S252)</f>
        <v/>
      </c>
      <c r="N258" s="26" t="str">
        <f aca="false">IF(B258="","",DB_Colleges!U252&amp;"")</f>
        <v/>
      </c>
      <c r="O258" s="26" t="str">
        <f aca="false">IF(B258="","",IF(ISNUMBER(DB_Colleges!AH252),DB_Colleges!AH252,"Check"))</f>
        <v/>
      </c>
      <c r="P258" s="26" t="str">
        <f aca="false">IF(B258="","",DB_Colleges!W252&amp;"")</f>
        <v/>
      </c>
      <c r="Q258" s="30" t="str">
        <f aca="false">IF(OR(B258="",NOT(ISNUMBER(DB_Colleges!AF252))),"",DB_Colleges!AF252)</f>
        <v/>
      </c>
      <c r="R258" s="28" t="str">
        <f aca="false">IF(OR(B258="",NOT(ISNUMBER(DB_Colleges!AG252))),"",DB_Colleges!AG252)</f>
        <v/>
      </c>
      <c r="S258" s="26" t="str">
        <f aca="false">IF(B258="","",DB_Colleges!AK252&amp;"")</f>
        <v/>
      </c>
      <c r="T258" s="26" t="str">
        <f aca="false">IF(B258="","",DB_Colleges!AI252&amp;"")</f>
        <v/>
      </c>
      <c r="U258" s="1" t="str">
        <f aca="false">IF(AND(ISNUMBER($X$4),ISNUMBER(DB_Colleges!Z252),ISNUMBER(DB_Colleges!AA252)),IF($X$4&gt;=DB_Colleges!AA252,1,IF($X$4&lt;DB_Colleges!Z252,-1,0)),"")</f>
        <v/>
      </c>
      <c r="V258" s="1" t="str">
        <f aca="false">IF(AND(ISNUMBER($Y$4),ISNUMBER(DB_Colleges!AD252)),IF($Y$4&gt;=DB_Colleges!AD252+0.15,1,IF($Y$4&lt;DB_Colleges!AD252-0.2,-1,0)),"")</f>
        <v/>
      </c>
      <c r="W258" s="1" t="n">
        <f aca="false">IF(COUNT(U258:V258)=0,0,MIN(U258:V258))</f>
        <v>0</v>
      </c>
    </row>
    <row r="259" customFormat="false" ht="15" hidden="false" customHeight="true" outlineLevel="0" collapsed="false">
      <c r="A259" s="26" t="str">
        <f aca="false">IF(B259="","",IF(COUNTIF('My Colleges'!$B$8:$B$27,B259)&gt;0,"On list",""))</f>
        <v/>
      </c>
      <c r="B259" s="27" t="str">
        <f aca="false">IF(DB_Colleges!A253="","",DB_Colleges!A253)</f>
        <v/>
      </c>
      <c r="C259" s="26" t="str">
        <f aca="false">IF(B259="","",DB_Colleges!B253)</f>
        <v/>
      </c>
      <c r="D259" s="26" t="str">
        <f aca="false">IF(B259="","",DB_Colleges!C253&amp;", "&amp;DB_Colleges!D253)</f>
        <v/>
      </c>
      <c r="E259" s="26" t="str">
        <f aca="false">IF(B259="","",IF(AND(NOT(ISNUMBER($X$4)),NOT(ISNUMBER($Y$4))),"Add scores",IF(NOT(ISNUMBER(DB_Colleges!Y253)),IF(OR(C259="Ivy League",C259="Highly Selective"),"Reach",IF(COUNT(U259:V259)=0,"No data",CHOOSE(W259+2,"Reach","Target","Likely"))),IF(DB_Colleges!Y253&lt;0.15,"Reach",IF(DB_Colleges!Y253&gt;=0.75,IF(W259&gt;=0,"Likely","Target"),IF(DB_Colleges!Y253&gt;=0.4,CHOOSE(W259+2,"Reach","Target","Likely"),IF(W259=1,"Target","Reach")))))))</f>
        <v/>
      </c>
      <c r="F259" s="28" t="str">
        <f aca="false">IF(OR(B259="",NOT(ISNUMBER(DB_Colleges!Y253))),"",DB_Colleges!Y253)</f>
        <v/>
      </c>
      <c r="G259" s="26" t="str">
        <f aca="false">IF(OR(B259="",NOT(ISNUMBER(DB_Colleges!Z253))),"",DB_Colleges!Z253&amp;"-"&amp;DB_Colleges!AA253)</f>
        <v/>
      </c>
      <c r="H259" s="26" t="str">
        <f aca="false">IF(OR(B259="",NOT(ISNUMBER(DB_Colleges!AD253))),"",DB_Colleges!AD253)</f>
        <v/>
      </c>
      <c r="I259" s="29" t="str">
        <f aca="false">IF(B259="","",IF(COUNT(DB_Colleges!I253:O253)=0,IF(DB_Colleges!P253="Yes","Rolling","Check site"),MIN(DB_Colleges!I253:O253)))</f>
        <v/>
      </c>
      <c r="J259" s="26" t="str">
        <f aca="false">IF(OR(B259="",COUNT(DB_Colleges!I253:O253)=0),"",INDEX({"ED","ED II","EA","EA II","REA","RD","Priority"},MATCH(MIN(DB_Colleges!I253:O253),DB_Colleges!I253:O253,0)))</f>
        <v/>
      </c>
      <c r="K259" s="29" t="str">
        <f aca="false">IF(OR(B259="",NOT(ISNUMBER(DB_Colleges!N253))),"",DB_Colleges!N253)</f>
        <v/>
      </c>
      <c r="L259" s="26" t="str">
        <f aca="false">IF(B259="","",DB_Colleges!G253&amp;"")</f>
        <v/>
      </c>
      <c r="M259" s="30" t="str">
        <f aca="false">IF(OR(B259="",NOT(ISNUMBER(DB_Colleges!S253))),"",DB_Colleges!S253)</f>
        <v/>
      </c>
      <c r="N259" s="26" t="str">
        <f aca="false">IF(B259="","",DB_Colleges!U253&amp;"")</f>
        <v/>
      </c>
      <c r="O259" s="26" t="str">
        <f aca="false">IF(B259="","",IF(ISNUMBER(DB_Colleges!AH253),DB_Colleges!AH253,"Check"))</f>
        <v/>
      </c>
      <c r="P259" s="26" t="str">
        <f aca="false">IF(B259="","",DB_Colleges!W253&amp;"")</f>
        <v/>
      </c>
      <c r="Q259" s="30" t="str">
        <f aca="false">IF(OR(B259="",NOT(ISNUMBER(DB_Colleges!AF253))),"",DB_Colleges!AF253)</f>
        <v/>
      </c>
      <c r="R259" s="28" t="str">
        <f aca="false">IF(OR(B259="",NOT(ISNUMBER(DB_Colleges!AG253))),"",DB_Colleges!AG253)</f>
        <v/>
      </c>
      <c r="S259" s="26" t="str">
        <f aca="false">IF(B259="","",DB_Colleges!AK253&amp;"")</f>
        <v/>
      </c>
      <c r="T259" s="26" t="str">
        <f aca="false">IF(B259="","",DB_Colleges!AI253&amp;"")</f>
        <v/>
      </c>
      <c r="U259" s="1" t="str">
        <f aca="false">IF(AND(ISNUMBER($X$4),ISNUMBER(DB_Colleges!Z253),ISNUMBER(DB_Colleges!AA253)),IF($X$4&gt;=DB_Colleges!AA253,1,IF($X$4&lt;DB_Colleges!Z253,-1,0)),"")</f>
        <v/>
      </c>
      <c r="V259" s="1" t="str">
        <f aca="false">IF(AND(ISNUMBER($Y$4),ISNUMBER(DB_Colleges!AD253)),IF($Y$4&gt;=DB_Colleges!AD253+0.15,1,IF($Y$4&lt;DB_Colleges!AD253-0.2,-1,0)),"")</f>
        <v/>
      </c>
      <c r="W259" s="1" t="n">
        <f aca="false">IF(COUNT(U259:V259)=0,0,MIN(U259:V259))</f>
        <v>0</v>
      </c>
    </row>
    <row r="260" customFormat="false" ht="15" hidden="false" customHeight="true" outlineLevel="0" collapsed="false">
      <c r="A260" s="26" t="str">
        <f aca="false">IF(B260="","",IF(COUNTIF('My Colleges'!$B$8:$B$27,B260)&gt;0,"On list",""))</f>
        <v/>
      </c>
      <c r="B260" s="27" t="str">
        <f aca="false">IF(DB_Colleges!A254="","",DB_Colleges!A254)</f>
        <v/>
      </c>
      <c r="C260" s="26" t="str">
        <f aca="false">IF(B260="","",DB_Colleges!B254)</f>
        <v/>
      </c>
      <c r="D260" s="26" t="str">
        <f aca="false">IF(B260="","",DB_Colleges!C254&amp;", "&amp;DB_Colleges!D254)</f>
        <v/>
      </c>
      <c r="E260" s="26" t="str">
        <f aca="false">IF(B260="","",IF(AND(NOT(ISNUMBER($X$4)),NOT(ISNUMBER($Y$4))),"Add scores",IF(NOT(ISNUMBER(DB_Colleges!Y254)),IF(OR(C260="Ivy League",C260="Highly Selective"),"Reach",IF(COUNT(U260:V260)=0,"No data",CHOOSE(W260+2,"Reach","Target","Likely"))),IF(DB_Colleges!Y254&lt;0.15,"Reach",IF(DB_Colleges!Y254&gt;=0.75,IF(W260&gt;=0,"Likely","Target"),IF(DB_Colleges!Y254&gt;=0.4,CHOOSE(W260+2,"Reach","Target","Likely"),IF(W260=1,"Target","Reach")))))))</f>
        <v/>
      </c>
      <c r="F260" s="28" t="str">
        <f aca="false">IF(OR(B260="",NOT(ISNUMBER(DB_Colleges!Y254))),"",DB_Colleges!Y254)</f>
        <v/>
      </c>
      <c r="G260" s="26" t="str">
        <f aca="false">IF(OR(B260="",NOT(ISNUMBER(DB_Colleges!Z254))),"",DB_Colleges!Z254&amp;"-"&amp;DB_Colleges!AA254)</f>
        <v/>
      </c>
      <c r="H260" s="26" t="str">
        <f aca="false">IF(OR(B260="",NOT(ISNUMBER(DB_Colleges!AD254))),"",DB_Colleges!AD254)</f>
        <v/>
      </c>
      <c r="I260" s="29" t="str">
        <f aca="false">IF(B260="","",IF(COUNT(DB_Colleges!I254:O254)=0,IF(DB_Colleges!P254="Yes","Rolling","Check site"),MIN(DB_Colleges!I254:O254)))</f>
        <v/>
      </c>
      <c r="J260" s="26" t="str">
        <f aca="false">IF(OR(B260="",COUNT(DB_Colleges!I254:O254)=0),"",INDEX({"ED","ED II","EA","EA II","REA","RD","Priority"},MATCH(MIN(DB_Colleges!I254:O254),DB_Colleges!I254:O254,0)))</f>
        <v/>
      </c>
      <c r="K260" s="29" t="str">
        <f aca="false">IF(OR(B260="",NOT(ISNUMBER(DB_Colleges!N254))),"",DB_Colleges!N254)</f>
        <v/>
      </c>
      <c r="L260" s="26" t="str">
        <f aca="false">IF(B260="","",DB_Colleges!G254&amp;"")</f>
        <v/>
      </c>
      <c r="M260" s="30" t="str">
        <f aca="false">IF(OR(B260="",NOT(ISNUMBER(DB_Colleges!S254))),"",DB_Colleges!S254)</f>
        <v/>
      </c>
      <c r="N260" s="26" t="str">
        <f aca="false">IF(B260="","",DB_Colleges!U254&amp;"")</f>
        <v/>
      </c>
      <c r="O260" s="26" t="str">
        <f aca="false">IF(B260="","",IF(ISNUMBER(DB_Colleges!AH254),DB_Colleges!AH254,"Check"))</f>
        <v/>
      </c>
      <c r="P260" s="26" t="str">
        <f aca="false">IF(B260="","",DB_Colleges!W254&amp;"")</f>
        <v/>
      </c>
      <c r="Q260" s="30" t="str">
        <f aca="false">IF(OR(B260="",NOT(ISNUMBER(DB_Colleges!AF254))),"",DB_Colleges!AF254)</f>
        <v/>
      </c>
      <c r="R260" s="28" t="str">
        <f aca="false">IF(OR(B260="",NOT(ISNUMBER(DB_Colleges!AG254))),"",DB_Colleges!AG254)</f>
        <v/>
      </c>
      <c r="S260" s="26" t="str">
        <f aca="false">IF(B260="","",DB_Colleges!AK254&amp;"")</f>
        <v/>
      </c>
      <c r="T260" s="26" t="str">
        <f aca="false">IF(B260="","",DB_Colleges!AI254&amp;"")</f>
        <v/>
      </c>
      <c r="U260" s="1" t="str">
        <f aca="false">IF(AND(ISNUMBER($X$4),ISNUMBER(DB_Colleges!Z254),ISNUMBER(DB_Colleges!AA254)),IF($X$4&gt;=DB_Colleges!AA254,1,IF($X$4&lt;DB_Colleges!Z254,-1,0)),"")</f>
        <v/>
      </c>
      <c r="V260" s="1" t="str">
        <f aca="false">IF(AND(ISNUMBER($Y$4),ISNUMBER(DB_Colleges!AD254)),IF($Y$4&gt;=DB_Colleges!AD254+0.15,1,IF($Y$4&lt;DB_Colleges!AD254-0.2,-1,0)),"")</f>
        <v/>
      </c>
      <c r="W260" s="1" t="n">
        <f aca="false">IF(COUNT(U260:V260)=0,0,MIN(U260:V260))</f>
        <v>0</v>
      </c>
    </row>
    <row r="261" customFormat="false" ht="15" hidden="false" customHeight="true" outlineLevel="0" collapsed="false">
      <c r="A261" s="26" t="str">
        <f aca="false">IF(B261="","",IF(COUNTIF('My Colleges'!$B$8:$B$27,B261)&gt;0,"On list",""))</f>
        <v/>
      </c>
      <c r="B261" s="27" t="str">
        <f aca="false">IF(DB_Colleges!A255="","",DB_Colleges!A255)</f>
        <v/>
      </c>
      <c r="C261" s="26" t="str">
        <f aca="false">IF(B261="","",DB_Colleges!B255)</f>
        <v/>
      </c>
      <c r="D261" s="26" t="str">
        <f aca="false">IF(B261="","",DB_Colleges!C255&amp;", "&amp;DB_Colleges!D255)</f>
        <v/>
      </c>
      <c r="E261" s="26" t="str">
        <f aca="false">IF(B261="","",IF(AND(NOT(ISNUMBER($X$4)),NOT(ISNUMBER($Y$4))),"Add scores",IF(NOT(ISNUMBER(DB_Colleges!Y255)),IF(OR(C261="Ivy League",C261="Highly Selective"),"Reach",IF(COUNT(U261:V261)=0,"No data",CHOOSE(W261+2,"Reach","Target","Likely"))),IF(DB_Colleges!Y255&lt;0.15,"Reach",IF(DB_Colleges!Y255&gt;=0.75,IF(W261&gt;=0,"Likely","Target"),IF(DB_Colleges!Y255&gt;=0.4,CHOOSE(W261+2,"Reach","Target","Likely"),IF(W261=1,"Target","Reach")))))))</f>
        <v/>
      </c>
      <c r="F261" s="28" t="str">
        <f aca="false">IF(OR(B261="",NOT(ISNUMBER(DB_Colleges!Y255))),"",DB_Colleges!Y255)</f>
        <v/>
      </c>
      <c r="G261" s="26" t="str">
        <f aca="false">IF(OR(B261="",NOT(ISNUMBER(DB_Colleges!Z255))),"",DB_Colleges!Z255&amp;"-"&amp;DB_Colleges!AA255)</f>
        <v/>
      </c>
      <c r="H261" s="26" t="str">
        <f aca="false">IF(OR(B261="",NOT(ISNUMBER(DB_Colleges!AD255))),"",DB_Colleges!AD255)</f>
        <v/>
      </c>
      <c r="I261" s="29" t="str">
        <f aca="false">IF(B261="","",IF(COUNT(DB_Colleges!I255:O255)=0,IF(DB_Colleges!P255="Yes","Rolling","Check site"),MIN(DB_Colleges!I255:O255)))</f>
        <v/>
      </c>
      <c r="J261" s="26" t="str">
        <f aca="false">IF(OR(B261="",COUNT(DB_Colleges!I255:O255)=0),"",INDEX({"ED","ED II","EA","EA II","REA","RD","Priority"},MATCH(MIN(DB_Colleges!I255:O255),DB_Colleges!I255:O255,0)))</f>
        <v/>
      </c>
      <c r="K261" s="29" t="str">
        <f aca="false">IF(OR(B261="",NOT(ISNUMBER(DB_Colleges!N255))),"",DB_Colleges!N255)</f>
        <v/>
      </c>
      <c r="L261" s="26" t="str">
        <f aca="false">IF(B261="","",DB_Colleges!G255&amp;"")</f>
        <v/>
      </c>
      <c r="M261" s="30" t="str">
        <f aca="false">IF(OR(B261="",NOT(ISNUMBER(DB_Colleges!S255))),"",DB_Colleges!S255)</f>
        <v/>
      </c>
      <c r="N261" s="26" t="str">
        <f aca="false">IF(B261="","",DB_Colleges!U255&amp;"")</f>
        <v/>
      </c>
      <c r="O261" s="26" t="str">
        <f aca="false">IF(B261="","",IF(ISNUMBER(DB_Colleges!AH255),DB_Colleges!AH255,"Check"))</f>
        <v/>
      </c>
      <c r="P261" s="26" t="str">
        <f aca="false">IF(B261="","",DB_Colleges!W255&amp;"")</f>
        <v/>
      </c>
      <c r="Q261" s="30" t="str">
        <f aca="false">IF(OR(B261="",NOT(ISNUMBER(DB_Colleges!AF255))),"",DB_Colleges!AF255)</f>
        <v/>
      </c>
      <c r="R261" s="28" t="str">
        <f aca="false">IF(OR(B261="",NOT(ISNUMBER(DB_Colleges!AG255))),"",DB_Colleges!AG255)</f>
        <v/>
      </c>
      <c r="S261" s="26" t="str">
        <f aca="false">IF(B261="","",DB_Colleges!AK255&amp;"")</f>
        <v/>
      </c>
      <c r="T261" s="26" t="str">
        <f aca="false">IF(B261="","",DB_Colleges!AI255&amp;"")</f>
        <v/>
      </c>
      <c r="U261" s="1" t="str">
        <f aca="false">IF(AND(ISNUMBER($X$4),ISNUMBER(DB_Colleges!Z255),ISNUMBER(DB_Colleges!AA255)),IF($X$4&gt;=DB_Colleges!AA255,1,IF($X$4&lt;DB_Colleges!Z255,-1,0)),"")</f>
        <v/>
      </c>
      <c r="V261" s="1" t="str">
        <f aca="false">IF(AND(ISNUMBER($Y$4),ISNUMBER(DB_Colleges!AD255)),IF($Y$4&gt;=DB_Colleges!AD255+0.15,1,IF($Y$4&lt;DB_Colleges!AD255-0.2,-1,0)),"")</f>
        <v/>
      </c>
      <c r="W261" s="1" t="n">
        <f aca="false">IF(COUNT(U261:V261)=0,0,MIN(U261:V261))</f>
        <v>0</v>
      </c>
    </row>
    <row r="262" customFormat="false" ht="15" hidden="false" customHeight="true" outlineLevel="0" collapsed="false">
      <c r="A262" s="26" t="str">
        <f aca="false">IF(B262="","",IF(COUNTIF('My Colleges'!$B$8:$B$27,B262)&gt;0,"On list",""))</f>
        <v/>
      </c>
      <c r="B262" s="27" t="str">
        <f aca="false">IF(DB_Colleges!A256="","",DB_Colleges!A256)</f>
        <v/>
      </c>
      <c r="C262" s="26" t="str">
        <f aca="false">IF(B262="","",DB_Colleges!B256)</f>
        <v/>
      </c>
      <c r="D262" s="26" t="str">
        <f aca="false">IF(B262="","",DB_Colleges!C256&amp;", "&amp;DB_Colleges!D256)</f>
        <v/>
      </c>
      <c r="E262" s="26" t="str">
        <f aca="false">IF(B262="","",IF(AND(NOT(ISNUMBER($X$4)),NOT(ISNUMBER($Y$4))),"Add scores",IF(NOT(ISNUMBER(DB_Colleges!Y256)),IF(OR(C262="Ivy League",C262="Highly Selective"),"Reach",IF(COUNT(U262:V262)=0,"No data",CHOOSE(W262+2,"Reach","Target","Likely"))),IF(DB_Colleges!Y256&lt;0.15,"Reach",IF(DB_Colleges!Y256&gt;=0.75,IF(W262&gt;=0,"Likely","Target"),IF(DB_Colleges!Y256&gt;=0.4,CHOOSE(W262+2,"Reach","Target","Likely"),IF(W262=1,"Target","Reach")))))))</f>
        <v/>
      </c>
      <c r="F262" s="28" t="str">
        <f aca="false">IF(OR(B262="",NOT(ISNUMBER(DB_Colleges!Y256))),"",DB_Colleges!Y256)</f>
        <v/>
      </c>
      <c r="G262" s="26" t="str">
        <f aca="false">IF(OR(B262="",NOT(ISNUMBER(DB_Colleges!Z256))),"",DB_Colleges!Z256&amp;"-"&amp;DB_Colleges!AA256)</f>
        <v/>
      </c>
      <c r="H262" s="26" t="str">
        <f aca="false">IF(OR(B262="",NOT(ISNUMBER(DB_Colleges!AD256))),"",DB_Colleges!AD256)</f>
        <v/>
      </c>
      <c r="I262" s="29" t="str">
        <f aca="false">IF(B262="","",IF(COUNT(DB_Colleges!I256:O256)=0,IF(DB_Colleges!P256="Yes","Rolling","Check site"),MIN(DB_Colleges!I256:O256)))</f>
        <v/>
      </c>
      <c r="J262" s="26" t="str">
        <f aca="false">IF(OR(B262="",COUNT(DB_Colleges!I256:O256)=0),"",INDEX({"ED","ED II","EA","EA II","REA","RD","Priority"},MATCH(MIN(DB_Colleges!I256:O256),DB_Colleges!I256:O256,0)))</f>
        <v/>
      </c>
      <c r="K262" s="29" t="str">
        <f aca="false">IF(OR(B262="",NOT(ISNUMBER(DB_Colleges!N256))),"",DB_Colleges!N256)</f>
        <v/>
      </c>
      <c r="L262" s="26" t="str">
        <f aca="false">IF(B262="","",DB_Colleges!G256&amp;"")</f>
        <v/>
      </c>
      <c r="M262" s="30" t="str">
        <f aca="false">IF(OR(B262="",NOT(ISNUMBER(DB_Colleges!S256))),"",DB_Colleges!S256)</f>
        <v/>
      </c>
      <c r="N262" s="26" t="str">
        <f aca="false">IF(B262="","",DB_Colleges!U256&amp;"")</f>
        <v/>
      </c>
      <c r="O262" s="26" t="str">
        <f aca="false">IF(B262="","",IF(ISNUMBER(DB_Colleges!AH256),DB_Colleges!AH256,"Check"))</f>
        <v/>
      </c>
      <c r="P262" s="26" t="str">
        <f aca="false">IF(B262="","",DB_Colleges!W256&amp;"")</f>
        <v/>
      </c>
      <c r="Q262" s="30" t="str">
        <f aca="false">IF(OR(B262="",NOT(ISNUMBER(DB_Colleges!AF256))),"",DB_Colleges!AF256)</f>
        <v/>
      </c>
      <c r="R262" s="28" t="str">
        <f aca="false">IF(OR(B262="",NOT(ISNUMBER(DB_Colleges!AG256))),"",DB_Colleges!AG256)</f>
        <v/>
      </c>
      <c r="S262" s="26" t="str">
        <f aca="false">IF(B262="","",DB_Colleges!AK256&amp;"")</f>
        <v/>
      </c>
      <c r="T262" s="26" t="str">
        <f aca="false">IF(B262="","",DB_Colleges!AI256&amp;"")</f>
        <v/>
      </c>
      <c r="U262" s="1" t="str">
        <f aca="false">IF(AND(ISNUMBER($X$4),ISNUMBER(DB_Colleges!Z256),ISNUMBER(DB_Colleges!AA256)),IF($X$4&gt;=DB_Colleges!AA256,1,IF($X$4&lt;DB_Colleges!Z256,-1,0)),"")</f>
        <v/>
      </c>
      <c r="V262" s="1" t="str">
        <f aca="false">IF(AND(ISNUMBER($Y$4),ISNUMBER(DB_Colleges!AD256)),IF($Y$4&gt;=DB_Colleges!AD256+0.15,1,IF($Y$4&lt;DB_Colleges!AD256-0.2,-1,0)),"")</f>
        <v/>
      </c>
      <c r="W262" s="1" t="n">
        <f aca="false">IF(COUNT(U262:V262)=0,0,MIN(U262:V262))</f>
        <v>0</v>
      </c>
    </row>
    <row r="263" customFormat="false" ht="15" hidden="false" customHeight="true" outlineLevel="0" collapsed="false">
      <c r="A263" s="26" t="str">
        <f aca="false">IF(B263="","",IF(COUNTIF('My Colleges'!$B$8:$B$27,B263)&gt;0,"On list",""))</f>
        <v/>
      </c>
      <c r="B263" s="27" t="str">
        <f aca="false">IF(DB_Colleges!A257="","",DB_Colleges!A257)</f>
        <v/>
      </c>
      <c r="C263" s="26" t="str">
        <f aca="false">IF(B263="","",DB_Colleges!B257)</f>
        <v/>
      </c>
      <c r="D263" s="26" t="str">
        <f aca="false">IF(B263="","",DB_Colleges!C257&amp;", "&amp;DB_Colleges!D257)</f>
        <v/>
      </c>
      <c r="E263" s="26" t="str">
        <f aca="false">IF(B263="","",IF(AND(NOT(ISNUMBER($X$4)),NOT(ISNUMBER($Y$4))),"Add scores",IF(NOT(ISNUMBER(DB_Colleges!Y257)),IF(OR(C263="Ivy League",C263="Highly Selective"),"Reach",IF(COUNT(U263:V263)=0,"No data",CHOOSE(W263+2,"Reach","Target","Likely"))),IF(DB_Colleges!Y257&lt;0.15,"Reach",IF(DB_Colleges!Y257&gt;=0.75,IF(W263&gt;=0,"Likely","Target"),IF(DB_Colleges!Y257&gt;=0.4,CHOOSE(W263+2,"Reach","Target","Likely"),IF(W263=1,"Target","Reach")))))))</f>
        <v/>
      </c>
      <c r="F263" s="28" t="str">
        <f aca="false">IF(OR(B263="",NOT(ISNUMBER(DB_Colleges!Y257))),"",DB_Colleges!Y257)</f>
        <v/>
      </c>
      <c r="G263" s="26" t="str">
        <f aca="false">IF(OR(B263="",NOT(ISNUMBER(DB_Colleges!Z257))),"",DB_Colleges!Z257&amp;"-"&amp;DB_Colleges!AA257)</f>
        <v/>
      </c>
      <c r="H263" s="26" t="str">
        <f aca="false">IF(OR(B263="",NOT(ISNUMBER(DB_Colleges!AD257))),"",DB_Colleges!AD257)</f>
        <v/>
      </c>
      <c r="I263" s="29" t="str">
        <f aca="false">IF(B263="","",IF(COUNT(DB_Colleges!I257:O257)=0,IF(DB_Colleges!P257="Yes","Rolling","Check site"),MIN(DB_Colleges!I257:O257)))</f>
        <v/>
      </c>
      <c r="J263" s="26" t="str">
        <f aca="false">IF(OR(B263="",COUNT(DB_Colleges!I257:O257)=0),"",INDEX({"ED","ED II","EA","EA II","REA","RD","Priority"},MATCH(MIN(DB_Colleges!I257:O257),DB_Colleges!I257:O257,0)))</f>
        <v/>
      </c>
      <c r="K263" s="29" t="str">
        <f aca="false">IF(OR(B263="",NOT(ISNUMBER(DB_Colleges!N257))),"",DB_Colleges!N257)</f>
        <v/>
      </c>
      <c r="L263" s="26" t="str">
        <f aca="false">IF(B263="","",DB_Colleges!G257&amp;"")</f>
        <v/>
      </c>
      <c r="M263" s="30" t="str">
        <f aca="false">IF(OR(B263="",NOT(ISNUMBER(DB_Colleges!S257))),"",DB_Colleges!S257)</f>
        <v/>
      </c>
      <c r="N263" s="26" t="str">
        <f aca="false">IF(B263="","",DB_Colleges!U257&amp;"")</f>
        <v/>
      </c>
      <c r="O263" s="26" t="str">
        <f aca="false">IF(B263="","",IF(ISNUMBER(DB_Colleges!AH257),DB_Colleges!AH257,"Check"))</f>
        <v/>
      </c>
      <c r="P263" s="26" t="str">
        <f aca="false">IF(B263="","",DB_Colleges!W257&amp;"")</f>
        <v/>
      </c>
      <c r="Q263" s="30" t="str">
        <f aca="false">IF(OR(B263="",NOT(ISNUMBER(DB_Colleges!AF257))),"",DB_Colleges!AF257)</f>
        <v/>
      </c>
      <c r="R263" s="28" t="str">
        <f aca="false">IF(OR(B263="",NOT(ISNUMBER(DB_Colleges!AG257))),"",DB_Colleges!AG257)</f>
        <v/>
      </c>
      <c r="S263" s="26" t="str">
        <f aca="false">IF(B263="","",DB_Colleges!AK257&amp;"")</f>
        <v/>
      </c>
      <c r="T263" s="26" t="str">
        <f aca="false">IF(B263="","",DB_Colleges!AI257&amp;"")</f>
        <v/>
      </c>
      <c r="U263" s="1" t="str">
        <f aca="false">IF(AND(ISNUMBER($X$4),ISNUMBER(DB_Colleges!Z257),ISNUMBER(DB_Colleges!AA257)),IF($X$4&gt;=DB_Colleges!AA257,1,IF($X$4&lt;DB_Colleges!Z257,-1,0)),"")</f>
        <v/>
      </c>
      <c r="V263" s="1" t="str">
        <f aca="false">IF(AND(ISNUMBER($Y$4),ISNUMBER(DB_Colleges!AD257)),IF($Y$4&gt;=DB_Colleges!AD257+0.15,1,IF($Y$4&lt;DB_Colleges!AD257-0.2,-1,0)),"")</f>
        <v/>
      </c>
      <c r="W263" s="1" t="n">
        <f aca="false">IF(COUNT(U263:V263)=0,0,MIN(U263:V263))</f>
        <v>0</v>
      </c>
    </row>
    <row r="264" customFormat="false" ht="15" hidden="false" customHeight="true" outlineLevel="0" collapsed="false">
      <c r="A264" s="26" t="str">
        <f aca="false">IF(B264="","",IF(COUNTIF('My Colleges'!$B$8:$B$27,B264)&gt;0,"On list",""))</f>
        <v/>
      </c>
      <c r="B264" s="27" t="str">
        <f aca="false">IF(DB_Colleges!A258="","",DB_Colleges!A258)</f>
        <v/>
      </c>
      <c r="C264" s="26" t="str">
        <f aca="false">IF(B264="","",DB_Colleges!B258)</f>
        <v/>
      </c>
      <c r="D264" s="26" t="str">
        <f aca="false">IF(B264="","",DB_Colleges!C258&amp;", "&amp;DB_Colleges!D258)</f>
        <v/>
      </c>
      <c r="E264" s="26" t="str">
        <f aca="false">IF(B264="","",IF(AND(NOT(ISNUMBER($X$4)),NOT(ISNUMBER($Y$4))),"Add scores",IF(NOT(ISNUMBER(DB_Colleges!Y258)),IF(OR(C264="Ivy League",C264="Highly Selective"),"Reach",IF(COUNT(U264:V264)=0,"No data",CHOOSE(W264+2,"Reach","Target","Likely"))),IF(DB_Colleges!Y258&lt;0.15,"Reach",IF(DB_Colleges!Y258&gt;=0.75,IF(W264&gt;=0,"Likely","Target"),IF(DB_Colleges!Y258&gt;=0.4,CHOOSE(W264+2,"Reach","Target","Likely"),IF(W264=1,"Target","Reach")))))))</f>
        <v/>
      </c>
      <c r="F264" s="28" t="str">
        <f aca="false">IF(OR(B264="",NOT(ISNUMBER(DB_Colleges!Y258))),"",DB_Colleges!Y258)</f>
        <v/>
      </c>
      <c r="G264" s="26" t="str">
        <f aca="false">IF(OR(B264="",NOT(ISNUMBER(DB_Colleges!Z258))),"",DB_Colleges!Z258&amp;"-"&amp;DB_Colleges!AA258)</f>
        <v/>
      </c>
      <c r="H264" s="26" t="str">
        <f aca="false">IF(OR(B264="",NOT(ISNUMBER(DB_Colleges!AD258))),"",DB_Colleges!AD258)</f>
        <v/>
      </c>
      <c r="I264" s="29" t="str">
        <f aca="false">IF(B264="","",IF(COUNT(DB_Colleges!I258:O258)=0,IF(DB_Colleges!P258="Yes","Rolling","Check site"),MIN(DB_Colleges!I258:O258)))</f>
        <v/>
      </c>
      <c r="J264" s="26" t="str">
        <f aca="false">IF(OR(B264="",COUNT(DB_Colleges!I258:O258)=0),"",INDEX({"ED","ED II","EA","EA II","REA","RD","Priority"},MATCH(MIN(DB_Colleges!I258:O258),DB_Colleges!I258:O258,0)))</f>
        <v/>
      </c>
      <c r="K264" s="29" t="str">
        <f aca="false">IF(OR(B264="",NOT(ISNUMBER(DB_Colleges!N258))),"",DB_Colleges!N258)</f>
        <v/>
      </c>
      <c r="L264" s="26" t="str">
        <f aca="false">IF(B264="","",DB_Colleges!G258&amp;"")</f>
        <v/>
      </c>
      <c r="M264" s="30" t="str">
        <f aca="false">IF(OR(B264="",NOT(ISNUMBER(DB_Colleges!S258))),"",DB_Colleges!S258)</f>
        <v/>
      </c>
      <c r="N264" s="26" t="str">
        <f aca="false">IF(B264="","",DB_Colleges!U258&amp;"")</f>
        <v/>
      </c>
      <c r="O264" s="26" t="str">
        <f aca="false">IF(B264="","",IF(ISNUMBER(DB_Colleges!AH258),DB_Colleges!AH258,"Check"))</f>
        <v/>
      </c>
      <c r="P264" s="26" t="str">
        <f aca="false">IF(B264="","",DB_Colleges!W258&amp;"")</f>
        <v/>
      </c>
      <c r="Q264" s="30" t="str">
        <f aca="false">IF(OR(B264="",NOT(ISNUMBER(DB_Colleges!AF258))),"",DB_Colleges!AF258)</f>
        <v/>
      </c>
      <c r="R264" s="28" t="str">
        <f aca="false">IF(OR(B264="",NOT(ISNUMBER(DB_Colleges!AG258))),"",DB_Colleges!AG258)</f>
        <v/>
      </c>
      <c r="S264" s="26" t="str">
        <f aca="false">IF(B264="","",DB_Colleges!AK258&amp;"")</f>
        <v/>
      </c>
      <c r="T264" s="26" t="str">
        <f aca="false">IF(B264="","",DB_Colleges!AI258&amp;"")</f>
        <v/>
      </c>
      <c r="U264" s="1" t="str">
        <f aca="false">IF(AND(ISNUMBER($X$4),ISNUMBER(DB_Colleges!Z258),ISNUMBER(DB_Colleges!AA258)),IF($X$4&gt;=DB_Colleges!AA258,1,IF($X$4&lt;DB_Colleges!Z258,-1,0)),"")</f>
        <v/>
      </c>
      <c r="V264" s="1" t="str">
        <f aca="false">IF(AND(ISNUMBER($Y$4),ISNUMBER(DB_Colleges!AD258)),IF($Y$4&gt;=DB_Colleges!AD258+0.15,1,IF($Y$4&lt;DB_Colleges!AD258-0.2,-1,0)),"")</f>
        <v/>
      </c>
      <c r="W264" s="1" t="n">
        <f aca="false">IF(COUNT(U264:V264)=0,0,MIN(U264:V264))</f>
        <v>0</v>
      </c>
    </row>
    <row r="265" customFormat="false" ht="15" hidden="false" customHeight="true" outlineLevel="0" collapsed="false">
      <c r="A265" s="26" t="str">
        <f aca="false">IF(B265="","",IF(COUNTIF('My Colleges'!$B$8:$B$27,B265)&gt;0,"On list",""))</f>
        <v/>
      </c>
      <c r="B265" s="27" t="str">
        <f aca="false">IF(DB_Colleges!A259="","",DB_Colleges!A259)</f>
        <v/>
      </c>
      <c r="C265" s="26" t="str">
        <f aca="false">IF(B265="","",DB_Colleges!B259)</f>
        <v/>
      </c>
      <c r="D265" s="26" t="str">
        <f aca="false">IF(B265="","",DB_Colleges!C259&amp;", "&amp;DB_Colleges!D259)</f>
        <v/>
      </c>
      <c r="E265" s="26" t="str">
        <f aca="false">IF(B265="","",IF(AND(NOT(ISNUMBER($X$4)),NOT(ISNUMBER($Y$4))),"Add scores",IF(NOT(ISNUMBER(DB_Colleges!Y259)),IF(OR(C265="Ivy League",C265="Highly Selective"),"Reach",IF(COUNT(U265:V265)=0,"No data",CHOOSE(W265+2,"Reach","Target","Likely"))),IF(DB_Colleges!Y259&lt;0.15,"Reach",IF(DB_Colleges!Y259&gt;=0.75,IF(W265&gt;=0,"Likely","Target"),IF(DB_Colleges!Y259&gt;=0.4,CHOOSE(W265+2,"Reach","Target","Likely"),IF(W265=1,"Target","Reach")))))))</f>
        <v/>
      </c>
      <c r="F265" s="28" t="str">
        <f aca="false">IF(OR(B265="",NOT(ISNUMBER(DB_Colleges!Y259))),"",DB_Colleges!Y259)</f>
        <v/>
      </c>
      <c r="G265" s="26" t="str">
        <f aca="false">IF(OR(B265="",NOT(ISNUMBER(DB_Colleges!Z259))),"",DB_Colleges!Z259&amp;"-"&amp;DB_Colleges!AA259)</f>
        <v/>
      </c>
      <c r="H265" s="26" t="str">
        <f aca="false">IF(OR(B265="",NOT(ISNUMBER(DB_Colleges!AD259))),"",DB_Colleges!AD259)</f>
        <v/>
      </c>
      <c r="I265" s="29" t="str">
        <f aca="false">IF(B265="","",IF(COUNT(DB_Colleges!I259:O259)=0,IF(DB_Colleges!P259="Yes","Rolling","Check site"),MIN(DB_Colleges!I259:O259)))</f>
        <v/>
      </c>
      <c r="J265" s="26" t="str">
        <f aca="false">IF(OR(B265="",COUNT(DB_Colleges!I259:O259)=0),"",INDEX({"ED","ED II","EA","EA II","REA","RD","Priority"},MATCH(MIN(DB_Colleges!I259:O259),DB_Colleges!I259:O259,0)))</f>
        <v/>
      </c>
      <c r="K265" s="29" t="str">
        <f aca="false">IF(OR(B265="",NOT(ISNUMBER(DB_Colleges!N259))),"",DB_Colleges!N259)</f>
        <v/>
      </c>
      <c r="L265" s="26" t="str">
        <f aca="false">IF(B265="","",DB_Colleges!G259&amp;"")</f>
        <v/>
      </c>
      <c r="M265" s="30" t="str">
        <f aca="false">IF(OR(B265="",NOT(ISNUMBER(DB_Colleges!S259))),"",DB_Colleges!S259)</f>
        <v/>
      </c>
      <c r="N265" s="26" t="str">
        <f aca="false">IF(B265="","",DB_Colleges!U259&amp;"")</f>
        <v/>
      </c>
      <c r="O265" s="26" t="str">
        <f aca="false">IF(B265="","",IF(ISNUMBER(DB_Colleges!AH259),DB_Colleges!AH259,"Check"))</f>
        <v/>
      </c>
      <c r="P265" s="26" t="str">
        <f aca="false">IF(B265="","",DB_Colleges!W259&amp;"")</f>
        <v/>
      </c>
      <c r="Q265" s="30" t="str">
        <f aca="false">IF(OR(B265="",NOT(ISNUMBER(DB_Colleges!AF259))),"",DB_Colleges!AF259)</f>
        <v/>
      </c>
      <c r="R265" s="28" t="str">
        <f aca="false">IF(OR(B265="",NOT(ISNUMBER(DB_Colleges!AG259))),"",DB_Colleges!AG259)</f>
        <v/>
      </c>
      <c r="S265" s="26" t="str">
        <f aca="false">IF(B265="","",DB_Colleges!AK259&amp;"")</f>
        <v/>
      </c>
      <c r="T265" s="26" t="str">
        <f aca="false">IF(B265="","",DB_Colleges!AI259&amp;"")</f>
        <v/>
      </c>
      <c r="U265" s="1" t="str">
        <f aca="false">IF(AND(ISNUMBER($X$4),ISNUMBER(DB_Colleges!Z259),ISNUMBER(DB_Colleges!AA259)),IF($X$4&gt;=DB_Colleges!AA259,1,IF($X$4&lt;DB_Colleges!Z259,-1,0)),"")</f>
        <v/>
      </c>
      <c r="V265" s="1" t="str">
        <f aca="false">IF(AND(ISNUMBER($Y$4),ISNUMBER(DB_Colleges!AD259)),IF($Y$4&gt;=DB_Colleges!AD259+0.15,1,IF($Y$4&lt;DB_Colleges!AD259-0.2,-1,0)),"")</f>
        <v/>
      </c>
      <c r="W265" s="1" t="n">
        <f aca="false">IF(COUNT(U265:V265)=0,0,MIN(U265:V265))</f>
        <v>0</v>
      </c>
    </row>
    <row r="266" customFormat="false" ht="15" hidden="false" customHeight="true" outlineLevel="0" collapsed="false">
      <c r="A266" s="26" t="str">
        <f aca="false">IF(B266="","",IF(COUNTIF('My Colleges'!$B$8:$B$27,B266)&gt;0,"On list",""))</f>
        <v/>
      </c>
      <c r="B266" s="27" t="str">
        <f aca="false">IF(DB_Colleges!A260="","",DB_Colleges!A260)</f>
        <v/>
      </c>
      <c r="C266" s="26" t="str">
        <f aca="false">IF(B266="","",DB_Colleges!B260)</f>
        <v/>
      </c>
      <c r="D266" s="26" t="str">
        <f aca="false">IF(B266="","",DB_Colleges!C260&amp;", "&amp;DB_Colleges!D260)</f>
        <v/>
      </c>
      <c r="E266" s="26" t="str">
        <f aca="false">IF(B266="","",IF(AND(NOT(ISNUMBER($X$4)),NOT(ISNUMBER($Y$4))),"Add scores",IF(NOT(ISNUMBER(DB_Colleges!Y260)),IF(OR(C266="Ivy League",C266="Highly Selective"),"Reach",IF(COUNT(U266:V266)=0,"No data",CHOOSE(W266+2,"Reach","Target","Likely"))),IF(DB_Colleges!Y260&lt;0.15,"Reach",IF(DB_Colleges!Y260&gt;=0.75,IF(W266&gt;=0,"Likely","Target"),IF(DB_Colleges!Y260&gt;=0.4,CHOOSE(W266+2,"Reach","Target","Likely"),IF(W266=1,"Target","Reach")))))))</f>
        <v/>
      </c>
      <c r="F266" s="28" t="str">
        <f aca="false">IF(OR(B266="",NOT(ISNUMBER(DB_Colleges!Y260))),"",DB_Colleges!Y260)</f>
        <v/>
      </c>
      <c r="G266" s="26" t="str">
        <f aca="false">IF(OR(B266="",NOT(ISNUMBER(DB_Colleges!Z260))),"",DB_Colleges!Z260&amp;"-"&amp;DB_Colleges!AA260)</f>
        <v/>
      </c>
      <c r="H266" s="26" t="str">
        <f aca="false">IF(OR(B266="",NOT(ISNUMBER(DB_Colleges!AD260))),"",DB_Colleges!AD260)</f>
        <v/>
      </c>
      <c r="I266" s="29" t="str">
        <f aca="false">IF(B266="","",IF(COUNT(DB_Colleges!I260:O260)=0,IF(DB_Colleges!P260="Yes","Rolling","Check site"),MIN(DB_Colleges!I260:O260)))</f>
        <v/>
      </c>
      <c r="J266" s="26" t="str">
        <f aca="false">IF(OR(B266="",COUNT(DB_Colleges!I260:O260)=0),"",INDEX({"ED","ED II","EA","EA II","REA","RD","Priority"},MATCH(MIN(DB_Colleges!I260:O260),DB_Colleges!I260:O260,0)))</f>
        <v/>
      </c>
      <c r="K266" s="29" t="str">
        <f aca="false">IF(OR(B266="",NOT(ISNUMBER(DB_Colleges!N260))),"",DB_Colleges!N260)</f>
        <v/>
      </c>
      <c r="L266" s="26" t="str">
        <f aca="false">IF(B266="","",DB_Colleges!G260&amp;"")</f>
        <v/>
      </c>
      <c r="M266" s="30" t="str">
        <f aca="false">IF(OR(B266="",NOT(ISNUMBER(DB_Colleges!S260))),"",DB_Colleges!S260)</f>
        <v/>
      </c>
      <c r="N266" s="26" t="str">
        <f aca="false">IF(B266="","",DB_Colleges!U260&amp;"")</f>
        <v/>
      </c>
      <c r="O266" s="26" t="str">
        <f aca="false">IF(B266="","",IF(ISNUMBER(DB_Colleges!AH260),DB_Colleges!AH260,"Check"))</f>
        <v/>
      </c>
      <c r="P266" s="26" t="str">
        <f aca="false">IF(B266="","",DB_Colleges!W260&amp;"")</f>
        <v/>
      </c>
      <c r="Q266" s="30" t="str">
        <f aca="false">IF(OR(B266="",NOT(ISNUMBER(DB_Colleges!AF260))),"",DB_Colleges!AF260)</f>
        <v/>
      </c>
      <c r="R266" s="28" t="str">
        <f aca="false">IF(OR(B266="",NOT(ISNUMBER(DB_Colleges!AG260))),"",DB_Colleges!AG260)</f>
        <v/>
      </c>
      <c r="S266" s="26" t="str">
        <f aca="false">IF(B266="","",DB_Colleges!AK260&amp;"")</f>
        <v/>
      </c>
      <c r="T266" s="26" t="str">
        <f aca="false">IF(B266="","",DB_Colleges!AI260&amp;"")</f>
        <v/>
      </c>
      <c r="U266" s="1" t="str">
        <f aca="false">IF(AND(ISNUMBER($X$4),ISNUMBER(DB_Colleges!Z260),ISNUMBER(DB_Colleges!AA260)),IF($X$4&gt;=DB_Colleges!AA260,1,IF($X$4&lt;DB_Colleges!Z260,-1,0)),"")</f>
        <v/>
      </c>
      <c r="V266" s="1" t="str">
        <f aca="false">IF(AND(ISNUMBER($Y$4),ISNUMBER(DB_Colleges!AD260)),IF($Y$4&gt;=DB_Colleges!AD260+0.15,1,IF($Y$4&lt;DB_Colleges!AD260-0.2,-1,0)),"")</f>
        <v/>
      </c>
      <c r="W266" s="1" t="n">
        <f aca="false">IF(COUNT(U266:V266)=0,0,MIN(U266:V266))</f>
        <v>0</v>
      </c>
    </row>
    <row r="267" customFormat="false" ht="15" hidden="false" customHeight="true" outlineLevel="0" collapsed="false">
      <c r="A267" s="26" t="str">
        <f aca="false">IF(B267="","",IF(COUNTIF('My Colleges'!$B$8:$B$27,B267)&gt;0,"On list",""))</f>
        <v/>
      </c>
      <c r="B267" s="27" t="str">
        <f aca="false">IF(DB_Colleges!A261="","",DB_Colleges!A261)</f>
        <v/>
      </c>
      <c r="C267" s="26" t="str">
        <f aca="false">IF(B267="","",DB_Colleges!B261)</f>
        <v/>
      </c>
      <c r="D267" s="26" t="str">
        <f aca="false">IF(B267="","",DB_Colleges!C261&amp;", "&amp;DB_Colleges!D261)</f>
        <v/>
      </c>
      <c r="E267" s="26" t="str">
        <f aca="false">IF(B267="","",IF(AND(NOT(ISNUMBER($X$4)),NOT(ISNUMBER($Y$4))),"Add scores",IF(NOT(ISNUMBER(DB_Colleges!Y261)),IF(OR(C267="Ivy League",C267="Highly Selective"),"Reach",IF(COUNT(U267:V267)=0,"No data",CHOOSE(W267+2,"Reach","Target","Likely"))),IF(DB_Colleges!Y261&lt;0.15,"Reach",IF(DB_Colleges!Y261&gt;=0.75,IF(W267&gt;=0,"Likely","Target"),IF(DB_Colleges!Y261&gt;=0.4,CHOOSE(W267+2,"Reach","Target","Likely"),IF(W267=1,"Target","Reach")))))))</f>
        <v/>
      </c>
      <c r="F267" s="28" t="str">
        <f aca="false">IF(OR(B267="",NOT(ISNUMBER(DB_Colleges!Y261))),"",DB_Colleges!Y261)</f>
        <v/>
      </c>
      <c r="G267" s="26" t="str">
        <f aca="false">IF(OR(B267="",NOT(ISNUMBER(DB_Colleges!Z261))),"",DB_Colleges!Z261&amp;"-"&amp;DB_Colleges!AA261)</f>
        <v/>
      </c>
      <c r="H267" s="26" t="str">
        <f aca="false">IF(OR(B267="",NOT(ISNUMBER(DB_Colleges!AD261))),"",DB_Colleges!AD261)</f>
        <v/>
      </c>
      <c r="I267" s="29" t="str">
        <f aca="false">IF(B267="","",IF(COUNT(DB_Colleges!I261:O261)=0,IF(DB_Colleges!P261="Yes","Rolling","Check site"),MIN(DB_Colleges!I261:O261)))</f>
        <v/>
      </c>
      <c r="J267" s="26" t="str">
        <f aca="false">IF(OR(B267="",COUNT(DB_Colleges!I261:O261)=0),"",INDEX({"ED","ED II","EA","EA II","REA","RD","Priority"},MATCH(MIN(DB_Colleges!I261:O261),DB_Colleges!I261:O261,0)))</f>
        <v/>
      </c>
      <c r="K267" s="29" t="str">
        <f aca="false">IF(OR(B267="",NOT(ISNUMBER(DB_Colleges!N261))),"",DB_Colleges!N261)</f>
        <v/>
      </c>
      <c r="L267" s="26" t="str">
        <f aca="false">IF(B267="","",DB_Colleges!G261&amp;"")</f>
        <v/>
      </c>
      <c r="M267" s="30" t="str">
        <f aca="false">IF(OR(B267="",NOT(ISNUMBER(DB_Colleges!S261))),"",DB_Colleges!S261)</f>
        <v/>
      </c>
      <c r="N267" s="26" t="str">
        <f aca="false">IF(B267="","",DB_Colleges!U261&amp;"")</f>
        <v/>
      </c>
      <c r="O267" s="26" t="str">
        <f aca="false">IF(B267="","",IF(ISNUMBER(DB_Colleges!AH261),DB_Colleges!AH261,"Check"))</f>
        <v/>
      </c>
      <c r="P267" s="26" t="str">
        <f aca="false">IF(B267="","",DB_Colleges!W261&amp;"")</f>
        <v/>
      </c>
      <c r="Q267" s="30" t="str">
        <f aca="false">IF(OR(B267="",NOT(ISNUMBER(DB_Colleges!AF261))),"",DB_Colleges!AF261)</f>
        <v/>
      </c>
      <c r="R267" s="28" t="str">
        <f aca="false">IF(OR(B267="",NOT(ISNUMBER(DB_Colleges!AG261))),"",DB_Colleges!AG261)</f>
        <v/>
      </c>
      <c r="S267" s="26" t="str">
        <f aca="false">IF(B267="","",DB_Colleges!AK261&amp;"")</f>
        <v/>
      </c>
      <c r="T267" s="26" t="str">
        <f aca="false">IF(B267="","",DB_Colleges!AI261&amp;"")</f>
        <v/>
      </c>
      <c r="U267" s="1" t="str">
        <f aca="false">IF(AND(ISNUMBER($X$4),ISNUMBER(DB_Colleges!Z261),ISNUMBER(DB_Colleges!AA261)),IF($X$4&gt;=DB_Colleges!AA261,1,IF($X$4&lt;DB_Colleges!Z261,-1,0)),"")</f>
        <v/>
      </c>
      <c r="V267" s="1" t="str">
        <f aca="false">IF(AND(ISNUMBER($Y$4),ISNUMBER(DB_Colleges!AD261)),IF($Y$4&gt;=DB_Colleges!AD261+0.15,1,IF($Y$4&lt;DB_Colleges!AD261-0.2,-1,0)),"")</f>
        <v/>
      </c>
      <c r="W267" s="1" t="n">
        <f aca="false">IF(COUNT(U267:V267)=0,0,MIN(U267:V267))</f>
        <v>0</v>
      </c>
    </row>
    <row r="268" customFormat="false" ht="15" hidden="false" customHeight="true" outlineLevel="0" collapsed="false">
      <c r="A268" s="26" t="str">
        <f aca="false">IF(B268="","",IF(COUNTIF('My Colleges'!$B$8:$B$27,B268)&gt;0,"On list",""))</f>
        <v/>
      </c>
      <c r="B268" s="27" t="str">
        <f aca="false">IF(DB_Colleges!A262="","",DB_Colleges!A262)</f>
        <v/>
      </c>
      <c r="C268" s="26" t="str">
        <f aca="false">IF(B268="","",DB_Colleges!B262)</f>
        <v/>
      </c>
      <c r="D268" s="26" t="str">
        <f aca="false">IF(B268="","",DB_Colleges!C262&amp;", "&amp;DB_Colleges!D262)</f>
        <v/>
      </c>
      <c r="E268" s="26" t="str">
        <f aca="false">IF(B268="","",IF(AND(NOT(ISNUMBER($X$4)),NOT(ISNUMBER($Y$4))),"Add scores",IF(NOT(ISNUMBER(DB_Colleges!Y262)),IF(OR(C268="Ivy League",C268="Highly Selective"),"Reach",IF(COUNT(U268:V268)=0,"No data",CHOOSE(W268+2,"Reach","Target","Likely"))),IF(DB_Colleges!Y262&lt;0.15,"Reach",IF(DB_Colleges!Y262&gt;=0.75,IF(W268&gt;=0,"Likely","Target"),IF(DB_Colleges!Y262&gt;=0.4,CHOOSE(W268+2,"Reach","Target","Likely"),IF(W268=1,"Target","Reach")))))))</f>
        <v/>
      </c>
      <c r="F268" s="28" t="str">
        <f aca="false">IF(OR(B268="",NOT(ISNUMBER(DB_Colleges!Y262))),"",DB_Colleges!Y262)</f>
        <v/>
      </c>
      <c r="G268" s="26" t="str">
        <f aca="false">IF(OR(B268="",NOT(ISNUMBER(DB_Colleges!Z262))),"",DB_Colleges!Z262&amp;"-"&amp;DB_Colleges!AA262)</f>
        <v/>
      </c>
      <c r="H268" s="26" t="str">
        <f aca="false">IF(OR(B268="",NOT(ISNUMBER(DB_Colleges!AD262))),"",DB_Colleges!AD262)</f>
        <v/>
      </c>
      <c r="I268" s="29" t="str">
        <f aca="false">IF(B268="","",IF(COUNT(DB_Colleges!I262:O262)=0,IF(DB_Colleges!P262="Yes","Rolling","Check site"),MIN(DB_Colleges!I262:O262)))</f>
        <v/>
      </c>
      <c r="J268" s="26" t="str">
        <f aca="false">IF(OR(B268="",COUNT(DB_Colleges!I262:O262)=0),"",INDEX({"ED","ED II","EA","EA II","REA","RD","Priority"},MATCH(MIN(DB_Colleges!I262:O262),DB_Colleges!I262:O262,0)))</f>
        <v/>
      </c>
      <c r="K268" s="29" t="str">
        <f aca="false">IF(OR(B268="",NOT(ISNUMBER(DB_Colleges!N262))),"",DB_Colleges!N262)</f>
        <v/>
      </c>
      <c r="L268" s="26" t="str">
        <f aca="false">IF(B268="","",DB_Colleges!G262&amp;"")</f>
        <v/>
      </c>
      <c r="M268" s="30" t="str">
        <f aca="false">IF(OR(B268="",NOT(ISNUMBER(DB_Colleges!S262))),"",DB_Colleges!S262)</f>
        <v/>
      </c>
      <c r="N268" s="26" t="str">
        <f aca="false">IF(B268="","",DB_Colleges!U262&amp;"")</f>
        <v/>
      </c>
      <c r="O268" s="26" t="str">
        <f aca="false">IF(B268="","",IF(ISNUMBER(DB_Colleges!AH262),DB_Colleges!AH262,"Check"))</f>
        <v/>
      </c>
      <c r="P268" s="26" t="str">
        <f aca="false">IF(B268="","",DB_Colleges!W262&amp;"")</f>
        <v/>
      </c>
      <c r="Q268" s="30" t="str">
        <f aca="false">IF(OR(B268="",NOT(ISNUMBER(DB_Colleges!AF262))),"",DB_Colleges!AF262)</f>
        <v/>
      </c>
      <c r="R268" s="28" t="str">
        <f aca="false">IF(OR(B268="",NOT(ISNUMBER(DB_Colleges!AG262))),"",DB_Colleges!AG262)</f>
        <v/>
      </c>
      <c r="S268" s="26" t="str">
        <f aca="false">IF(B268="","",DB_Colleges!AK262&amp;"")</f>
        <v/>
      </c>
      <c r="T268" s="26" t="str">
        <f aca="false">IF(B268="","",DB_Colleges!AI262&amp;"")</f>
        <v/>
      </c>
      <c r="U268" s="1" t="str">
        <f aca="false">IF(AND(ISNUMBER($X$4),ISNUMBER(DB_Colleges!Z262),ISNUMBER(DB_Colleges!AA262)),IF($X$4&gt;=DB_Colleges!AA262,1,IF($X$4&lt;DB_Colleges!Z262,-1,0)),"")</f>
        <v/>
      </c>
      <c r="V268" s="1" t="str">
        <f aca="false">IF(AND(ISNUMBER($Y$4),ISNUMBER(DB_Colleges!AD262)),IF($Y$4&gt;=DB_Colleges!AD262+0.15,1,IF($Y$4&lt;DB_Colleges!AD262-0.2,-1,0)),"")</f>
        <v/>
      </c>
      <c r="W268" s="1" t="n">
        <f aca="false">IF(COUNT(U268:V268)=0,0,MIN(U268:V268))</f>
        <v>0</v>
      </c>
    </row>
    <row r="269" customFormat="false" ht="15" hidden="false" customHeight="true" outlineLevel="0" collapsed="false">
      <c r="A269" s="26" t="str">
        <f aca="false">IF(B269="","",IF(COUNTIF('My Colleges'!$B$8:$B$27,B269)&gt;0,"On list",""))</f>
        <v/>
      </c>
      <c r="B269" s="27" t="str">
        <f aca="false">IF(DB_Colleges!A263="","",DB_Colleges!A263)</f>
        <v/>
      </c>
      <c r="C269" s="26" t="str">
        <f aca="false">IF(B269="","",DB_Colleges!B263)</f>
        <v/>
      </c>
      <c r="D269" s="26" t="str">
        <f aca="false">IF(B269="","",DB_Colleges!C263&amp;", "&amp;DB_Colleges!D263)</f>
        <v/>
      </c>
      <c r="E269" s="26" t="str">
        <f aca="false">IF(B269="","",IF(AND(NOT(ISNUMBER($X$4)),NOT(ISNUMBER($Y$4))),"Add scores",IF(NOT(ISNUMBER(DB_Colleges!Y263)),IF(OR(C269="Ivy League",C269="Highly Selective"),"Reach",IF(COUNT(U269:V269)=0,"No data",CHOOSE(W269+2,"Reach","Target","Likely"))),IF(DB_Colleges!Y263&lt;0.15,"Reach",IF(DB_Colleges!Y263&gt;=0.75,IF(W269&gt;=0,"Likely","Target"),IF(DB_Colleges!Y263&gt;=0.4,CHOOSE(W269+2,"Reach","Target","Likely"),IF(W269=1,"Target","Reach")))))))</f>
        <v/>
      </c>
      <c r="F269" s="28" t="str">
        <f aca="false">IF(OR(B269="",NOT(ISNUMBER(DB_Colleges!Y263))),"",DB_Colleges!Y263)</f>
        <v/>
      </c>
      <c r="G269" s="26" t="str">
        <f aca="false">IF(OR(B269="",NOT(ISNUMBER(DB_Colleges!Z263))),"",DB_Colleges!Z263&amp;"-"&amp;DB_Colleges!AA263)</f>
        <v/>
      </c>
      <c r="H269" s="26" t="str">
        <f aca="false">IF(OR(B269="",NOT(ISNUMBER(DB_Colleges!AD263))),"",DB_Colleges!AD263)</f>
        <v/>
      </c>
      <c r="I269" s="29" t="str">
        <f aca="false">IF(B269="","",IF(COUNT(DB_Colleges!I263:O263)=0,IF(DB_Colleges!P263="Yes","Rolling","Check site"),MIN(DB_Colleges!I263:O263)))</f>
        <v/>
      </c>
      <c r="J269" s="26" t="str">
        <f aca="false">IF(OR(B269="",COUNT(DB_Colleges!I263:O263)=0),"",INDEX({"ED","ED II","EA","EA II","REA","RD","Priority"},MATCH(MIN(DB_Colleges!I263:O263),DB_Colleges!I263:O263,0)))</f>
        <v/>
      </c>
      <c r="K269" s="29" t="str">
        <f aca="false">IF(OR(B269="",NOT(ISNUMBER(DB_Colleges!N263))),"",DB_Colleges!N263)</f>
        <v/>
      </c>
      <c r="L269" s="26" t="str">
        <f aca="false">IF(B269="","",DB_Colleges!G263&amp;"")</f>
        <v/>
      </c>
      <c r="M269" s="30" t="str">
        <f aca="false">IF(OR(B269="",NOT(ISNUMBER(DB_Colleges!S263))),"",DB_Colleges!S263)</f>
        <v/>
      </c>
      <c r="N269" s="26" t="str">
        <f aca="false">IF(B269="","",DB_Colleges!U263&amp;"")</f>
        <v/>
      </c>
      <c r="O269" s="26" t="str">
        <f aca="false">IF(B269="","",IF(ISNUMBER(DB_Colleges!AH263),DB_Colleges!AH263,"Check"))</f>
        <v/>
      </c>
      <c r="P269" s="26" t="str">
        <f aca="false">IF(B269="","",DB_Colleges!W263&amp;"")</f>
        <v/>
      </c>
      <c r="Q269" s="30" t="str">
        <f aca="false">IF(OR(B269="",NOT(ISNUMBER(DB_Colleges!AF263))),"",DB_Colleges!AF263)</f>
        <v/>
      </c>
      <c r="R269" s="28" t="str">
        <f aca="false">IF(OR(B269="",NOT(ISNUMBER(DB_Colleges!AG263))),"",DB_Colleges!AG263)</f>
        <v/>
      </c>
      <c r="S269" s="26" t="str">
        <f aca="false">IF(B269="","",DB_Colleges!AK263&amp;"")</f>
        <v/>
      </c>
      <c r="T269" s="26" t="str">
        <f aca="false">IF(B269="","",DB_Colleges!AI263&amp;"")</f>
        <v/>
      </c>
      <c r="U269" s="1" t="str">
        <f aca="false">IF(AND(ISNUMBER($X$4),ISNUMBER(DB_Colleges!Z263),ISNUMBER(DB_Colleges!AA263)),IF($X$4&gt;=DB_Colleges!AA263,1,IF($X$4&lt;DB_Colleges!Z263,-1,0)),"")</f>
        <v/>
      </c>
      <c r="V269" s="1" t="str">
        <f aca="false">IF(AND(ISNUMBER($Y$4),ISNUMBER(DB_Colleges!AD263)),IF($Y$4&gt;=DB_Colleges!AD263+0.15,1,IF($Y$4&lt;DB_Colleges!AD263-0.2,-1,0)),"")</f>
        <v/>
      </c>
      <c r="W269" s="1" t="n">
        <f aca="false">IF(COUNT(U269:V269)=0,0,MIN(U269:V269))</f>
        <v>0</v>
      </c>
    </row>
    <row r="270" customFormat="false" ht="15" hidden="false" customHeight="true" outlineLevel="0" collapsed="false">
      <c r="A270" s="26" t="str">
        <f aca="false">IF(B270="","",IF(COUNTIF('My Colleges'!$B$8:$B$27,B270)&gt;0,"On list",""))</f>
        <v/>
      </c>
      <c r="B270" s="27" t="str">
        <f aca="false">IF(DB_Colleges!A264="","",DB_Colleges!A264)</f>
        <v/>
      </c>
      <c r="C270" s="26" t="str">
        <f aca="false">IF(B270="","",DB_Colleges!B264)</f>
        <v/>
      </c>
      <c r="D270" s="26" t="str">
        <f aca="false">IF(B270="","",DB_Colleges!C264&amp;", "&amp;DB_Colleges!D264)</f>
        <v/>
      </c>
      <c r="E270" s="26" t="str">
        <f aca="false">IF(B270="","",IF(AND(NOT(ISNUMBER($X$4)),NOT(ISNUMBER($Y$4))),"Add scores",IF(NOT(ISNUMBER(DB_Colleges!Y264)),IF(OR(C270="Ivy League",C270="Highly Selective"),"Reach",IF(COUNT(U270:V270)=0,"No data",CHOOSE(W270+2,"Reach","Target","Likely"))),IF(DB_Colleges!Y264&lt;0.15,"Reach",IF(DB_Colleges!Y264&gt;=0.75,IF(W270&gt;=0,"Likely","Target"),IF(DB_Colleges!Y264&gt;=0.4,CHOOSE(W270+2,"Reach","Target","Likely"),IF(W270=1,"Target","Reach")))))))</f>
        <v/>
      </c>
      <c r="F270" s="28" t="str">
        <f aca="false">IF(OR(B270="",NOT(ISNUMBER(DB_Colleges!Y264))),"",DB_Colleges!Y264)</f>
        <v/>
      </c>
      <c r="G270" s="26" t="str">
        <f aca="false">IF(OR(B270="",NOT(ISNUMBER(DB_Colleges!Z264))),"",DB_Colleges!Z264&amp;"-"&amp;DB_Colleges!AA264)</f>
        <v/>
      </c>
      <c r="H270" s="26" t="str">
        <f aca="false">IF(OR(B270="",NOT(ISNUMBER(DB_Colleges!AD264))),"",DB_Colleges!AD264)</f>
        <v/>
      </c>
      <c r="I270" s="29" t="str">
        <f aca="false">IF(B270="","",IF(COUNT(DB_Colleges!I264:O264)=0,IF(DB_Colleges!P264="Yes","Rolling","Check site"),MIN(DB_Colleges!I264:O264)))</f>
        <v/>
      </c>
      <c r="J270" s="26" t="str">
        <f aca="false">IF(OR(B270="",COUNT(DB_Colleges!I264:O264)=0),"",INDEX({"ED","ED II","EA","EA II","REA","RD","Priority"},MATCH(MIN(DB_Colleges!I264:O264),DB_Colleges!I264:O264,0)))</f>
        <v/>
      </c>
      <c r="K270" s="29" t="str">
        <f aca="false">IF(OR(B270="",NOT(ISNUMBER(DB_Colleges!N264))),"",DB_Colleges!N264)</f>
        <v/>
      </c>
      <c r="L270" s="26" t="str">
        <f aca="false">IF(B270="","",DB_Colleges!G264&amp;"")</f>
        <v/>
      </c>
      <c r="M270" s="30" t="str">
        <f aca="false">IF(OR(B270="",NOT(ISNUMBER(DB_Colleges!S264))),"",DB_Colleges!S264)</f>
        <v/>
      </c>
      <c r="N270" s="26" t="str">
        <f aca="false">IF(B270="","",DB_Colleges!U264&amp;"")</f>
        <v/>
      </c>
      <c r="O270" s="26" t="str">
        <f aca="false">IF(B270="","",IF(ISNUMBER(DB_Colleges!AH264),DB_Colleges!AH264,"Check"))</f>
        <v/>
      </c>
      <c r="P270" s="26" t="str">
        <f aca="false">IF(B270="","",DB_Colleges!W264&amp;"")</f>
        <v/>
      </c>
      <c r="Q270" s="30" t="str">
        <f aca="false">IF(OR(B270="",NOT(ISNUMBER(DB_Colleges!AF264))),"",DB_Colleges!AF264)</f>
        <v/>
      </c>
      <c r="R270" s="28" t="str">
        <f aca="false">IF(OR(B270="",NOT(ISNUMBER(DB_Colleges!AG264))),"",DB_Colleges!AG264)</f>
        <v/>
      </c>
      <c r="S270" s="26" t="str">
        <f aca="false">IF(B270="","",DB_Colleges!AK264&amp;"")</f>
        <v/>
      </c>
      <c r="T270" s="26" t="str">
        <f aca="false">IF(B270="","",DB_Colleges!AI264&amp;"")</f>
        <v/>
      </c>
      <c r="U270" s="1" t="str">
        <f aca="false">IF(AND(ISNUMBER($X$4),ISNUMBER(DB_Colleges!Z264),ISNUMBER(DB_Colleges!AA264)),IF($X$4&gt;=DB_Colleges!AA264,1,IF($X$4&lt;DB_Colleges!Z264,-1,0)),"")</f>
        <v/>
      </c>
      <c r="V270" s="1" t="str">
        <f aca="false">IF(AND(ISNUMBER($Y$4),ISNUMBER(DB_Colleges!AD264)),IF($Y$4&gt;=DB_Colleges!AD264+0.15,1,IF($Y$4&lt;DB_Colleges!AD264-0.2,-1,0)),"")</f>
        <v/>
      </c>
      <c r="W270" s="1" t="n">
        <f aca="false">IF(COUNT(U270:V270)=0,0,MIN(U270:V270))</f>
        <v>0</v>
      </c>
    </row>
    <row r="271" customFormat="false" ht="15" hidden="false" customHeight="true" outlineLevel="0" collapsed="false">
      <c r="A271" s="26" t="str">
        <f aca="false">IF(B271="","",IF(COUNTIF('My Colleges'!$B$8:$B$27,B271)&gt;0,"On list",""))</f>
        <v/>
      </c>
      <c r="B271" s="27" t="str">
        <f aca="false">IF(DB_Colleges!A265="","",DB_Colleges!A265)</f>
        <v/>
      </c>
      <c r="C271" s="26" t="str">
        <f aca="false">IF(B271="","",DB_Colleges!B265)</f>
        <v/>
      </c>
      <c r="D271" s="26" t="str">
        <f aca="false">IF(B271="","",DB_Colleges!C265&amp;", "&amp;DB_Colleges!D265)</f>
        <v/>
      </c>
      <c r="E271" s="26" t="str">
        <f aca="false">IF(B271="","",IF(AND(NOT(ISNUMBER($X$4)),NOT(ISNUMBER($Y$4))),"Add scores",IF(NOT(ISNUMBER(DB_Colleges!Y265)),IF(OR(C271="Ivy League",C271="Highly Selective"),"Reach",IF(COUNT(U271:V271)=0,"No data",CHOOSE(W271+2,"Reach","Target","Likely"))),IF(DB_Colleges!Y265&lt;0.15,"Reach",IF(DB_Colleges!Y265&gt;=0.75,IF(W271&gt;=0,"Likely","Target"),IF(DB_Colleges!Y265&gt;=0.4,CHOOSE(W271+2,"Reach","Target","Likely"),IF(W271=1,"Target","Reach")))))))</f>
        <v/>
      </c>
      <c r="F271" s="28" t="str">
        <f aca="false">IF(OR(B271="",NOT(ISNUMBER(DB_Colleges!Y265))),"",DB_Colleges!Y265)</f>
        <v/>
      </c>
      <c r="G271" s="26" t="str">
        <f aca="false">IF(OR(B271="",NOT(ISNUMBER(DB_Colleges!Z265))),"",DB_Colleges!Z265&amp;"-"&amp;DB_Colleges!AA265)</f>
        <v/>
      </c>
      <c r="H271" s="26" t="str">
        <f aca="false">IF(OR(B271="",NOT(ISNUMBER(DB_Colleges!AD265))),"",DB_Colleges!AD265)</f>
        <v/>
      </c>
      <c r="I271" s="29" t="str">
        <f aca="false">IF(B271="","",IF(COUNT(DB_Colleges!I265:O265)=0,IF(DB_Colleges!P265="Yes","Rolling","Check site"),MIN(DB_Colleges!I265:O265)))</f>
        <v/>
      </c>
      <c r="J271" s="26" t="str">
        <f aca="false">IF(OR(B271="",COUNT(DB_Colleges!I265:O265)=0),"",INDEX({"ED","ED II","EA","EA II","REA","RD","Priority"},MATCH(MIN(DB_Colleges!I265:O265),DB_Colleges!I265:O265,0)))</f>
        <v/>
      </c>
      <c r="K271" s="29" t="str">
        <f aca="false">IF(OR(B271="",NOT(ISNUMBER(DB_Colleges!N265))),"",DB_Colleges!N265)</f>
        <v/>
      </c>
      <c r="L271" s="26" t="str">
        <f aca="false">IF(B271="","",DB_Colleges!G265&amp;"")</f>
        <v/>
      </c>
      <c r="M271" s="30" t="str">
        <f aca="false">IF(OR(B271="",NOT(ISNUMBER(DB_Colleges!S265))),"",DB_Colleges!S265)</f>
        <v/>
      </c>
      <c r="N271" s="26" t="str">
        <f aca="false">IF(B271="","",DB_Colleges!U265&amp;"")</f>
        <v/>
      </c>
      <c r="O271" s="26" t="str">
        <f aca="false">IF(B271="","",IF(ISNUMBER(DB_Colleges!AH265),DB_Colleges!AH265,"Check"))</f>
        <v/>
      </c>
      <c r="P271" s="26" t="str">
        <f aca="false">IF(B271="","",DB_Colleges!W265&amp;"")</f>
        <v/>
      </c>
      <c r="Q271" s="30" t="str">
        <f aca="false">IF(OR(B271="",NOT(ISNUMBER(DB_Colleges!AF265))),"",DB_Colleges!AF265)</f>
        <v/>
      </c>
      <c r="R271" s="28" t="str">
        <f aca="false">IF(OR(B271="",NOT(ISNUMBER(DB_Colleges!AG265))),"",DB_Colleges!AG265)</f>
        <v/>
      </c>
      <c r="S271" s="26" t="str">
        <f aca="false">IF(B271="","",DB_Colleges!AK265&amp;"")</f>
        <v/>
      </c>
      <c r="T271" s="26" t="str">
        <f aca="false">IF(B271="","",DB_Colleges!AI265&amp;"")</f>
        <v/>
      </c>
      <c r="U271" s="1" t="str">
        <f aca="false">IF(AND(ISNUMBER($X$4),ISNUMBER(DB_Colleges!Z265),ISNUMBER(DB_Colleges!AA265)),IF($X$4&gt;=DB_Colleges!AA265,1,IF($X$4&lt;DB_Colleges!Z265,-1,0)),"")</f>
        <v/>
      </c>
      <c r="V271" s="1" t="str">
        <f aca="false">IF(AND(ISNUMBER($Y$4),ISNUMBER(DB_Colleges!AD265)),IF($Y$4&gt;=DB_Colleges!AD265+0.15,1,IF($Y$4&lt;DB_Colleges!AD265-0.2,-1,0)),"")</f>
        <v/>
      </c>
      <c r="W271" s="1" t="n">
        <f aca="false">IF(COUNT(U271:V271)=0,0,MIN(U271:V271))</f>
        <v>0</v>
      </c>
    </row>
    <row r="272" customFormat="false" ht="15" hidden="false" customHeight="true" outlineLevel="0" collapsed="false">
      <c r="A272" s="26" t="str">
        <f aca="false">IF(B272="","",IF(COUNTIF('My Colleges'!$B$8:$B$27,B272)&gt;0,"On list",""))</f>
        <v/>
      </c>
      <c r="B272" s="27" t="str">
        <f aca="false">IF(DB_Colleges!A266="","",DB_Colleges!A266)</f>
        <v/>
      </c>
      <c r="C272" s="26" t="str">
        <f aca="false">IF(B272="","",DB_Colleges!B266)</f>
        <v/>
      </c>
      <c r="D272" s="26" t="str">
        <f aca="false">IF(B272="","",DB_Colleges!C266&amp;", "&amp;DB_Colleges!D266)</f>
        <v/>
      </c>
      <c r="E272" s="26" t="str">
        <f aca="false">IF(B272="","",IF(AND(NOT(ISNUMBER($X$4)),NOT(ISNUMBER($Y$4))),"Add scores",IF(NOT(ISNUMBER(DB_Colleges!Y266)),IF(OR(C272="Ivy League",C272="Highly Selective"),"Reach",IF(COUNT(U272:V272)=0,"No data",CHOOSE(W272+2,"Reach","Target","Likely"))),IF(DB_Colleges!Y266&lt;0.15,"Reach",IF(DB_Colleges!Y266&gt;=0.75,IF(W272&gt;=0,"Likely","Target"),IF(DB_Colleges!Y266&gt;=0.4,CHOOSE(W272+2,"Reach","Target","Likely"),IF(W272=1,"Target","Reach")))))))</f>
        <v/>
      </c>
      <c r="F272" s="28" t="str">
        <f aca="false">IF(OR(B272="",NOT(ISNUMBER(DB_Colleges!Y266))),"",DB_Colleges!Y266)</f>
        <v/>
      </c>
      <c r="G272" s="26" t="str">
        <f aca="false">IF(OR(B272="",NOT(ISNUMBER(DB_Colleges!Z266))),"",DB_Colleges!Z266&amp;"-"&amp;DB_Colleges!AA266)</f>
        <v/>
      </c>
      <c r="H272" s="26" t="str">
        <f aca="false">IF(OR(B272="",NOT(ISNUMBER(DB_Colleges!AD266))),"",DB_Colleges!AD266)</f>
        <v/>
      </c>
      <c r="I272" s="29" t="str">
        <f aca="false">IF(B272="","",IF(COUNT(DB_Colleges!I266:O266)=0,IF(DB_Colleges!P266="Yes","Rolling","Check site"),MIN(DB_Colleges!I266:O266)))</f>
        <v/>
      </c>
      <c r="J272" s="26" t="str">
        <f aca="false">IF(OR(B272="",COUNT(DB_Colleges!I266:O266)=0),"",INDEX({"ED","ED II","EA","EA II","REA","RD","Priority"},MATCH(MIN(DB_Colleges!I266:O266),DB_Colleges!I266:O266,0)))</f>
        <v/>
      </c>
      <c r="K272" s="29" t="str">
        <f aca="false">IF(OR(B272="",NOT(ISNUMBER(DB_Colleges!N266))),"",DB_Colleges!N266)</f>
        <v/>
      </c>
      <c r="L272" s="26" t="str">
        <f aca="false">IF(B272="","",DB_Colleges!G266&amp;"")</f>
        <v/>
      </c>
      <c r="M272" s="30" t="str">
        <f aca="false">IF(OR(B272="",NOT(ISNUMBER(DB_Colleges!S266))),"",DB_Colleges!S266)</f>
        <v/>
      </c>
      <c r="N272" s="26" t="str">
        <f aca="false">IF(B272="","",DB_Colleges!U266&amp;"")</f>
        <v/>
      </c>
      <c r="O272" s="26" t="str">
        <f aca="false">IF(B272="","",IF(ISNUMBER(DB_Colleges!AH266),DB_Colleges!AH266,"Check"))</f>
        <v/>
      </c>
      <c r="P272" s="26" t="str">
        <f aca="false">IF(B272="","",DB_Colleges!W266&amp;"")</f>
        <v/>
      </c>
      <c r="Q272" s="30" t="str">
        <f aca="false">IF(OR(B272="",NOT(ISNUMBER(DB_Colleges!AF266))),"",DB_Colleges!AF266)</f>
        <v/>
      </c>
      <c r="R272" s="28" t="str">
        <f aca="false">IF(OR(B272="",NOT(ISNUMBER(DB_Colleges!AG266))),"",DB_Colleges!AG266)</f>
        <v/>
      </c>
      <c r="S272" s="26" t="str">
        <f aca="false">IF(B272="","",DB_Colleges!AK266&amp;"")</f>
        <v/>
      </c>
      <c r="T272" s="26" t="str">
        <f aca="false">IF(B272="","",DB_Colleges!AI266&amp;"")</f>
        <v/>
      </c>
      <c r="U272" s="1" t="str">
        <f aca="false">IF(AND(ISNUMBER($X$4),ISNUMBER(DB_Colleges!Z266),ISNUMBER(DB_Colleges!AA266)),IF($X$4&gt;=DB_Colleges!AA266,1,IF($X$4&lt;DB_Colleges!Z266,-1,0)),"")</f>
        <v/>
      </c>
      <c r="V272" s="1" t="str">
        <f aca="false">IF(AND(ISNUMBER($Y$4),ISNUMBER(DB_Colleges!AD266)),IF($Y$4&gt;=DB_Colleges!AD266+0.15,1,IF($Y$4&lt;DB_Colleges!AD266-0.2,-1,0)),"")</f>
        <v/>
      </c>
      <c r="W272" s="1" t="n">
        <f aca="false">IF(COUNT(U272:V272)=0,0,MIN(U272:V272))</f>
        <v>0</v>
      </c>
    </row>
    <row r="273" customFormat="false" ht="15" hidden="false" customHeight="true" outlineLevel="0" collapsed="false">
      <c r="A273" s="26" t="str">
        <f aca="false">IF(B273="","",IF(COUNTIF('My Colleges'!$B$8:$B$27,B273)&gt;0,"On list",""))</f>
        <v/>
      </c>
      <c r="B273" s="27" t="str">
        <f aca="false">IF(DB_Colleges!A267="","",DB_Colleges!A267)</f>
        <v/>
      </c>
      <c r="C273" s="26" t="str">
        <f aca="false">IF(B273="","",DB_Colleges!B267)</f>
        <v/>
      </c>
      <c r="D273" s="26" t="str">
        <f aca="false">IF(B273="","",DB_Colleges!C267&amp;", "&amp;DB_Colleges!D267)</f>
        <v/>
      </c>
      <c r="E273" s="26" t="str">
        <f aca="false">IF(B273="","",IF(AND(NOT(ISNUMBER($X$4)),NOT(ISNUMBER($Y$4))),"Add scores",IF(NOT(ISNUMBER(DB_Colleges!Y267)),IF(OR(C273="Ivy League",C273="Highly Selective"),"Reach",IF(COUNT(U273:V273)=0,"No data",CHOOSE(W273+2,"Reach","Target","Likely"))),IF(DB_Colleges!Y267&lt;0.15,"Reach",IF(DB_Colleges!Y267&gt;=0.75,IF(W273&gt;=0,"Likely","Target"),IF(DB_Colleges!Y267&gt;=0.4,CHOOSE(W273+2,"Reach","Target","Likely"),IF(W273=1,"Target","Reach")))))))</f>
        <v/>
      </c>
      <c r="F273" s="28" t="str">
        <f aca="false">IF(OR(B273="",NOT(ISNUMBER(DB_Colleges!Y267))),"",DB_Colleges!Y267)</f>
        <v/>
      </c>
      <c r="G273" s="26" t="str">
        <f aca="false">IF(OR(B273="",NOT(ISNUMBER(DB_Colleges!Z267))),"",DB_Colleges!Z267&amp;"-"&amp;DB_Colleges!AA267)</f>
        <v/>
      </c>
      <c r="H273" s="26" t="str">
        <f aca="false">IF(OR(B273="",NOT(ISNUMBER(DB_Colleges!AD267))),"",DB_Colleges!AD267)</f>
        <v/>
      </c>
      <c r="I273" s="29" t="str">
        <f aca="false">IF(B273="","",IF(COUNT(DB_Colleges!I267:O267)=0,IF(DB_Colleges!P267="Yes","Rolling","Check site"),MIN(DB_Colleges!I267:O267)))</f>
        <v/>
      </c>
      <c r="J273" s="26" t="str">
        <f aca="false">IF(OR(B273="",COUNT(DB_Colleges!I267:O267)=0),"",INDEX({"ED","ED II","EA","EA II","REA","RD","Priority"},MATCH(MIN(DB_Colleges!I267:O267),DB_Colleges!I267:O267,0)))</f>
        <v/>
      </c>
      <c r="K273" s="29" t="str">
        <f aca="false">IF(OR(B273="",NOT(ISNUMBER(DB_Colleges!N267))),"",DB_Colleges!N267)</f>
        <v/>
      </c>
      <c r="L273" s="26" t="str">
        <f aca="false">IF(B273="","",DB_Colleges!G267&amp;"")</f>
        <v/>
      </c>
      <c r="M273" s="30" t="str">
        <f aca="false">IF(OR(B273="",NOT(ISNUMBER(DB_Colleges!S267))),"",DB_Colleges!S267)</f>
        <v/>
      </c>
      <c r="N273" s="26" t="str">
        <f aca="false">IF(B273="","",DB_Colleges!U267&amp;"")</f>
        <v/>
      </c>
      <c r="O273" s="26" t="str">
        <f aca="false">IF(B273="","",IF(ISNUMBER(DB_Colleges!AH267),DB_Colleges!AH267,"Check"))</f>
        <v/>
      </c>
      <c r="P273" s="26" t="str">
        <f aca="false">IF(B273="","",DB_Colleges!W267&amp;"")</f>
        <v/>
      </c>
      <c r="Q273" s="30" t="str">
        <f aca="false">IF(OR(B273="",NOT(ISNUMBER(DB_Colleges!AF267))),"",DB_Colleges!AF267)</f>
        <v/>
      </c>
      <c r="R273" s="28" t="str">
        <f aca="false">IF(OR(B273="",NOT(ISNUMBER(DB_Colleges!AG267))),"",DB_Colleges!AG267)</f>
        <v/>
      </c>
      <c r="S273" s="26" t="str">
        <f aca="false">IF(B273="","",DB_Colleges!AK267&amp;"")</f>
        <v/>
      </c>
      <c r="T273" s="26" t="str">
        <f aca="false">IF(B273="","",DB_Colleges!AI267&amp;"")</f>
        <v/>
      </c>
      <c r="U273" s="1" t="str">
        <f aca="false">IF(AND(ISNUMBER($X$4),ISNUMBER(DB_Colleges!Z267),ISNUMBER(DB_Colleges!AA267)),IF($X$4&gt;=DB_Colleges!AA267,1,IF($X$4&lt;DB_Colleges!Z267,-1,0)),"")</f>
        <v/>
      </c>
      <c r="V273" s="1" t="str">
        <f aca="false">IF(AND(ISNUMBER($Y$4),ISNUMBER(DB_Colleges!AD267)),IF($Y$4&gt;=DB_Colleges!AD267+0.15,1,IF($Y$4&lt;DB_Colleges!AD267-0.2,-1,0)),"")</f>
        <v/>
      </c>
      <c r="W273" s="1" t="n">
        <f aca="false">IF(COUNT(U273:V273)=0,0,MIN(U273:V273))</f>
        <v>0</v>
      </c>
    </row>
    <row r="274" customFormat="false" ht="15" hidden="false" customHeight="true" outlineLevel="0" collapsed="false">
      <c r="A274" s="26" t="str">
        <f aca="false">IF(B274="","",IF(COUNTIF('My Colleges'!$B$8:$B$27,B274)&gt;0,"On list",""))</f>
        <v/>
      </c>
      <c r="B274" s="27" t="str">
        <f aca="false">IF(DB_Colleges!A268="","",DB_Colleges!A268)</f>
        <v/>
      </c>
      <c r="C274" s="26" t="str">
        <f aca="false">IF(B274="","",DB_Colleges!B268)</f>
        <v/>
      </c>
      <c r="D274" s="26" t="str">
        <f aca="false">IF(B274="","",DB_Colleges!C268&amp;", "&amp;DB_Colleges!D268)</f>
        <v/>
      </c>
      <c r="E274" s="26" t="str">
        <f aca="false">IF(B274="","",IF(AND(NOT(ISNUMBER($X$4)),NOT(ISNUMBER($Y$4))),"Add scores",IF(NOT(ISNUMBER(DB_Colleges!Y268)),IF(OR(C274="Ivy League",C274="Highly Selective"),"Reach",IF(COUNT(U274:V274)=0,"No data",CHOOSE(W274+2,"Reach","Target","Likely"))),IF(DB_Colleges!Y268&lt;0.15,"Reach",IF(DB_Colleges!Y268&gt;=0.75,IF(W274&gt;=0,"Likely","Target"),IF(DB_Colleges!Y268&gt;=0.4,CHOOSE(W274+2,"Reach","Target","Likely"),IF(W274=1,"Target","Reach")))))))</f>
        <v/>
      </c>
      <c r="F274" s="28" t="str">
        <f aca="false">IF(OR(B274="",NOT(ISNUMBER(DB_Colleges!Y268))),"",DB_Colleges!Y268)</f>
        <v/>
      </c>
      <c r="G274" s="26" t="str">
        <f aca="false">IF(OR(B274="",NOT(ISNUMBER(DB_Colleges!Z268))),"",DB_Colleges!Z268&amp;"-"&amp;DB_Colleges!AA268)</f>
        <v/>
      </c>
      <c r="H274" s="26" t="str">
        <f aca="false">IF(OR(B274="",NOT(ISNUMBER(DB_Colleges!AD268))),"",DB_Colleges!AD268)</f>
        <v/>
      </c>
      <c r="I274" s="29" t="str">
        <f aca="false">IF(B274="","",IF(COUNT(DB_Colleges!I268:O268)=0,IF(DB_Colleges!P268="Yes","Rolling","Check site"),MIN(DB_Colleges!I268:O268)))</f>
        <v/>
      </c>
      <c r="J274" s="26" t="str">
        <f aca="false">IF(OR(B274="",COUNT(DB_Colleges!I268:O268)=0),"",INDEX({"ED","ED II","EA","EA II","REA","RD","Priority"},MATCH(MIN(DB_Colleges!I268:O268),DB_Colleges!I268:O268,0)))</f>
        <v/>
      </c>
      <c r="K274" s="29" t="str">
        <f aca="false">IF(OR(B274="",NOT(ISNUMBER(DB_Colleges!N268))),"",DB_Colleges!N268)</f>
        <v/>
      </c>
      <c r="L274" s="26" t="str">
        <f aca="false">IF(B274="","",DB_Colleges!G268&amp;"")</f>
        <v/>
      </c>
      <c r="M274" s="30" t="str">
        <f aca="false">IF(OR(B274="",NOT(ISNUMBER(DB_Colleges!S268))),"",DB_Colleges!S268)</f>
        <v/>
      </c>
      <c r="N274" s="26" t="str">
        <f aca="false">IF(B274="","",DB_Colleges!U268&amp;"")</f>
        <v/>
      </c>
      <c r="O274" s="26" t="str">
        <f aca="false">IF(B274="","",IF(ISNUMBER(DB_Colleges!AH268),DB_Colleges!AH268,"Check"))</f>
        <v/>
      </c>
      <c r="P274" s="26" t="str">
        <f aca="false">IF(B274="","",DB_Colleges!W268&amp;"")</f>
        <v/>
      </c>
      <c r="Q274" s="30" t="str">
        <f aca="false">IF(OR(B274="",NOT(ISNUMBER(DB_Colleges!AF268))),"",DB_Colleges!AF268)</f>
        <v/>
      </c>
      <c r="R274" s="28" t="str">
        <f aca="false">IF(OR(B274="",NOT(ISNUMBER(DB_Colleges!AG268))),"",DB_Colleges!AG268)</f>
        <v/>
      </c>
      <c r="S274" s="26" t="str">
        <f aca="false">IF(B274="","",DB_Colleges!AK268&amp;"")</f>
        <v/>
      </c>
      <c r="T274" s="26" t="str">
        <f aca="false">IF(B274="","",DB_Colleges!AI268&amp;"")</f>
        <v/>
      </c>
      <c r="U274" s="1" t="str">
        <f aca="false">IF(AND(ISNUMBER($X$4),ISNUMBER(DB_Colleges!Z268),ISNUMBER(DB_Colleges!AA268)),IF($X$4&gt;=DB_Colleges!AA268,1,IF($X$4&lt;DB_Colleges!Z268,-1,0)),"")</f>
        <v/>
      </c>
      <c r="V274" s="1" t="str">
        <f aca="false">IF(AND(ISNUMBER($Y$4),ISNUMBER(DB_Colleges!AD268)),IF($Y$4&gt;=DB_Colleges!AD268+0.15,1,IF($Y$4&lt;DB_Colleges!AD268-0.2,-1,0)),"")</f>
        <v/>
      </c>
      <c r="W274" s="1" t="n">
        <f aca="false">IF(COUNT(U274:V274)=0,0,MIN(U274:V274))</f>
        <v>0</v>
      </c>
    </row>
    <row r="275" customFormat="false" ht="15" hidden="false" customHeight="true" outlineLevel="0" collapsed="false">
      <c r="A275" s="26" t="str">
        <f aca="false">IF(B275="","",IF(COUNTIF('My Colleges'!$B$8:$B$27,B275)&gt;0,"On list",""))</f>
        <v/>
      </c>
      <c r="B275" s="27" t="str">
        <f aca="false">IF(DB_Colleges!A269="","",DB_Colleges!A269)</f>
        <v/>
      </c>
      <c r="C275" s="26" t="str">
        <f aca="false">IF(B275="","",DB_Colleges!B269)</f>
        <v/>
      </c>
      <c r="D275" s="26" t="str">
        <f aca="false">IF(B275="","",DB_Colleges!C269&amp;", "&amp;DB_Colleges!D269)</f>
        <v/>
      </c>
      <c r="E275" s="26" t="str">
        <f aca="false">IF(B275="","",IF(AND(NOT(ISNUMBER($X$4)),NOT(ISNUMBER($Y$4))),"Add scores",IF(NOT(ISNUMBER(DB_Colleges!Y269)),IF(OR(C275="Ivy League",C275="Highly Selective"),"Reach",IF(COUNT(U275:V275)=0,"No data",CHOOSE(W275+2,"Reach","Target","Likely"))),IF(DB_Colleges!Y269&lt;0.15,"Reach",IF(DB_Colleges!Y269&gt;=0.75,IF(W275&gt;=0,"Likely","Target"),IF(DB_Colleges!Y269&gt;=0.4,CHOOSE(W275+2,"Reach","Target","Likely"),IF(W275=1,"Target","Reach")))))))</f>
        <v/>
      </c>
      <c r="F275" s="28" t="str">
        <f aca="false">IF(OR(B275="",NOT(ISNUMBER(DB_Colleges!Y269))),"",DB_Colleges!Y269)</f>
        <v/>
      </c>
      <c r="G275" s="26" t="str">
        <f aca="false">IF(OR(B275="",NOT(ISNUMBER(DB_Colleges!Z269))),"",DB_Colleges!Z269&amp;"-"&amp;DB_Colleges!AA269)</f>
        <v/>
      </c>
      <c r="H275" s="26" t="str">
        <f aca="false">IF(OR(B275="",NOT(ISNUMBER(DB_Colleges!AD269))),"",DB_Colleges!AD269)</f>
        <v/>
      </c>
      <c r="I275" s="29" t="str">
        <f aca="false">IF(B275="","",IF(COUNT(DB_Colleges!I269:O269)=0,IF(DB_Colleges!P269="Yes","Rolling","Check site"),MIN(DB_Colleges!I269:O269)))</f>
        <v/>
      </c>
      <c r="J275" s="26" t="str">
        <f aca="false">IF(OR(B275="",COUNT(DB_Colleges!I269:O269)=0),"",INDEX({"ED","ED II","EA","EA II","REA","RD","Priority"},MATCH(MIN(DB_Colleges!I269:O269),DB_Colleges!I269:O269,0)))</f>
        <v/>
      </c>
      <c r="K275" s="29" t="str">
        <f aca="false">IF(OR(B275="",NOT(ISNUMBER(DB_Colleges!N269))),"",DB_Colleges!N269)</f>
        <v/>
      </c>
      <c r="L275" s="26" t="str">
        <f aca="false">IF(B275="","",DB_Colleges!G269&amp;"")</f>
        <v/>
      </c>
      <c r="M275" s="30" t="str">
        <f aca="false">IF(OR(B275="",NOT(ISNUMBER(DB_Colleges!S269))),"",DB_Colleges!S269)</f>
        <v/>
      </c>
      <c r="N275" s="26" t="str">
        <f aca="false">IF(B275="","",DB_Colleges!U269&amp;"")</f>
        <v/>
      </c>
      <c r="O275" s="26" t="str">
        <f aca="false">IF(B275="","",IF(ISNUMBER(DB_Colleges!AH269),DB_Colleges!AH269,"Check"))</f>
        <v/>
      </c>
      <c r="P275" s="26" t="str">
        <f aca="false">IF(B275="","",DB_Colleges!W269&amp;"")</f>
        <v/>
      </c>
      <c r="Q275" s="30" t="str">
        <f aca="false">IF(OR(B275="",NOT(ISNUMBER(DB_Colleges!AF269))),"",DB_Colleges!AF269)</f>
        <v/>
      </c>
      <c r="R275" s="28" t="str">
        <f aca="false">IF(OR(B275="",NOT(ISNUMBER(DB_Colleges!AG269))),"",DB_Colleges!AG269)</f>
        <v/>
      </c>
      <c r="S275" s="26" t="str">
        <f aca="false">IF(B275="","",DB_Colleges!AK269&amp;"")</f>
        <v/>
      </c>
      <c r="T275" s="26" t="str">
        <f aca="false">IF(B275="","",DB_Colleges!AI269&amp;"")</f>
        <v/>
      </c>
      <c r="U275" s="1" t="str">
        <f aca="false">IF(AND(ISNUMBER($X$4),ISNUMBER(DB_Colleges!Z269),ISNUMBER(DB_Colleges!AA269)),IF($X$4&gt;=DB_Colleges!AA269,1,IF($X$4&lt;DB_Colleges!Z269,-1,0)),"")</f>
        <v/>
      </c>
      <c r="V275" s="1" t="str">
        <f aca="false">IF(AND(ISNUMBER($Y$4),ISNUMBER(DB_Colleges!AD269)),IF($Y$4&gt;=DB_Colleges!AD269+0.15,1,IF($Y$4&lt;DB_Colleges!AD269-0.2,-1,0)),"")</f>
        <v/>
      </c>
      <c r="W275" s="1" t="n">
        <f aca="false">IF(COUNT(U275:V275)=0,0,MIN(U275:V275))</f>
        <v>0</v>
      </c>
    </row>
    <row r="276" customFormat="false" ht="15" hidden="false" customHeight="true" outlineLevel="0" collapsed="false">
      <c r="A276" s="26" t="str">
        <f aca="false">IF(B276="","",IF(COUNTIF('My Colleges'!$B$8:$B$27,B276)&gt;0,"On list",""))</f>
        <v/>
      </c>
      <c r="B276" s="27" t="str">
        <f aca="false">IF(DB_Colleges!A270="","",DB_Colleges!A270)</f>
        <v/>
      </c>
      <c r="C276" s="26" t="str">
        <f aca="false">IF(B276="","",DB_Colleges!B270)</f>
        <v/>
      </c>
      <c r="D276" s="26" t="str">
        <f aca="false">IF(B276="","",DB_Colleges!C270&amp;", "&amp;DB_Colleges!D270)</f>
        <v/>
      </c>
      <c r="E276" s="26" t="str">
        <f aca="false">IF(B276="","",IF(AND(NOT(ISNUMBER($X$4)),NOT(ISNUMBER($Y$4))),"Add scores",IF(NOT(ISNUMBER(DB_Colleges!Y270)),IF(OR(C276="Ivy League",C276="Highly Selective"),"Reach",IF(COUNT(U276:V276)=0,"No data",CHOOSE(W276+2,"Reach","Target","Likely"))),IF(DB_Colleges!Y270&lt;0.15,"Reach",IF(DB_Colleges!Y270&gt;=0.75,IF(W276&gt;=0,"Likely","Target"),IF(DB_Colleges!Y270&gt;=0.4,CHOOSE(W276+2,"Reach","Target","Likely"),IF(W276=1,"Target","Reach")))))))</f>
        <v/>
      </c>
      <c r="F276" s="28" t="str">
        <f aca="false">IF(OR(B276="",NOT(ISNUMBER(DB_Colleges!Y270))),"",DB_Colleges!Y270)</f>
        <v/>
      </c>
      <c r="G276" s="26" t="str">
        <f aca="false">IF(OR(B276="",NOT(ISNUMBER(DB_Colleges!Z270))),"",DB_Colleges!Z270&amp;"-"&amp;DB_Colleges!AA270)</f>
        <v/>
      </c>
      <c r="H276" s="26" t="str">
        <f aca="false">IF(OR(B276="",NOT(ISNUMBER(DB_Colleges!AD270))),"",DB_Colleges!AD270)</f>
        <v/>
      </c>
      <c r="I276" s="29" t="str">
        <f aca="false">IF(B276="","",IF(COUNT(DB_Colleges!I270:O270)=0,IF(DB_Colleges!P270="Yes","Rolling","Check site"),MIN(DB_Colleges!I270:O270)))</f>
        <v/>
      </c>
      <c r="J276" s="26" t="str">
        <f aca="false">IF(OR(B276="",COUNT(DB_Colleges!I270:O270)=0),"",INDEX({"ED","ED II","EA","EA II","REA","RD","Priority"},MATCH(MIN(DB_Colleges!I270:O270),DB_Colleges!I270:O270,0)))</f>
        <v/>
      </c>
      <c r="K276" s="29" t="str">
        <f aca="false">IF(OR(B276="",NOT(ISNUMBER(DB_Colleges!N270))),"",DB_Colleges!N270)</f>
        <v/>
      </c>
      <c r="L276" s="26" t="str">
        <f aca="false">IF(B276="","",DB_Colleges!G270&amp;"")</f>
        <v/>
      </c>
      <c r="M276" s="30" t="str">
        <f aca="false">IF(OR(B276="",NOT(ISNUMBER(DB_Colleges!S270))),"",DB_Colleges!S270)</f>
        <v/>
      </c>
      <c r="N276" s="26" t="str">
        <f aca="false">IF(B276="","",DB_Colleges!U270&amp;"")</f>
        <v/>
      </c>
      <c r="O276" s="26" t="str">
        <f aca="false">IF(B276="","",IF(ISNUMBER(DB_Colleges!AH270),DB_Colleges!AH270,"Check"))</f>
        <v/>
      </c>
      <c r="P276" s="26" t="str">
        <f aca="false">IF(B276="","",DB_Colleges!W270&amp;"")</f>
        <v/>
      </c>
      <c r="Q276" s="30" t="str">
        <f aca="false">IF(OR(B276="",NOT(ISNUMBER(DB_Colleges!AF270))),"",DB_Colleges!AF270)</f>
        <v/>
      </c>
      <c r="R276" s="28" t="str">
        <f aca="false">IF(OR(B276="",NOT(ISNUMBER(DB_Colleges!AG270))),"",DB_Colleges!AG270)</f>
        <v/>
      </c>
      <c r="S276" s="26" t="str">
        <f aca="false">IF(B276="","",DB_Colleges!AK270&amp;"")</f>
        <v/>
      </c>
      <c r="T276" s="26" t="str">
        <f aca="false">IF(B276="","",DB_Colleges!AI270&amp;"")</f>
        <v/>
      </c>
      <c r="U276" s="1" t="str">
        <f aca="false">IF(AND(ISNUMBER($X$4),ISNUMBER(DB_Colleges!Z270),ISNUMBER(DB_Colleges!AA270)),IF($X$4&gt;=DB_Colleges!AA270,1,IF($X$4&lt;DB_Colleges!Z270,-1,0)),"")</f>
        <v/>
      </c>
      <c r="V276" s="1" t="str">
        <f aca="false">IF(AND(ISNUMBER($Y$4),ISNUMBER(DB_Colleges!AD270)),IF($Y$4&gt;=DB_Colleges!AD270+0.15,1,IF($Y$4&lt;DB_Colleges!AD270-0.2,-1,0)),"")</f>
        <v/>
      </c>
      <c r="W276" s="1" t="n">
        <f aca="false">IF(COUNT(U276:V276)=0,0,MIN(U276:V276))</f>
        <v>0</v>
      </c>
    </row>
    <row r="277" customFormat="false" ht="15" hidden="false" customHeight="true" outlineLevel="0" collapsed="false">
      <c r="A277" s="26" t="str">
        <f aca="false">IF(B277="","",IF(COUNTIF('My Colleges'!$B$8:$B$27,B277)&gt;0,"On list",""))</f>
        <v/>
      </c>
      <c r="B277" s="27" t="str">
        <f aca="false">IF(DB_Colleges!A271="","",DB_Colleges!A271)</f>
        <v/>
      </c>
      <c r="C277" s="26" t="str">
        <f aca="false">IF(B277="","",DB_Colleges!B271)</f>
        <v/>
      </c>
      <c r="D277" s="26" t="str">
        <f aca="false">IF(B277="","",DB_Colleges!C271&amp;", "&amp;DB_Colleges!D271)</f>
        <v/>
      </c>
      <c r="E277" s="26" t="str">
        <f aca="false">IF(B277="","",IF(AND(NOT(ISNUMBER($X$4)),NOT(ISNUMBER($Y$4))),"Add scores",IF(NOT(ISNUMBER(DB_Colleges!Y271)),IF(OR(C277="Ivy League",C277="Highly Selective"),"Reach",IF(COUNT(U277:V277)=0,"No data",CHOOSE(W277+2,"Reach","Target","Likely"))),IF(DB_Colleges!Y271&lt;0.15,"Reach",IF(DB_Colleges!Y271&gt;=0.75,IF(W277&gt;=0,"Likely","Target"),IF(DB_Colleges!Y271&gt;=0.4,CHOOSE(W277+2,"Reach","Target","Likely"),IF(W277=1,"Target","Reach")))))))</f>
        <v/>
      </c>
      <c r="F277" s="28" t="str">
        <f aca="false">IF(OR(B277="",NOT(ISNUMBER(DB_Colleges!Y271))),"",DB_Colleges!Y271)</f>
        <v/>
      </c>
      <c r="G277" s="26" t="str">
        <f aca="false">IF(OR(B277="",NOT(ISNUMBER(DB_Colleges!Z271))),"",DB_Colleges!Z271&amp;"-"&amp;DB_Colleges!AA271)</f>
        <v/>
      </c>
      <c r="H277" s="26" t="str">
        <f aca="false">IF(OR(B277="",NOT(ISNUMBER(DB_Colleges!AD271))),"",DB_Colleges!AD271)</f>
        <v/>
      </c>
      <c r="I277" s="29" t="str">
        <f aca="false">IF(B277="","",IF(COUNT(DB_Colleges!I271:O271)=0,IF(DB_Colleges!P271="Yes","Rolling","Check site"),MIN(DB_Colleges!I271:O271)))</f>
        <v/>
      </c>
      <c r="J277" s="26" t="str">
        <f aca="false">IF(OR(B277="",COUNT(DB_Colleges!I271:O271)=0),"",INDEX({"ED","ED II","EA","EA II","REA","RD","Priority"},MATCH(MIN(DB_Colleges!I271:O271),DB_Colleges!I271:O271,0)))</f>
        <v/>
      </c>
      <c r="K277" s="29" t="str">
        <f aca="false">IF(OR(B277="",NOT(ISNUMBER(DB_Colleges!N271))),"",DB_Colleges!N271)</f>
        <v/>
      </c>
      <c r="L277" s="26" t="str">
        <f aca="false">IF(B277="","",DB_Colleges!G271&amp;"")</f>
        <v/>
      </c>
      <c r="M277" s="30" t="str">
        <f aca="false">IF(OR(B277="",NOT(ISNUMBER(DB_Colleges!S271))),"",DB_Colleges!S271)</f>
        <v/>
      </c>
      <c r="N277" s="26" t="str">
        <f aca="false">IF(B277="","",DB_Colleges!U271&amp;"")</f>
        <v/>
      </c>
      <c r="O277" s="26" t="str">
        <f aca="false">IF(B277="","",IF(ISNUMBER(DB_Colleges!AH271),DB_Colleges!AH271,"Check"))</f>
        <v/>
      </c>
      <c r="P277" s="26" t="str">
        <f aca="false">IF(B277="","",DB_Colleges!W271&amp;"")</f>
        <v/>
      </c>
      <c r="Q277" s="30" t="str">
        <f aca="false">IF(OR(B277="",NOT(ISNUMBER(DB_Colleges!AF271))),"",DB_Colleges!AF271)</f>
        <v/>
      </c>
      <c r="R277" s="28" t="str">
        <f aca="false">IF(OR(B277="",NOT(ISNUMBER(DB_Colleges!AG271))),"",DB_Colleges!AG271)</f>
        <v/>
      </c>
      <c r="S277" s="26" t="str">
        <f aca="false">IF(B277="","",DB_Colleges!AK271&amp;"")</f>
        <v/>
      </c>
      <c r="T277" s="26" t="str">
        <f aca="false">IF(B277="","",DB_Colleges!AI271&amp;"")</f>
        <v/>
      </c>
      <c r="U277" s="1" t="str">
        <f aca="false">IF(AND(ISNUMBER($X$4),ISNUMBER(DB_Colleges!Z271),ISNUMBER(DB_Colleges!AA271)),IF($X$4&gt;=DB_Colleges!AA271,1,IF($X$4&lt;DB_Colleges!Z271,-1,0)),"")</f>
        <v/>
      </c>
      <c r="V277" s="1" t="str">
        <f aca="false">IF(AND(ISNUMBER($Y$4),ISNUMBER(DB_Colleges!AD271)),IF($Y$4&gt;=DB_Colleges!AD271+0.15,1,IF($Y$4&lt;DB_Colleges!AD271-0.2,-1,0)),"")</f>
        <v/>
      </c>
      <c r="W277" s="1" t="n">
        <f aca="false">IF(COUNT(U277:V277)=0,0,MIN(U277:V277))</f>
        <v>0</v>
      </c>
    </row>
    <row r="278" customFormat="false" ht="15" hidden="false" customHeight="true" outlineLevel="0" collapsed="false">
      <c r="A278" s="26" t="str">
        <f aca="false">IF(B278="","",IF(COUNTIF('My Colleges'!$B$8:$B$27,B278)&gt;0,"On list",""))</f>
        <v/>
      </c>
      <c r="B278" s="27" t="str">
        <f aca="false">IF(DB_Colleges!A272="","",DB_Colleges!A272)</f>
        <v/>
      </c>
      <c r="C278" s="26" t="str">
        <f aca="false">IF(B278="","",DB_Colleges!B272)</f>
        <v/>
      </c>
      <c r="D278" s="26" t="str">
        <f aca="false">IF(B278="","",DB_Colleges!C272&amp;", "&amp;DB_Colleges!D272)</f>
        <v/>
      </c>
      <c r="E278" s="26" t="str">
        <f aca="false">IF(B278="","",IF(AND(NOT(ISNUMBER($X$4)),NOT(ISNUMBER($Y$4))),"Add scores",IF(NOT(ISNUMBER(DB_Colleges!Y272)),IF(OR(C278="Ivy League",C278="Highly Selective"),"Reach",IF(COUNT(U278:V278)=0,"No data",CHOOSE(W278+2,"Reach","Target","Likely"))),IF(DB_Colleges!Y272&lt;0.15,"Reach",IF(DB_Colleges!Y272&gt;=0.75,IF(W278&gt;=0,"Likely","Target"),IF(DB_Colleges!Y272&gt;=0.4,CHOOSE(W278+2,"Reach","Target","Likely"),IF(W278=1,"Target","Reach")))))))</f>
        <v/>
      </c>
      <c r="F278" s="28" t="str">
        <f aca="false">IF(OR(B278="",NOT(ISNUMBER(DB_Colleges!Y272))),"",DB_Colleges!Y272)</f>
        <v/>
      </c>
      <c r="G278" s="26" t="str">
        <f aca="false">IF(OR(B278="",NOT(ISNUMBER(DB_Colleges!Z272))),"",DB_Colleges!Z272&amp;"-"&amp;DB_Colleges!AA272)</f>
        <v/>
      </c>
      <c r="H278" s="26" t="str">
        <f aca="false">IF(OR(B278="",NOT(ISNUMBER(DB_Colleges!AD272))),"",DB_Colleges!AD272)</f>
        <v/>
      </c>
      <c r="I278" s="29" t="str">
        <f aca="false">IF(B278="","",IF(COUNT(DB_Colleges!I272:O272)=0,IF(DB_Colleges!P272="Yes","Rolling","Check site"),MIN(DB_Colleges!I272:O272)))</f>
        <v/>
      </c>
      <c r="J278" s="26" t="str">
        <f aca="false">IF(OR(B278="",COUNT(DB_Colleges!I272:O272)=0),"",INDEX({"ED","ED II","EA","EA II","REA","RD","Priority"},MATCH(MIN(DB_Colleges!I272:O272),DB_Colleges!I272:O272,0)))</f>
        <v/>
      </c>
      <c r="K278" s="29" t="str">
        <f aca="false">IF(OR(B278="",NOT(ISNUMBER(DB_Colleges!N272))),"",DB_Colleges!N272)</f>
        <v/>
      </c>
      <c r="L278" s="26" t="str">
        <f aca="false">IF(B278="","",DB_Colleges!G272&amp;"")</f>
        <v/>
      </c>
      <c r="M278" s="30" t="str">
        <f aca="false">IF(OR(B278="",NOT(ISNUMBER(DB_Colleges!S272))),"",DB_Colleges!S272)</f>
        <v/>
      </c>
      <c r="N278" s="26" t="str">
        <f aca="false">IF(B278="","",DB_Colleges!U272&amp;"")</f>
        <v/>
      </c>
      <c r="O278" s="26" t="str">
        <f aca="false">IF(B278="","",IF(ISNUMBER(DB_Colleges!AH272),DB_Colleges!AH272,"Check"))</f>
        <v/>
      </c>
      <c r="P278" s="26" t="str">
        <f aca="false">IF(B278="","",DB_Colleges!W272&amp;"")</f>
        <v/>
      </c>
      <c r="Q278" s="30" t="str">
        <f aca="false">IF(OR(B278="",NOT(ISNUMBER(DB_Colleges!AF272))),"",DB_Colleges!AF272)</f>
        <v/>
      </c>
      <c r="R278" s="28" t="str">
        <f aca="false">IF(OR(B278="",NOT(ISNUMBER(DB_Colleges!AG272))),"",DB_Colleges!AG272)</f>
        <v/>
      </c>
      <c r="S278" s="26" t="str">
        <f aca="false">IF(B278="","",DB_Colleges!AK272&amp;"")</f>
        <v/>
      </c>
      <c r="T278" s="26" t="str">
        <f aca="false">IF(B278="","",DB_Colleges!AI272&amp;"")</f>
        <v/>
      </c>
      <c r="U278" s="1" t="str">
        <f aca="false">IF(AND(ISNUMBER($X$4),ISNUMBER(DB_Colleges!Z272),ISNUMBER(DB_Colleges!AA272)),IF($X$4&gt;=DB_Colleges!AA272,1,IF($X$4&lt;DB_Colleges!Z272,-1,0)),"")</f>
        <v/>
      </c>
      <c r="V278" s="1" t="str">
        <f aca="false">IF(AND(ISNUMBER($Y$4),ISNUMBER(DB_Colleges!AD272)),IF($Y$4&gt;=DB_Colleges!AD272+0.15,1,IF($Y$4&lt;DB_Colleges!AD272-0.2,-1,0)),"")</f>
        <v/>
      </c>
      <c r="W278" s="1" t="n">
        <f aca="false">IF(COUNT(U278:V278)=0,0,MIN(U278:V278))</f>
        <v>0</v>
      </c>
    </row>
    <row r="279" customFormat="false" ht="15" hidden="false" customHeight="true" outlineLevel="0" collapsed="false">
      <c r="A279" s="26" t="str">
        <f aca="false">IF(B279="","",IF(COUNTIF('My Colleges'!$B$8:$B$27,B279)&gt;0,"On list",""))</f>
        <v/>
      </c>
      <c r="B279" s="27" t="str">
        <f aca="false">IF(DB_Colleges!A273="","",DB_Colleges!A273)</f>
        <v/>
      </c>
      <c r="C279" s="26" t="str">
        <f aca="false">IF(B279="","",DB_Colleges!B273)</f>
        <v/>
      </c>
      <c r="D279" s="26" t="str">
        <f aca="false">IF(B279="","",DB_Colleges!C273&amp;", "&amp;DB_Colleges!D273)</f>
        <v/>
      </c>
      <c r="E279" s="26" t="str">
        <f aca="false">IF(B279="","",IF(AND(NOT(ISNUMBER($X$4)),NOT(ISNUMBER($Y$4))),"Add scores",IF(NOT(ISNUMBER(DB_Colleges!Y273)),IF(OR(C279="Ivy League",C279="Highly Selective"),"Reach",IF(COUNT(U279:V279)=0,"No data",CHOOSE(W279+2,"Reach","Target","Likely"))),IF(DB_Colleges!Y273&lt;0.15,"Reach",IF(DB_Colleges!Y273&gt;=0.75,IF(W279&gt;=0,"Likely","Target"),IF(DB_Colleges!Y273&gt;=0.4,CHOOSE(W279+2,"Reach","Target","Likely"),IF(W279=1,"Target","Reach")))))))</f>
        <v/>
      </c>
      <c r="F279" s="28" t="str">
        <f aca="false">IF(OR(B279="",NOT(ISNUMBER(DB_Colleges!Y273))),"",DB_Colleges!Y273)</f>
        <v/>
      </c>
      <c r="G279" s="26" t="str">
        <f aca="false">IF(OR(B279="",NOT(ISNUMBER(DB_Colleges!Z273))),"",DB_Colleges!Z273&amp;"-"&amp;DB_Colleges!AA273)</f>
        <v/>
      </c>
      <c r="H279" s="26" t="str">
        <f aca="false">IF(OR(B279="",NOT(ISNUMBER(DB_Colleges!AD273))),"",DB_Colleges!AD273)</f>
        <v/>
      </c>
      <c r="I279" s="29" t="str">
        <f aca="false">IF(B279="","",IF(COUNT(DB_Colleges!I273:O273)=0,IF(DB_Colleges!P273="Yes","Rolling","Check site"),MIN(DB_Colleges!I273:O273)))</f>
        <v/>
      </c>
      <c r="J279" s="26" t="str">
        <f aca="false">IF(OR(B279="",COUNT(DB_Colleges!I273:O273)=0),"",INDEX({"ED","ED II","EA","EA II","REA","RD","Priority"},MATCH(MIN(DB_Colleges!I273:O273),DB_Colleges!I273:O273,0)))</f>
        <v/>
      </c>
      <c r="K279" s="29" t="str">
        <f aca="false">IF(OR(B279="",NOT(ISNUMBER(DB_Colleges!N273))),"",DB_Colleges!N273)</f>
        <v/>
      </c>
      <c r="L279" s="26" t="str">
        <f aca="false">IF(B279="","",DB_Colleges!G273&amp;"")</f>
        <v/>
      </c>
      <c r="M279" s="30" t="str">
        <f aca="false">IF(OR(B279="",NOT(ISNUMBER(DB_Colleges!S273))),"",DB_Colleges!S273)</f>
        <v/>
      </c>
      <c r="N279" s="26" t="str">
        <f aca="false">IF(B279="","",DB_Colleges!U273&amp;"")</f>
        <v/>
      </c>
      <c r="O279" s="26" t="str">
        <f aca="false">IF(B279="","",IF(ISNUMBER(DB_Colleges!AH273),DB_Colleges!AH273,"Check"))</f>
        <v/>
      </c>
      <c r="P279" s="26" t="str">
        <f aca="false">IF(B279="","",DB_Colleges!W273&amp;"")</f>
        <v/>
      </c>
      <c r="Q279" s="30" t="str">
        <f aca="false">IF(OR(B279="",NOT(ISNUMBER(DB_Colleges!AF273))),"",DB_Colleges!AF273)</f>
        <v/>
      </c>
      <c r="R279" s="28" t="str">
        <f aca="false">IF(OR(B279="",NOT(ISNUMBER(DB_Colleges!AG273))),"",DB_Colleges!AG273)</f>
        <v/>
      </c>
      <c r="S279" s="26" t="str">
        <f aca="false">IF(B279="","",DB_Colleges!AK273&amp;"")</f>
        <v/>
      </c>
      <c r="T279" s="26" t="str">
        <f aca="false">IF(B279="","",DB_Colleges!AI273&amp;"")</f>
        <v/>
      </c>
      <c r="U279" s="1" t="str">
        <f aca="false">IF(AND(ISNUMBER($X$4),ISNUMBER(DB_Colleges!Z273),ISNUMBER(DB_Colleges!AA273)),IF($X$4&gt;=DB_Colleges!AA273,1,IF($X$4&lt;DB_Colleges!Z273,-1,0)),"")</f>
        <v/>
      </c>
      <c r="V279" s="1" t="str">
        <f aca="false">IF(AND(ISNUMBER($Y$4),ISNUMBER(DB_Colleges!AD273)),IF($Y$4&gt;=DB_Colleges!AD273+0.15,1,IF($Y$4&lt;DB_Colleges!AD273-0.2,-1,0)),"")</f>
        <v/>
      </c>
      <c r="W279" s="1" t="n">
        <f aca="false">IF(COUNT(U279:V279)=0,0,MIN(U279:V279))</f>
        <v>0</v>
      </c>
    </row>
    <row r="280" customFormat="false" ht="15" hidden="false" customHeight="true" outlineLevel="0" collapsed="false">
      <c r="A280" s="26" t="str">
        <f aca="false">IF(B280="","",IF(COUNTIF('My Colleges'!$B$8:$B$27,B280)&gt;0,"On list",""))</f>
        <v/>
      </c>
      <c r="B280" s="27" t="str">
        <f aca="false">IF(DB_Colleges!A274="","",DB_Colleges!A274)</f>
        <v/>
      </c>
      <c r="C280" s="26" t="str">
        <f aca="false">IF(B280="","",DB_Colleges!B274)</f>
        <v/>
      </c>
      <c r="D280" s="26" t="str">
        <f aca="false">IF(B280="","",DB_Colleges!C274&amp;", "&amp;DB_Colleges!D274)</f>
        <v/>
      </c>
      <c r="E280" s="26" t="str">
        <f aca="false">IF(B280="","",IF(AND(NOT(ISNUMBER($X$4)),NOT(ISNUMBER($Y$4))),"Add scores",IF(NOT(ISNUMBER(DB_Colleges!Y274)),IF(OR(C280="Ivy League",C280="Highly Selective"),"Reach",IF(COUNT(U280:V280)=0,"No data",CHOOSE(W280+2,"Reach","Target","Likely"))),IF(DB_Colleges!Y274&lt;0.15,"Reach",IF(DB_Colleges!Y274&gt;=0.75,IF(W280&gt;=0,"Likely","Target"),IF(DB_Colleges!Y274&gt;=0.4,CHOOSE(W280+2,"Reach","Target","Likely"),IF(W280=1,"Target","Reach")))))))</f>
        <v/>
      </c>
      <c r="F280" s="28" t="str">
        <f aca="false">IF(OR(B280="",NOT(ISNUMBER(DB_Colleges!Y274))),"",DB_Colleges!Y274)</f>
        <v/>
      </c>
      <c r="G280" s="26" t="str">
        <f aca="false">IF(OR(B280="",NOT(ISNUMBER(DB_Colleges!Z274))),"",DB_Colleges!Z274&amp;"-"&amp;DB_Colleges!AA274)</f>
        <v/>
      </c>
      <c r="H280" s="26" t="str">
        <f aca="false">IF(OR(B280="",NOT(ISNUMBER(DB_Colleges!AD274))),"",DB_Colleges!AD274)</f>
        <v/>
      </c>
      <c r="I280" s="29" t="str">
        <f aca="false">IF(B280="","",IF(COUNT(DB_Colleges!I274:O274)=0,IF(DB_Colleges!P274="Yes","Rolling","Check site"),MIN(DB_Colleges!I274:O274)))</f>
        <v/>
      </c>
      <c r="J280" s="26" t="str">
        <f aca="false">IF(OR(B280="",COUNT(DB_Colleges!I274:O274)=0),"",INDEX({"ED","ED II","EA","EA II","REA","RD","Priority"},MATCH(MIN(DB_Colleges!I274:O274),DB_Colleges!I274:O274,0)))</f>
        <v/>
      </c>
      <c r="K280" s="29" t="str">
        <f aca="false">IF(OR(B280="",NOT(ISNUMBER(DB_Colleges!N274))),"",DB_Colleges!N274)</f>
        <v/>
      </c>
      <c r="L280" s="26" t="str">
        <f aca="false">IF(B280="","",DB_Colleges!G274&amp;"")</f>
        <v/>
      </c>
      <c r="M280" s="30" t="str">
        <f aca="false">IF(OR(B280="",NOT(ISNUMBER(DB_Colleges!S274))),"",DB_Colleges!S274)</f>
        <v/>
      </c>
      <c r="N280" s="26" t="str">
        <f aca="false">IF(B280="","",DB_Colleges!U274&amp;"")</f>
        <v/>
      </c>
      <c r="O280" s="26" t="str">
        <f aca="false">IF(B280="","",IF(ISNUMBER(DB_Colleges!AH274),DB_Colleges!AH274,"Check"))</f>
        <v/>
      </c>
      <c r="P280" s="26" t="str">
        <f aca="false">IF(B280="","",DB_Colleges!W274&amp;"")</f>
        <v/>
      </c>
      <c r="Q280" s="30" t="str">
        <f aca="false">IF(OR(B280="",NOT(ISNUMBER(DB_Colleges!AF274))),"",DB_Colleges!AF274)</f>
        <v/>
      </c>
      <c r="R280" s="28" t="str">
        <f aca="false">IF(OR(B280="",NOT(ISNUMBER(DB_Colleges!AG274))),"",DB_Colleges!AG274)</f>
        <v/>
      </c>
      <c r="S280" s="26" t="str">
        <f aca="false">IF(B280="","",DB_Colleges!AK274&amp;"")</f>
        <v/>
      </c>
      <c r="T280" s="26" t="str">
        <f aca="false">IF(B280="","",DB_Colleges!AI274&amp;"")</f>
        <v/>
      </c>
      <c r="U280" s="1" t="str">
        <f aca="false">IF(AND(ISNUMBER($X$4),ISNUMBER(DB_Colleges!Z274),ISNUMBER(DB_Colleges!AA274)),IF($X$4&gt;=DB_Colleges!AA274,1,IF($X$4&lt;DB_Colleges!Z274,-1,0)),"")</f>
        <v/>
      </c>
      <c r="V280" s="1" t="str">
        <f aca="false">IF(AND(ISNUMBER($Y$4),ISNUMBER(DB_Colleges!AD274)),IF($Y$4&gt;=DB_Colleges!AD274+0.15,1,IF($Y$4&lt;DB_Colleges!AD274-0.2,-1,0)),"")</f>
        <v/>
      </c>
      <c r="W280" s="1" t="n">
        <f aca="false">IF(COUNT(U280:V280)=0,0,MIN(U280:V280))</f>
        <v>0</v>
      </c>
    </row>
    <row r="281" customFormat="false" ht="15" hidden="false" customHeight="true" outlineLevel="0" collapsed="false">
      <c r="A281" s="26" t="str">
        <f aca="false">IF(B281="","",IF(COUNTIF('My Colleges'!$B$8:$B$27,B281)&gt;0,"On list",""))</f>
        <v/>
      </c>
      <c r="B281" s="27" t="str">
        <f aca="false">IF(DB_Colleges!A275="","",DB_Colleges!A275)</f>
        <v/>
      </c>
      <c r="C281" s="26" t="str">
        <f aca="false">IF(B281="","",DB_Colleges!B275)</f>
        <v/>
      </c>
      <c r="D281" s="26" t="str">
        <f aca="false">IF(B281="","",DB_Colleges!C275&amp;", "&amp;DB_Colleges!D275)</f>
        <v/>
      </c>
      <c r="E281" s="26" t="str">
        <f aca="false">IF(B281="","",IF(AND(NOT(ISNUMBER($X$4)),NOT(ISNUMBER($Y$4))),"Add scores",IF(NOT(ISNUMBER(DB_Colleges!Y275)),IF(OR(C281="Ivy League",C281="Highly Selective"),"Reach",IF(COUNT(U281:V281)=0,"No data",CHOOSE(W281+2,"Reach","Target","Likely"))),IF(DB_Colleges!Y275&lt;0.15,"Reach",IF(DB_Colleges!Y275&gt;=0.75,IF(W281&gt;=0,"Likely","Target"),IF(DB_Colleges!Y275&gt;=0.4,CHOOSE(W281+2,"Reach","Target","Likely"),IF(W281=1,"Target","Reach")))))))</f>
        <v/>
      </c>
      <c r="F281" s="28" t="str">
        <f aca="false">IF(OR(B281="",NOT(ISNUMBER(DB_Colleges!Y275))),"",DB_Colleges!Y275)</f>
        <v/>
      </c>
      <c r="G281" s="26" t="str">
        <f aca="false">IF(OR(B281="",NOT(ISNUMBER(DB_Colleges!Z275))),"",DB_Colleges!Z275&amp;"-"&amp;DB_Colleges!AA275)</f>
        <v/>
      </c>
      <c r="H281" s="26" t="str">
        <f aca="false">IF(OR(B281="",NOT(ISNUMBER(DB_Colleges!AD275))),"",DB_Colleges!AD275)</f>
        <v/>
      </c>
      <c r="I281" s="29" t="str">
        <f aca="false">IF(B281="","",IF(COUNT(DB_Colleges!I275:O275)=0,IF(DB_Colleges!P275="Yes","Rolling","Check site"),MIN(DB_Colleges!I275:O275)))</f>
        <v/>
      </c>
      <c r="J281" s="26" t="str">
        <f aca="false">IF(OR(B281="",COUNT(DB_Colleges!I275:O275)=0),"",INDEX({"ED","ED II","EA","EA II","REA","RD","Priority"},MATCH(MIN(DB_Colleges!I275:O275),DB_Colleges!I275:O275,0)))</f>
        <v/>
      </c>
      <c r="K281" s="29" t="str">
        <f aca="false">IF(OR(B281="",NOT(ISNUMBER(DB_Colleges!N275))),"",DB_Colleges!N275)</f>
        <v/>
      </c>
      <c r="L281" s="26" t="str">
        <f aca="false">IF(B281="","",DB_Colleges!G275&amp;"")</f>
        <v/>
      </c>
      <c r="M281" s="30" t="str">
        <f aca="false">IF(OR(B281="",NOT(ISNUMBER(DB_Colleges!S275))),"",DB_Colleges!S275)</f>
        <v/>
      </c>
      <c r="N281" s="26" t="str">
        <f aca="false">IF(B281="","",DB_Colleges!U275&amp;"")</f>
        <v/>
      </c>
      <c r="O281" s="26" t="str">
        <f aca="false">IF(B281="","",IF(ISNUMBER(DB_Colleges!AH275),DB_Colleges!AH275,"Check"))</f>
        <v/>
      </c>
      <c r="P281" s="26" t="str">
        <f aca="false">IF(B281="","",DB_Colleges!W275&amp;"")</f>
        <v/>
      </c>
      <c r="Q281" s="30" t="str">
        <f aca="false">IF(OR(B281="",NOT(ISNUMBER(DB_Colleges!AF275))),"",DB_Colleges!AF275)</f>
        <v/>
      </c>
      <c r="R281" s="28" t="str">
        <f aca="false">IF(OR(B281="",NOT(ISNUMBER(DB_Colleges!AG275))),"",DB_Colleges!AG275)</f>
        <v/>
      </c>
      <c r="S281" s="26" t="str">
        <f aca="false">IF(B281="","",DB_Colleges!AK275&amp;"")</f>
        <v/>
      </c>
      <c r="T281" s="26" t="str">
        <f aca="false">IF(B281="","",DB_Colleges!AI275&amp;"")</f>
        <v/>
      </c>
      <c r="U281" s="1" t="str">
        <f aca="false">IF(AND(ISNUMBER($X$4),ISNUMBER(DB_Colleges!Z275),ISNUMBER(DB_Colleges!AA275)),IF($X$4&gt;=DB_Colleges!AA275,1,IF($X$4&lt;DB_Colleges!Z275,-1,0)),"")</f>
        <v/>
      </c>
      <c r="V281" s="1" t="str">
        <f aca="false">IF(AND(ISNUMBER($Y$4),ISNUMBER(DB_Colleges!AD275)),IF($Y$4&gt;=DB_Colleges!AD275+0.15,1,IF($Y$4&lt;DB_Colleges!AD275-0.2,-1,0)),"")</f>
        <v/>
      </c>
      <c r="W281" s="1" t="n">
        <f aca="false">IF(COUNT(U281:V281)=0,0,MIN(U281:V281))</f>
        <v>0</v>
      </c>
    </row>
    <row r="282" customFormat="false" ht="15" hidden="false" customHeight="true" outlineLevel="0" collapsed="false">
      <c r="A282" s="26" t="str">
        <f aca="false">IF(B282="","",IF(COUNTIF('My Colleges'!$B$8:$B$27,B282)&gt;0,"On list",""))</f>
        <v/>
      </c>
      <c r="B282" s="27" t="str">
        <f aca="false">IF(DB_Colleges!A276="","",DB_Colleges!A276)</f>
        <v/>
      </c>
      <c r="C282" s="26" t="str">
        <f aca="false">IF(B282="","",DB_Colleges!B276)</f>
        <v/>
      </c>
      <c r="D282" s="26" t="str">
        <f aca="false">IF(B282="","",DB_Colleges!C276&amp;", "&amp;DB_Colleges!D276)</f>
        <v/>
      </c>
      <c r="E282" s="26" t="str">
        <f aca="false">IF(B282="","",IF(AND(NOT(ISNUMBER($X$4)),NOT(ISNUMBER($Y$4))),"Add scores",IF(NOT(ISNUMBER(DB_Colleges!Y276)),IF(OR(C282="Ivy League",C282="Highly Selective"),"Reach",IF(COUNT(U282:V282)=0,"No data",CHOOSE(W282+2,"Reach","Target","Likely"))),IF(DB_Colleges!Y276&lt;0.15,"Reach",IF(DB_Colleges!Y276&gt;=0.75,IF(W282&gt;=0,"Likely","Target"),IF(DB_Colleges!Y276&gt;=0.4,CHOOSE(W282+2,"Reach","Target","Likely"),IF(W282=1,"Target","Reach")))))))</f>
        <v/>
      </c>
      <c r="F282" s="28" t="str">
        <f aca="false">IF(OR(B282="",NOT(ISNUMBER(DB_Colleges!Y276))),"",DB_Colleges!Y276)</f>
        <v/>
      </c>
      <c r="G282" s="26" t="str">
        <f aca="false">IF(OR(B282="",NOT(ISNUMBER(DB_Colleges!Z276))),"",DB_Colleges!Z276&amp;"-"&amp;DB_Colleges!AA276)</f>
        <v/>
      </c>
      <c r="H282" s="26" t="str">
        <f aca="false">IF(OR(B282="",NOT(ISNUMBER(DB_Colleges!AD276))),"",DB_Colleges!AD276)</f>
        <v/>
      </c>
      <c r="I282" s="29" t="str">
        <f aca="false">IF(B282="","",IF(COUNT(DB_Colleges!I276:O276)=0,IF(DB_Colleges!P276="Yes","Rolling","Check site"),MIN(DB_Colleges!I276:O276)))</f>
        <v/>
      </c>
      <c r="J282" s="26" t="str">
        <f aca="false">IF(OR(B282="",COUNT(DB_Colleges!I276:O276)=0),"",INDEX({"ED","ED II","EA","EA II","REA","RD","Priority"},MATCH(MIN(DB_Colleges!I276:O276),DB_Colleges!I276:O276,0)))</f>
        <v/>
      </c>
      <c r="K282" s="29" t="str">
        <f aca="false">IF(OR(B282="",NOT(ISNUMBER(DB_Colleges!N276))),"",DB_Colleges!N276)</f>
        <v/>
      </c>
      <c r="L282" s="26" t="str">
        <f aca="false">IF(B282="","",DB_Colleges!G276&amp;"")</f>
        <v/>
      </c>
      <c r="M282" s="30" t="str">
        <f aca="false">IF(OR(B282="",NOT(ISNUMBER(DB_Colleges!S276))),"",DB_Colleges!S276)</f>
        <v/>
      </c>
      <c r="N282" s="26" t="str">
        <f aca="false">IF(B282="","",DB_Colleges!U276&amp;"")</f>
        <v/>
      </c>
      <c r="O282" s="26" t="str">
        <f aca="false">IF(B282="","",IF(ISNUMBER(DB_Colleges!AH276),DB_Colleges!AH276,"Check"))</f>
        <v/>
      </c>
      <c r="P282" s="26" t="str">
        <f aca="false">IF(B282="","",DB_Colleges!W276&amp;"")</f>
        <v/>
      </c>
      <c r="Q282" s="30" t="str">
        <f aca="false">IF(OR(B282="",NOT(ISNUMBER(DB_Colleges!AF276))),"",DB_Colleges!AF276)</f>
        <v/>
      </c>
      <c r="R282" s="28" t="str">
        <f aca="false">IF(OR(B282="",NOT(ISNUMBER(DB_Colleges!AG276))),"",DB_Colleges!AG276)</f>
        <v/>
      </c>
      <c r="S282" s="26" t="str">
        <f aca="false">IF(B282="","",DB_Colleges!AK276&amp;"")</f>
        <v/>
      </c>
      <c r="T282" s="26" t="str">
        <f aca="false">IF(B282="","",DB_Colleges!AI276&amp;"")</f>
        <v/>
      </c>
      <c r="U282" s="1" t="str">
        <f aca="false">IF(AND(ISNUMBER($X$4),ISNUMBER(DB_Colleges!Z276),ISNUMBER(DB_Colleges!AA276)),IF($X$4&gt;=DB_Colleges!AA276,1,IF($X$4&lt;DB_Colleges!Z276,-1,0)),"")</f>
        <v/>
      </c>
      <c r="V282" s="1" t="str">
        <f aca="false">IF(AND(ISNUMBER($Y$4),ISNUMBER(DB_Colleges!AD276)),IF($Y$4&gt;=DB_Colleges!AD276+0.15,1,IF($Y$4&lt;DB_Colleges!AD276-0.2,-1,0)),"")</f>
        <v/>
      </c>
      <c r="W282" s="1" t="n">
        <f aca="false">IF(COUNT(U282:V282)=0,0,MIN(U282:V282))</f>
        <v>0</v>
      </c>
    </row>
    <row r="283" customFormat="false" ht="15" hidden="false" customHeight="true" outlineLevel="0" collapsed="false">
      <c r="A283" s="26" t="str">
        <f aca="false">IF(B283="","",IF(COUNTIF('My Colleges'!$B$8:$B$27,B283)&gt;0,"On list",""))</f>
        <v/>
      </c>
      <c r="B283" s="27" t="str">
        <f aca="false">IF(DB_Colleges!A277="","",DB_Colleges!A277)</f>
        <v/>
      </c>
      <c r="C283" s="26" t="str">
        <f aca="false">IF(B283="","",DB_Colleges!B277)</f>
        <v/>
      </c>
      <c r="D283" s="26" t="str">
        <f aca="false">IF(B283="","",DB_Colleges!C277&amp;", "&amp;DB_Colleges!D277)</f>
        <v/>
      </c>
      <c r="E283" s="26" t="str">
        <f aca="false">IF(B283="","",IF(AND(NOT(ISNUMBER($X$4)),NOT(ISNUMBER($Y$4))),"Add scores",IF(NOT(ISNUMBER(DB_Colleges!Y277)),IF(OR(C283="Ivy League",C283="Highly Selective"),"Reach",IF(COUNT(U283:V283)=0,"No data",CHOOSE(W283+2,"Reach","Target","Likely"))),IF(DB_Colleges!Y277&lt;0.15,"Reach",IF(DB_Colleges!Y277&gt;=0.75,IF(W283&gt;=0,"Likely","Target"),IF(DB_Colleges!Y277&gt;=0.4,CHOOSE(W283+2,"Reach","Target","Likely"),IF(W283=1,"Target","Reach")))))))</f>
        <v/>
      </c>
      <c r="F283" s="28" t="str">
        <f aca="false">IF(OR(B283="",NOT(ISNUMBER(DB_Colleges!Y277))),"",DB_Colleges!Y277)</f>
        <v/>
      </c>
      <c r="G283" s="26" t="str">
        <f aca="false">IF(OR(B283="",NOT(ISNUMBER(DB_Colleges!Z277))),"",DB_Colleges!Z277&amp;"-"&amp;DB_Colleges!AA277)</f>
        <v/>
      </c>
      <c r="H283" s="26" t="str">
        <f aca="false">IF(OR(B283="",NOT(ISNUMBER(DB_Colleges!AD277))),"",DB_Colleges!AD277)</f>
        <v/>
      </c>
      <c r="I283" s="29" t="str">
        <f aca="false">IF(B283="","",IF(COUNT(DB_Colleges!I277:O277)=0,IF(DB_Colleges!P277="Yes","Rolling","Check site"),MIN(DB_Colleges!I277:O277)))</f>
        <v/>
      </c>
      <c r="J283" s="26" t="str">
        <f aca="false">IF(OR(B283="",COUNT(DB_Colleges!I277:O277)=0),"",INDEX({"ED","ED II","EA","EA II","REA","RD","Priority"},MATCH(MIN(DB_Colleges!I277:O277),DB_Colleges!I277:O277,0)))</f>
        <v/>
      </c>
      <c r="K283" s="29" t="str">
        <f aca="false">IF(OR(B283="",NOT(ISNUMBER(DB_Colleges!N277))),"",DB_Colleges!N277)</f>
        <v/>
      </c>
      <c r="L283" s="26" t="str">
        <f aca="false">IF(B283="","",DB_Colleges!G277&amp;"")</f>
        <v/>
      </c>
      <c r="M283" s="30" t="str">
        <f aca="false">IF(OR(B283="",NOT(ISNUMBER(DB_Colleges!S277))),"",DB_Colleges!S277)</f>
        <v/>
      </c>
      <c r="N283" s="26" t="str">
        <f aca="false">IF(B283="","",DB_Colleges!U277&amp;"")</f>
        <v/>
      </c>
      <c r="O283" s="26" t="str">
        <f aca="false">IF(B283="","",IF(ISNUMBER(DB_Colleges!AH277),DB_Colleges!AH277,"Check"))</f>
        <v/>
      </c>
      <c r="P283" s="26" t="str">
        <f aca="false">IF(B283="","",DB_Colleges!W277&amp;"")</f>
        <v/>
      </c>
      <c r="Q283" s="30" t="str">
        <f aca="false">IF(OR(B283="",NOT(ISNUMBER(DB_Colleges!AF277))),"",DB_Colleges!AF277)</f>
        <v/>
      </c>
      <c r="R283" s="28" t="str">
        <f aca="false">IF(OR(B283="",NOT(ISNUMBER(DB_Colleges!AG277))),"",DB_Colleges!AG277)</f>
        <v/>
      </c>
      <c r="S283" s="26" t="str">
        <f aca="false">IF(B283="","",DB_Colleges!AK277&amp;"")</f>
        <v/>
      </c>
      <c r="T283" s="26" t="str">
        <f aca="false">IF(B283="","",DB_Colleges!AI277&amp;"")</f>
        <v/>
      </c>
      <c r="U283" s="1" t="str">
        <f aca="false">IF(AND(ISNUMBER($X$4),ISNUMBER(DB_Colleges!Z277),ISNUMBER(DB_Colleges!AA277)),IF($X$4&gt;=DB_Colleges!AA277,1,IF($X$4&lt;DB_Colleges!Z277,-1,0)),"")</f>
        <v/>
      </c>
      <c r="V283" s="1" t="str">
        <f aca="false">IF(AND(ISNUMBER($Y$4),ISNUMBER(DB_Colleges!AD277)),IF($Y$4&gt;=DB_Colleges!AD277+0.15,1,IF($Y$4&lt;DB_Colleges!AD277-0.2,-1,0)),"")</f>
        <v/>
      </c>
      <c r="W283" s="1" t="n">
        <f aca="false">IF(COUNT(U283:V283)=0,0,MIN(U283:V283))</f>
        <v>0</v>
      </c>
    </row>
    <row r="284" customFormat="false" ht="15" hidden="false" customHeight="true" outlineLevel="0" collapsed="false">
      <c r="A284" s="26" t="str">
        <f aca="false">IF(B284="","",IF(COUNTIF('My Colleges'!$B$8:$B$27,B284)&gt;0,"On list",""))</f>
        <v/>
      </c>
      <c r="B284" s="27" t="str">
        <f aca="false">IF(DB_Colleges!A278="","",DB_Colleges!A278)</f>
        <v/>
      </c>
      <c r="C284" s="26" t="str">
        <f aca="false">IF(B284="","",DB_Colleges!B278)</f>
        <v/>
      </c>
      <c r="D284" s="26" t="str">
        <f aca="false">IF(B284="","",DB_Colleges!C278&amp;", "&amp;DB_Colleges!D278)</f>
        <v/>
      </c>
      <c r="E284" s="26" t="str">
        <f aca="false">IF(B284="","",IF(AND(NOT(ISNUMBER($X$4)),NOT(ISNUMBER($Y$4))),"Add scores",IF(NOT(ISNUMBER(DB_Colleges!Y278)),IF(OR(C284="Ivy League",C284="Highly Selective"),"Reach",IF(COUNT(U284:V284)=0,"No data",CHOOSE(W284+2,"Reach","Target","Likely"))),IF(DB_Colleges!Y278&lt;0.15,"Reach",IF(DB_Colleges!Y278&gt;=0.75,IF(W284&gt;=0,"Likely","Target"),IF(DB_Colleges!Y278&gt;=0.4,CHOOSE(W284+2,"Reach","Target","Likely"),IF(W284=1,"Target","Reach")))))))</f>
        <v/>
      </c>
      <c r="F284" s="28" t="str">
        <f aca="false">IF(OR(B284="",NOT(ISNUMBER(DB_Colleges!Y278))),"",DB_Colleges!Y278)</f>
        <v/>
      </c>
      <c r="G284" s="26" t="str">
        <f aca="false">IF(OR(B284="",NOT(ISNUMBER(DB_Colleges!Z278))),"",DB_Colleges!Z278&amp;"-"&amp;DB_Colleges!AA278)</f>
        <v/>
      </c>
      <c r="H284" s="26" t="str">
        <f aca="false">IF(OR(B284="",NOT(ISNUMBER(DB_Colleges!AD278))),"",DB_Colleges!AD278)</f>
        <v/>
      </c>
      <c r="I284" s="29" t="str">
        <f aca="false">IF(B284="","",IF(COUNT(DB_Colleges!I278:O278)=0,IF(DB_Colleges!P278="Yes","Rolling","Check site"),MIN(DB_Colleges!I278:O278)))</f>
        <v/>
      </c>
      <c r="J284" s="26" t="str">
        <f aca="false">IF(OR(B284="",COUNT(DB_Colleges!I278:O278)=0),"",INDEX({"ED","ED II","EA","EA II","REA","RD","Priority"},MATCH(MIN(DB_Colleges!I278:O278),DB_Colleges!I278:O278,0)))</f>
        <v/>
      </c>
      <c r="K284" s="29" t="str">
        <f aca="false">IF(OR(B284="",NOT(ISNUMBER(DB_Colleges!N278))),"",DB_Colleges!N278)</f>
        <v/>
      </c>
      <c r="L284" s="26" t="str">
        <f aca="false">IF(B284="","",DB_Colleges!G278&amp;"")</f>
        <v/>
      </c>
      <c r="M284" s="30" t="str">
        <f aca="false">IF(OR(B284="",NOT(ISNUMBER(DB_Colleges!S278))),"",DB_Colleges!S278)</f>
        <v/>
      </c>
      <c r="N284" s="26" t="str">
        <f aca="false">IF(B284="","",DB_Colleges!U278&amp;"")</f>
        <v/>
      </c>
      <c r="O284" s="26" t="str">
        <f aca="false">IF(B284="","",IF(ISNUMBER(DB_Colleges!AH278),DB_Colleges!AH278,"Check"))</f>
        <v/>
      </c>
      <c r="P284" s="26" t="str">
        <f aca="false">IF(B284="","",DB_Colleges!W278&amp;"")</f>
        <v/>
      </c>
      <c r="Q284" s="30" t="str">
        <f aca="false">IF(OR(B284="",NOT(ISNUMBER(DB_Colleges!AF278))),"",DB_Colleges!AF278)</f>
        <v/>
      </c>
      <c r="R284" s="28" t="str">
        <f aca="false">IF(OR(B284="",NOT(ISNUMBER(DB_Colleges!AG278))),"",DB_Colleges!AG278)</f>
        <v/>
      </c>
      <c r="S284" s="26" t="str">
        <f aca="false">IF(B284="","",DB_Colleges!AK278&amp;"")</f>
        <v/>
      </c>
      <c r="T284" s="26" t="str">
        <f aca="false">IF(B284="","",DB_Colleges!AI278&amp;"")</f>
        <v/>
      </c>
      <c r="U284" s="1" t="str">
        <f aca="false">IF(AND(ISNUMBER($X$4),ISNUMBER(DB_Colleges!Z278),ISNUMBER(DB_Colleges!AA278)),IF($X$4&gt;=DB_Colleges!AA278,1,IF($X$4&lt;DB_Colleges!Z278,-1,0)),"")</f>
        <v/>
      </c>
      <c r="V284" s="1" t="str">
        <f aca="false">IF(AND(ISNUMBER($Y$4),ISNUMBER(DB_Colleges!AD278)),IF($Y$4&gt;=DB_Colleges!AD278+0.15,1,IF($Y$4&lt;DB_Colleges!AD278-0.2,-1,0)),"")</f>
        <v/>
      </c>
      <c r="W284" s="1" t="n">
        <f aca="false">IF(COUNT(U284:V284)=0,0,MIN(U284:V284))</f>
        <v>0</v>
      </c>
    </row>
    <row r="285" customFormat="false" ht="15" hidden="false" customHeight="true" outlineLevel="0" collapsed="false">
      <c r="A285" s="26" t="str">
        <f aca="false">IF(B285="","",IF(COUNTIF('My Colleges'!$B$8:$B$27,B285)&gt;0,"On list",""))</f>
        <v/>
      </c>
      <c r="B285" s="27" t="str">
        <f aca="false">IF(DB_Colleges!A279="","",DB_Colleges!A279)</f>
        <v/>
      </c>
      <c r="C285" s="26" t="str">
        <f aca="false">IF(B285="","",DB_Colleges!B279)</f>
        <v/>
      </c>
      <c r="D285" s="26" t="str">
        <f aca="false">IF(B285="","",DB_Colleges!C279&amp;", "&amp;DB_Colleges!D279)</f>
        <v/>
      </c>
      <c r="E285" s="26" t="str">
        <f aca="false">IF(B285="","",IF(AND(NOT(ISNUMBER($X$4)),NOT(ISNUMBER($Y$4))),"Add scores",IF(NOT(ISNUMBER(DB_Colleges!Y279)),IF(OR(C285="Ivy League",C285="Highly Selective"),"Reach",IF(COUNT(U285:V285)=0,"No data",CHOOSE(W285+2,"Reach","Target","Likely"))),IF(DB_Colleges!Y279&lt;0.15,"Reach",IF(DB_Colleges!Y279&gt;=0.75,IF(W285&gt;=0,"Likely","Target"),IF(DB_Colleges!Y279&gt;=0.4,CHOOSE(W285+2,"Reach","Target","Likely"),IF(W285=1,"Target","Reach")))))))</f>
        <v/>
      </c>
      <c r="F285" s="28" t="str">
        <f aca="false">IF(OR(B285="",NOT(ISNUMBER(DB_Colleges!Y279))),"",DB_Colleges!Y279)</f>
        <v/>
      </c>
      <c r="G285" s="26" t="str">
        <f aca="false">IF(OR(B285="",NOT(ISNUMBER(DB_Colleges!Z279))),"",DB_Colleges!Z279&amp;"-"&amp;DB_Colleges!AA279)</f>
        <v/>
      </c>
      <c r="H285" s="26" t="str">
        <f aca="false">IF(OR(B285="",NOT(ISNUMBER(DB_Colleges!AD279))),"",DB_Colleges!AD279)</f>
        <v/>
      </c>
      <c r="I285" s="29" t="str">
        <f aca="false">IF(B285="","",IF(COUNT(DB_Colleges!I279:O279)=0,IF(DB_Colleges!P279="Yes","Rolling","Check site"),MIN(DB_Colleges!I279:O279)))</f>
        <v/>
      </c>
      <c r="J285" s="26" t="str">
        <f aca="false">IF(OR(B285="",COUNT(DB_Colleges!I279:O279)=0),"",INDEX({"ED","ED II","EA","EA II","REA","RD","Priority"},MATCH(MIN(DB_Colleges!I279:O279),DB_Colleges!I279:O279,0)))</f>
        <v/>
      </c>
      <c r="K285" s="29" t="str">
        <f aca="false">IF(OR(B285="",NOT(ISNUMBER(DB_Colleges!N279))),"",DB_Colleges!N279)</f>
        <v/>
      </c>
      <c r="L285" s="26" t="str">
        <f aca="false">IF(B285="","",DB_Colleges!G279&amp;"")</f>
        <v/>
      </c>
      <c r="M285" s="30" t="str">
        <f aca="false">IF(OR(B285="",NOT(ISNUMBER(DB_Colleges!S279))),"",DB_Colleges!S279)</f>
        <v/>
      </c>
      <c r="N285" s="26" t="str">
        <f aca="false">IF(B285="","",DB_Colleges!U279&amp;"")</f>
        <v/>
      </c>
      <c r="O285" s="26" t="str">
        <f aca="false">IF(B285="","",IF(ISNUMBER(DB_Colleges!AH279),DB_Colleges!AH279,"Check"))</f>
        <v/>
      </c>
      <c r="P285" s="26" t="str">
        <f aca="false">IF(B285="","",DB_Colleges!W279&amp;"")</f>
        <v/>
      </c>
      <c r="Q285" s="30" t="str">
        <f aca="false">IF(OR(B285="",NOT(ISNUMBER(DB_Colleges!AF279))),"",DB_Colleges!AF279)</f>
        <v/>
      </c>
      <c r="R285" s="28" t="str">
        <f aca="false">IF(OR(B285="",NOT(ISNUMBER(DB_Colleges!AG279))),"",DB_Colleges!AG279)</f>
        <v/>
      </c>
      <c r="S285" s="26" t="str">
        <f aca="false">IF(B285="","",DB_Colleges!AK279&amp;"")</f>
        <v/>
      </c>
      <c r="T285" s="26" t="str">
        <f aca="false">IF(B285="","",DB_Colleges!AI279&amp;"")</f>
        <v/>
      </c>
      <c r="U285" s="1" t="str">
        <f aca="false">IF(AND(ISNUMBER($X$4),ISNUMBER(DB_Colleges!Z279),ISNUMBER(DB_Colleges!AA279)),IF($X$4&gt;=DB_Colleges!AA279,1,IF($X$4&lt;DB_Colleges!Z279,-1,0)),"")</f>
        <v/>
      </c>
      <c r="V285" s="1" t="str">
        <f aca="false">IF(AND(ISNUMBER($Y$4),ISNUMBER(DB_Colleges!AD279)),IF($Y$4&gt;=DB_Colleges!AD279+0.15,1,IF($Y$4&lt;DB_Colleges!AD279-0.2,-1,0)),"")</f>
        <v/>
      </c>
      <c r="W285" s="1" t="n">
        <f aca="false">IF(COUNT(U285:V285)=0,0,MIN(U285:V285))</f>
        <v>0</v>
      </c>
    </row>
    <row r="286" customFormat="false" ht="15" hidden="false" customHeight="true" outlineLevel="0" collapsed="false">
      <c r="A286" s="26" t="str">
        <f aca="false">IF(B286="","",IF(COUNTIF('My Colleges'!$B$8:$B$27,B286)&gt;0,"On list",""))</f>
        <v/>
      </c>
      <c r="B286" s="27" t="str">
        <f aca="false">IF(DB_Colleges!A280="","",DB_Colleges!A280)</f>
        <v/>
      </c>
      <c r="C286" s="26" t="str">
        <f aca="false">IF(B286="","",DB_Colleges!B280)</f>
        <v/>
      </c>
      <c r="D286" s="26" t="str">
        <f aca="false">IF(B286="","",DB_Colleges!C280&amp;", "&amp;DB_Colleges!D280)</f>
        <v/>
      </c>
      <c r="E286" s="26" t="str">
        <f aca="false">IF(B286="","",IF(AND(NOT(ISNUMBER($X$4)),NOT(ISNUMBER($Y$4))),"Add scores",IF(NOT(ISNUMBER(DB_Colleges!Y280)),IF(OR(C286="Ivy League",C286="Highly Selective"),"Reach",IF(COUNT(U286:V286)=0,"No data",CHOOSE(W286+2,"Reach","Target","Likely"))),IF(DB_Colleges!Y280&lt;0.15,"Reach",IF(DB_Colleges!Y280&gt;=0.75,IF(W286&gt;=0,"Likely","Target"),IF(DB_Colleges!Y280&gt;=0.4,CHOOSE(W286+2,"Reach","Target","Likely"),IF(W286=1,"Target","Reach")))))))</f>
        <v/>
      </c>
      <c r="F286" s="28" t="str">
        <f aca="false">IF(OR(B286="",NOT(ISNUMBER(DB_Colleges!Y280))),"",DB_Colleges!Y280)</f>
        <v/>
      </c>
      <c r="G286" s="26" t="str">
        <f aca="false">IF(OR(B286="",NOT(ISNUMBER(DB_Colleges!Z280))),"",DB_Colleges!Z280&amp;"-"&amp;DB_Colleges!AA280)</f>
        <v/>
      </c>
      <c r="H286" s="26" t="str">
        <f aca="false">IF(OR(B286="",NOT(ISNUMBER(DB_Colleges!AD280))),"",DB_Colleges!AD280)</f>
        <v/>
      </c>
      <c r="I286" s="29" t="str">
        <f aca="false">IF(B286="","",IF(COUNT(DB_Colleges!I280:O280)=0,IF(DB_Colleges!P280="Yes","Rolling","Check site"),MIN(DB_Colleges!I280:O280)))</f>
        <v/>
      </c>
      <c r="J286" s="26" t="str">
        <f aca="false">IF(OR(B286="",COUNT(DB_Colleges!I280:O280)=0),"",INDEX({"ED","ED II","EA","EA II","REA","RD","Priority"},MATCH(MIN(DB_Colleges!I280:O280),DB_Colleges!I280:O280,0)))</f>
        <v/>
      </c>
      <c r="K286" s="29" t="str">
        <f aca="false">IF(OR(B286="",NOT(ISNUMBER(DB_Colleges!N280))),"",DB_Colleges!N280)</f>
        <v/>
      </c>
      <c r="L286" s="26" t="str">
        <f aca="false">IF(B286="","",DB_Colleges!G280&amp;"")</f>
        <v/>
      </c>
      <c r="M286" s="30" t="str">
        <f aca="false">IF(OR(B286="",NOT(ISNUMBER(DB_Colleges!S280))),"",DB_Colleges!S280)</f>
        <v/>
      </c>
      <c r="N286" s="26" t="str">
        <f aca="false">IF(B286="","",DB_Colleges!U280&amp;"")</f>
        <v/>
      </c>
      <c r="O286" s="26" t="str">
        <f aca="false">IF(B286="","",IF(ISNUMBER(DB_Colleges!AH280),DB_Colleges!AH280,"Check"))</f>
        <v/>
      </c>
      <c r="P286" s="26" t="str">
        <f aca="false">IF(B286="","",DB_Colleges!W280&amp;"")</f>
        <v/>
      </c>
      <c r="Q286" s="30" t="str">
        <f aca="false">IF(OR(B286="",NOT(ISNUMBER(DB_Colleges!AF280))),"",DB_Colleges!AF280)</f>
        <v/>
      </c>
      <c r="R286" s="28" t="str">
        <f aca="false">IF(OR(B286="",NOT(ISNUMBER(DB_Colleges!AG280))),"",DB_Colleges!AG280)</f>
        <v/>
      </c>
      <c r="S286" s="26" t="str">
        <f aca="false">IF(B286="","",DB_Colleges!AK280&amp;"")</f>
        <v/>
      </c>
      <c r="T286" s="26" t="str">
        <f aca="false">IF(B286="","",DB_Colleges!AI280&amp;"")</f>
        <v/>
      </c>
      <c r="U286" s="1" t="str">
        <f aca="false">IF(AND(ISNUMBER($X$4),ISNUMBER(DB_Colleges!Z280),ISNUMBER(DB_Colleges!AA280)),IF($X$4&gt;=DB_Colleges!AA280,1,IF($X$4&lt;DB_Colleges!Z280,-1,0)),"")</f>
        <v/>
      </c>
      <c r="V286" s="1" t="str">
        <f aca="false">IF(AND(ISNUMBER($Y$4),ISNUMBER(DB_Colleges!AD280)),IF($Y$4&gt;=DB_Colleges!AD280+0.15,1,IF($Y$4&lt;DB_Colleges!AD280-0.2,-1,0)),"")</f>
        <v/>
      </c>
      <c r="W286" s="1" t="n">
        <f aca="false">IF(COUNT(U286:V286)=0,0,MIN(U286:V286))</f>
        <v>0</v>
      </c>
    </row>
    <row r="287" customFormat="false" ht="15" hidden="false" customHeight="true" outlineLevel="0" collapsed="false">
      <c r="A287" s="26" t="str">
        <f aca="false">IF(B287="","",IF(COUNTIF('My Colleges'!$B$8:$B$27,B287)&gt;0,"On list",""))</f>
        <v/>
      </c>
      <c r="B287" s="27" t="str">
        <f aca="false">IF(DB_Colleges!A281="","",DB_Colleges!A281)</f>
        <v/>
      </c>
      <c r="C287" s="26" t="str">
        <f aca="false">IF(B287="","",DB_Colleges!B281)</f>
        <v/>
      </c>
      <c r="D287" s="26" t="str">
        <f aca="false">IF(B287="","",DB_Colleges!C281&amp;", "&amp;DB_Colleges!D281)</f>
        <v/>
      </c>
      <c r="E287" s="26" t="str">
        <f aca="false">IF(B287="","",IF(AND(NOT(ISNUMBER($X$4)),NOT(ISNUMBER($Y$4))),"Add scores",IF(NOT(ISNUMBER(DB_Colleges!Y281)),IF(OR(C287="Ivy League",C287="Highly Selective"),"Reach",IF(COUNT(U287:V287)=0,"No data",CHOOSE(W287+2,"Reach","Target","Likely"))),IF(DB_Colleges!Y281&lt;0.15,"Reach",IF(DB_Colleges!Y281&gt;=0.75,IF(W287&gt;=0,"Likely","Target"),IF(DB_Colleges!Y281&gt;=0.4,CHOOSE(W287+2,"Reach","Target","Likely"),IF(W287=1,"Target","Reach")))))))</f>
        <v/>
      </c>
      <c r="F287" s="28" t="str">
        <f aca="false">IF(OR(B287="",NOT(ISNUMBER(DB_Colleges!Y281))),"",DB_Colleges!Y281)</f>
        <v/>
      </c>
      <c r="G287" s="26" t="str">
        <f aca="false">IF(OR(B287="",NOT(ISNUMBER(DB_Colleges!Z281))),"",DB_Colleges!Z281&amp;"-"&amp;DB_Colleges!AA281)</f>
        <v/>
      </c>
      <c r="H287" s="26" t="str">
        <f aca="false">IF(OR(B287="",NOT(ISNUMBER(DB_Colleges!AD281))),"",DB_Colleges!AD281)</f>
        <v/>
      </c>
      <c r="I287" s="29" t="str">
        <f aca="false">IF(B287="","",IF(COUNT(DB_Colleges!I281:O281)=0,IF(DB_Colleges!P281="Yes","Rolling","Check site"),MIN(DB_Colleges!I281:O281)))</f>
        <v/>
      </c>
      <c r="J287" s="26" t="str">
        <f aca="false">IF(OR(B287="",COUNT(DB_Colleges!I281:O281)=0),"",INDEX({"ED","ED II","EA","EA II","REA","RD","Priority"},MATCH(MIN(DB_Colleges!I281:O281),DB_Colleges!I281:O281,0)))</f>
        <v/>
      </c>
      <c r="K287" s="29" t="str">
        <f aca="false">IF(OR(B287="",NOT(ISNUMBER(DB_Colleges!N281))),"",DB_Colleges!N281)</f>
        <v/>
      </c>
      <c r="L287" s="26" t="str">
        <f aca="false">IF(B287="","",DB_Colleges!G281&amp;"")</f>
        <v/>
      </c>
      <c r="M287" s="30" t="str">
        <f aca="false">IF(OR(B287="",NOT(ISNUMBER(DB_Colleges!S281))),"",DB_Colleges!S281)</f>
        <v/>
      </c>
      <c r="N287" s="26" t="str">
        <f aca="false">IF(B287="","",DB_Colleges!U281&amp;"")</f>
        <v/>
      </c>
      <c r="O287" s="26" t="str">
        <f aca="false">IF(B287="","",IF(ISNUMBER(DB_Colleges!AH281),DB_Colleges!AH281,"Check"))</f>
        <v/>
      </c>
      <c r="P287" s="26" t="str">
        <f aca="false">IF(B287="","",DB_Colleges!W281&amp;"")</f>
        <v/>
      </c>
      <c r="Q287" s="30" t="str">
        <f aca="false">IF(OR(B287="",NOT(ISNUMBER(DB_Colleges!AF281))),"",DB_Colleges!AF281)</f>
        <v/>
      </c>
      <c r="R287" s="28" t="str">
        <f aca="false">IF(OR(B287="",NOT(ISNUMBER(DB_Colleges!AG281))),"",DB_Colleges!AG281)</f>
        <v/>
      </c>
      <c r="S287" s="26" t="str">
        <f aca="false">IF(B287="","",DB_Colleges!AK281&amp;"")</f>
        <v/>
      </c>
      <c r="T287" s="26" t="str">
        <f aca="false">IF(B287="","",DB_Colleges!AI281&amp;"")</f>
        <v/>
      </c>
      <c r="U287" s="1" t="str">
        <f aca="false">IF(AND(ISNUMBER($X$4),ISNUMBER(DB_Colleges!Z281),ISNUMBER(DB_Colleges!AA281)),IF($X$4&gt;=DB_Colleges!AA281,1,IF($X$4&lt;DB_Colleges!Z281,-1,0)),"")</f>
        <v/>
      </c>
      <c r="V287" s="1" t="str">
        <f aca="false">IF(AND(ISNUMBER($Y$4),ISNUMBER(DB_Colleges!AD281)),IF($Y$4&gt;=DB_Colleges!AD281+0.15,1,IF($Y$4&lt;DB_Colleges!AD281-0.2,-1,0)),"")</f>
        <v/>
      </c>
      <c r="W287" s="1" t="n">
        <f aca="false">IF(COUNT(U287:V287)=0,0,MIN(U287:V287))</f>
        <v>0</v>
      </c>
    </row>
    <row r="288" customFormat="false" ht="15" hidden="false" customHeight="true" outlineLevel="0" collapsed="false">
      <c r="A288" s="26" t="str">
        <f aca="false">IF(B288="","",IF(COUNTIF('My Colleges'!$B$8:$B$27,B288)&gt;0,"On list",""))</f>
        <v/>
      </c>
      <c r="B288" s="27" t="str">
        <f aca="false">IF(DB_Colleges!A282="","",DB_Colleges!A282)</f>
        <v/>
      </c>
      <c r="C288" s="26" t="str">
        <f aca="false">IF(B288="","",DB_Colleges!B282)</f>
        <v/>
      </c>
      <c r="D288" s="26" t="str">
        <f aca="false">IF(B288="","",DB_Colleges!C282&amp;", "&amp;DB_Colleges!D282)</f>
        <v/>
      </c>
      <c r="E288" s="26" t="str">
        <f aca="false">IF(B288="","",IF(AND(NOT(ISNUMBER($X$4)),NOT(ISNUMBER($Y$4))),"Add scores",IF(NOT(ISNUMBER(DB_Colleges!Y282)),IF(OR(C288="Ivy League",C288="Highly Selective"),"Reach",IF(COUNT(U288:V288)=0,"No data",CHOOSE(W288+2,"Reach","Target","Likely"))),IF(DB_Colleges!Y282&lt;0.15,"Reach",IF(DB_Colleges!Y282&gt;=0.75,IF(W288&gt;=0,"Likely","Target"),IF(DB_Colleges!Y282&gt;=0.4,CHOOSE(W288+2,"Reach","Target","Likely"),IF(W288=1,"Target","Reach")))))))</f>
        <v/>
      </c>
      <c r="F288" s="28" t="str">
        <f aca="false">IF(OR(B288="",NOT(ISNUMBER(DB_Colleges!Y282))),"",DB_Colleges!Y282)</f>
        <v/>
      </c>
      <c r="G288" s="26" t="str">
        <f aca="false">IF(OR(B288="",NOT(ISNUMBER(DB_Colleges!Z282))),"",DB_Colleges!Z282&amp;"-"&amp;DB_Colleges!AA282)</f>
        <v/>
      </c>
      <c r="H288" s="26" t="str">
        <f aca="false">IF(OR(B288="",NOT(ISNUMBER(DB_Colleges!AD282))),"",DB_Colleges!AD282)</f>
        <v/>
      </c>
      <c r="I288" s="29" t="str">
        <f aca="false">IF(B288="","",IF(COUNT(DB_Colleges!I282:O282)=0,IF(DB_Colleges!P282="Yes","Rolling","Check site"),MIN(DB_Colleges!I282:O282)))</f>
        <v/>
      </c>
      <c r="J288" s="26" t="str">
        <f aca="false">IF(OR(B288="",COUNT(DB_Colleges!I282:O282)=0),"",INDEX({"ED","ED II","EA","EA II","REA","RD","Priority"},MATCH(MIN(DB_Colleges!I282:O282),DB_Colleges!I282:O282,0)))</f>
        <v/>
      </c>
      <c r="K288" s="29" t="str">
        <f aca="false">IF(OR(B288="",NOT(ISNUMBER(DB_Colleges!N282))),"",DB_Colleges!N282)</f>
        <v/>
      </c>
      <c r="L288" s="26" t="str">
        <f aca="false">IF(B288="","",DB_Colleges!G282&amp;"")</f>
        <v/>
      </c>
      <c r="M288" s="30" t="str">
        <f aca="false">IF(OR(B288="",NOT(ISNUMBER(DB_Colleges!S282))),"",DB_Colleges!S282)</f>
        <v/>
      </c>
      <c r="N288" s="26" t="str">
        <f aca="false">IF(B288="","",DB_Colleges!U282&amp;"")</f>
        <v/>
      </c>
      <c r="O288" s="26" t="str">
        <f aca="false">IF(B288="","",IF(ISNUMBER(DB_Colleges!AH282),DB_Colleges!AH282,"Check"))</f>
        <v/>
      </c>
      <c r="P288" s="26" t="str">
        <f aca="false">IF(B288="","",DB_Colleges!W282&amp;"")</f>
        <v/>
      </c>
      <c r="Q288" s="30" t="str">
        <f aca="false">IF(OR(B288="",NOT(ISNUMBER(DB_Colleges!AF282))),"",DB_Colleges!AF282)</f>
        <v/>
      </c>
      <c r="R288" s="28" t="str">
        <f aca="false">IF(OR(B288="",NOT(ISNUMBER(DB_Colleges!AG282))),"",DB_Colleges!AG282)</f>
        <v/>
      </c>
      <c r="S288" s="26" t="str">
        <f aca="false">IF(B288="","",DB_Colleges!AK282&amp;"")</f>
        <v/>
      </c>
      <c r="T288" s="26" t="str">
        <f aca="false">IF(B288="","",DB_Colleges!AI282&amp;"")</f>
        <v/>
      </c>
      <c r="U288" s="1" t="str">
        <f aca="false">IF(AND(ISNUMBER($X$4),ISNUMBER(DB_Colleges!Z282),ISNUMBER(DB_Colleges!AA282)),IF($X$4&gt;=DB_Colleges!AA282,1,IF($X$4&lt;DB_Colleges!Z282,-1,0)),"")</f>
        <v/>
      </c>
      <c r="V288" s="1" t="str">
        <f aca="false">IF(AND(ISNUMBER($Y$4),ISNUMBER(DB_Colleges!AD282)),IF($Y$4&gt;=DB_Colleges!AD282+0.15,1,IF($Y$4&lt;DB_Colleges!AD282-0.2,-1,0)),"")</f>
        <v/>
      </c>
      <c r="W288" s="1" t="n">
        <f aca="false">IF(COUNT(U288:V288)=0,0,MIN(U288:V288))</f>
        <v>0</v>
      </c>
    </row>
    <row r="289" customFormat="false" ht="15" hidden="false" customHeight="true" outlineLevel="0" collapsed="false">
      <c r="A289" s="26" t="str">
        <f aca="false">IF(B289="","",IF(COUNTIF('My Colleges'!$B$8:$B$27,B289)&gt;0,"On list",""))</f>
        <v/>
      </c>
      <c r="B289" s="27" t="str">
        <f aca="false">IF(DB_Colleges!A283="","",DB_Colleges!A283)</f>
        <v/>
      </c>
      <c r="C289" s="26" t="str">
        <f aca="false">IF(B289="","",DB_Colleges!B283)</f>
        <v/>
      </c>
      <c r="D289" s="26" t="str">
        <f aca="false">IF(B289="","",DB_Colleges!C283&amp;", "&amp;DB_Colleges!D283)</f>
        <v/>
      </c>
      <c r="E289" s="26" t="str">
        <f aca="false">IF(B289="","",IF(AND(NOT(ISNUMBER($X$4)),NOT(ISNUMBER($Y$4))),"Add scores",IF(NOT(ISNUMBER(DB_Colleges!Y283)),IF(OR(C289="Ivy League",C289="Highly Selective"),"Reach",IF(COUNT(U289:V289)=0,"No data",CHOOSE(W289+2,"Reach","Target","Likely"))),IF(DB_Colleges!Y283&lt;0.15,"Reach",IF(DB_Colleges!Y283&gt;=0.75,IF(W289&gt;=0,"Likely","Target"),IF(DB_Colleges!Y283&gt;=0.4,CHOOSE(W289+2,"Reach","Target","Likely"),IF(W289=1,"Target","Reach")))))))</f>
        <v/>
      </c>
      <c r="F289" s="28" t="str">
        <f aca="false">IF(OR(B289="",NOT(ISNUMBER(DB_Colleges!Y283))),"",DB_Colleges!Y283)</f>
        <v/>
      </c>
      <c r="G289" s="26" t="str">
        <f aca="false">IF(OR(B289="",NOT(ISNUMBER(DB_Colleges!Z283))),"",DB_Colleges!Z283&amp;"-"&amp;DB_Colleges!AA283)</f>
        <v/>
      </c>
      <c r="H289" s="26" t="str">
        <f aca="false">IF(OR(B289="",NOT(ISNUMBER(DB_Colleges!AD283))),"",DB_Colleges!AD283)</f>
        <v/>
      </c>
      <c r="I289" s="29" t="str">
        <f aca="false">IF(B289="","",IF(COUNT(DB_Colleges!I283:O283)=0,IF(DB_Colleges!P283="Yes","Rolling","Check site"),MIN(DB_Colleges!I283:O283)))</f>
        <v/>
      </c>
      <c r="J289" s="26" t="str">
        <f aca="false">IF(OR(B289="",COUNT(DB_Colleges!I283:O283)=0),"",INDEX({"ED","ED II","EA","EA II","REA","RD","Priority"},MATCH(MIN(DB_Colleges!I283:O283),DB_Colleges!I283:O283,0)))</f>
        <v/>
      </c>
      <c r="K289" s="29" t="str">
        <f aca="false">IF(OR(B289="",NOT(ISNUMBER(DB_Colleges!N283))),"",DB_Colleges!N283)</f>
        <v/>
      </c>
      <c r="L289" s="26" t="str">
        <f aca="false">IF(B289="","",DB_Colleges!G283&amp;"")</f>
        <v/>
      </c>
      <c r="M289" s="30" t="str">
        <f aca="false">IF(OR(B289="",NOT(ISNUMBER(DB_Colleges!S283))),"",DB_Colleges!S283)</f>
        <v/>
      </c>
      <c r="N289" s="26" t="str">
        <f aca="false">IF(B289="","",DB_Colleges!U283&amp;"")</f>
        <v/>
      </c>
      <c r="O289" s="26" t="str">
        <f aca="false">IF(B289="","",IF(ISNUMBER(DB_Colleges!AH283),DB_Colleges!AH283,"Check"))</f>
        <v/>
      </c>
      <c r="P289" s="26" t="str">
        <f aca="false">IF(B289="","",DB_Colleges!W283&amp;"")</f>
        <v/>
      </c>
      <c r="Q289" s="30" t="str">
        <f aca="false">IF(OR(B289="",NOT(ISNUMBER(DB_Colleges!AF283))),"",DB_Colleges!AF283)</f>
        <v/>
      </c>
      <c r="R289" s="28" t="str">
        <f aca="false">IF(OR(B289="",NOT(ISNUMBER(DB_Colleges!AG283))),"",DB_Colleges!AG283)</f>
        <v/>
      </c>
      <c r="S289" s="26" t="str">
        <f aca="false">IF(B289="","",DB_Colleges!AK283&amp;"")</f>
        <v/>
      </c>
      <c r="T289" s="26" t="str">
        <f aca="false">IF(B289="","",DB_Colleges!AI283&amp;"")</f>
        <v/>
      </c>
      <c r="U289" s="1" t="str">
        <f aca="false">IF(AND(ISNUMBER($X$4),ISNUMBER(DB_Colleges!Z283),ISNUMBER(DB_Colleges!AA283)),IF($X$4&gt;=DB_Colleges!AA283,1,IF($X$4&lt;DB_Colleges!Z283,-1,0)),"")</f>
        <v/>
      </c>
      <c r="V289" s="1" t="str">
        <f aca="false">IF(AND(ISNUMBER($Y$4),ISNUMBER(DB_Colleges!AD283)),IF($Y$4&gt;=DB_Colleges!AD283+0.15,1,IF($Y$4&lt;DB_Colleges!AD283-0.2,-1,0)),"")</f>
        <v/>
      </c>
      <c r="W289" s="1" t="n">
        <f aca="false">IF(COUNT(U289:V289)=0,0,MIN(U289:V289))</f>
        <v>0</v>
      </c>
    </row>
    <row r="290" customFormat="false" ht="15" hidden="false" customHeight="true" outlineLevel="0" collapsed="false">
      <c r="A290" s="26" t="str">
        <f aca="false">IF(B290="","",IF(COUNTIF('My Colleges'!$B$8:$B$27,B290)&gt;0,"On list",""))</f>
        <v/>
      </c>
      <c r="B290" s="27" t="str">
        <f aca="false">IF(DB_Colleges!A284="","",DB_Colleges!A284)</f>
        <v/>
      </c>
      <c r="C290" s="26" t="str">
        <f aca="false">IF(B290="","",DB_Colleges!B284)</f>
        <v/>
      </c>
      <c r="D290" s="26" t="str">
        <f aca="false">IF(B290="","",DB_Colleges!C284&amp;", "&amp;DB_Colleges!D284)</f>
        <v/>
      </c>
      <c r="E290" s="26" t="str">
        <f aca="false">IF(B290="","",IF(AND(NOT(ISNUMBER($X$4)),NOT(ISNUMBER($Y$4))),"Add scores",IF(NOT(ISNUMBER(DB_Colleges!Y284)),IF(OR(C290="Ivy League",C290="Highly Selective"),"Reach",IF(COUNT(U290:V290)=0,"No data",CHOOSE(W290+2,"Reach","Target","Likely"))),IF(DB_Colleges!Y284&lt;0.15,"Reach",IF(DB_Colleges!Y284&gt;=0.75,IF(W290&gt;=0,"Likely","Target"),IF(DB_Colleges!Y284&gt;=0.4,CHOOSE(W290+2,"Reach","Target","Likely"),IF(W290=1,"Target","Reach")))))))</f>
        <v/>
      </c>
      <c r="F290" s="28" t="str">
        <f aca="false">IF(OR(B290="",NOT(ISNUMBER(DB_Colleges!Y284))),"",DB_Colleges!Y284)</f>
        <v/>
      </c>
      <c r="G290" s="26" t="str">
        <f aca="false">IF(OR(B290="",NOT(ISNUMBER(DB_Colleges!Z284))),"",DB_Colleges!Z284&amp;"-"&amp;DB_Colleges!AA284)</f>
        <v/>
      </c>
      <c r="H290" s="26" t="str">
        <f aca="false">IF(OR(B290="",NOT(ISNUMBER(DB_Colleges!AD284))),"",DB_Colleges!AD284)</f>
        <v/>
      </c>
      <c r="I290" s="29" t="str">
        <f aca="false">IF(B290="","",IF(COUNT(DB_Colleges!I284:O284)=0,IF(DB_Colleges!P284="Yes","Rolling","Check site"),MIN(DB_Colleges!I284:O284)))</f>
        <v/>
      </c>
      <c r="J290" s="26" t="str">
        <f aca="false">IF(OR(B290="",COUNT(DB_Colleges!I284:O284)=0),"",INDEX({"ED","ED II","EA","EA II","REA","RD","Priority"},MATCH(MIN(DB_Colleges!I284:O284),DB_Colleges!I284:O284,0)))</f>
        <v/>
      </c>
      <c r="K290" s="29" t="str">
        <f aca="false">IF(OR(B290="",NOT(ISNUMBER(DB_Colleges!N284))),"",DB_Colleges!N284)</f>
        <v/>
      </c>
      <c r="L290" s="26" t="str">
        <f aca="false">IF(B290="","",DB_Colleges!G284&amp;"")</f>
        <v/>
      </c>
      <c r="M290" s="30" t="str">
        <f aca="false">IF(OR(B290="",NOT(ISNUMBER(DB_Colleges!S284))),"",DB_Colleges!S284)</f>
        <v/>
      </c>
      <c r="N290" s="26" t="str">
        <f aca="false">IF(B290="","",DB_Colleges!U284&amp;"")</f>
        <v/>
      </c>
      <c r="O290" s="26" t="str">
        <f aca="false">IF(B290="","",IF(ISNUMBER(DB_Colleges!AH284),DB_Colleges!AH284,"Check"))</f>
        <v/>
      </c>
      <c r="P290" s="26" t="str">
        <f aca="false">IF(B290="","",DB_Colleges!W284&amp;"")</f>
        <v/>
      </c>
      <c r="Q290" s="30" t="str">
        <f aca="false">IF(OR(B290="",NOT(ISNUMBER(DB_Colleges!AF284))),"",DB_Colleges!AF284)</f>
        <v/>
      </c>
      <c r="R290" s="28" t="str">
        <f aca="false">IF(OR(B290="",NOT(ISNUMBER(DB_Colleges!AG284))),"",DB_Colleges!AG284)</f>
        <v/>
      </c>
      <c r="S290" s="26" t="str">
        <f aca="false">IF(B290="","",DB_Colleges!AK284&amp;"")</f>
        <v/>
      </c>
      <c r="T290" s="26" t="str">
        <f aca="false">IF(B290="","",DB_Colleges!AI284&amp;"")</f>
        <v/>
      </c>
      <c r="U290" s="1" t="str">
        <f aca="false">IF(AND(ISNUMBER($X$4),ISNUMBER(DB_Colleges!Z284),ISNUMBER(DB_Colleges!AA284)),IF($X$4&gt;=DB_Colleges!AA284,1,IF($X$4&lt;DB_Colleges!Z284,-1,0)),"")</f>
        <v/>
      </c>
      <c r="V290" s="1" t="str">
        <f aca="false">IF(AND(ISNUMBER($Y$4),ISNUMBER(DB_Colleges!AD284)),IF($Y$4&gt;=DB_Colleges!AD284+0.15,1,IF($Y$4&lt;DB_Colleges!AD284-0.2,-1,0)),"")</f>
        <v/>
      </c>
      <c r="W290" s="1" t="n">
        <f aca="false">IF(COUNT(U290:V290)=0,0,MIN(U290:V290))</f>
        <v>0</v>
      </c>
    </row>
    <row r="291" customFormat="false" ht="15" hidden="false" customHeight="true" outlineLevel="0" collapsed="false">
      <c r="A291" s="26" t="str">
        <f aca="false">IF(B291="","",IF(COUNTIF('My Colleges'!$B$8:$B$27,B291)&gt;0,"On list",""))</f>
        <v/>
      </c>
      <c r="B291" s="27" t="str">
        <f aca="false">IF(DB_Colleges!A285="","",DB_Colleges!A285)</f>
        <v/>
      </c>
      <c r="C291" s="26" t="str">
        <f aca="false">IF(B291="","",DB_Colleges!B285)</f>
        <v/>
      </c>
      <c r="D291" s="26" t="str">
        <f aca="false">IF(B291="","",DB_Colleges!C285&amp;", "&amp;DB_Colleges!D285)</f>
        <v/>
      </c>
      <c r="E291" s="26" t="str">
        <f aca="false">IF(B291="","",IF(AND(NOT(ISNUMBER($X$4)),NOT(ISNUMBER($Y$4))),"Add scores",IF(NOT(ISNUMBER(DB_Colleges!Y285)),IF(OR(C291="Ivy League",C291="Highly Selective"),"Reach",IF(COUNT(U291:V291)=0,"No data",CHOOSE(W291+2,"Reach","Target","Likely"))),IF(DB_Colleges!Y285&lt;0.15,"Reach",IF(DB_Colleges!Y285&gt;=0.75,IF(W291&gt;=0,"Likely","Target"),IF(DB_Colleges!Y285&gt;=0.4,CHOOSE(W291+2,"Reach","Target","Likely"),IF(W291=1,"Target","Reach")))))))</f>
        <v/>
      </c>
      <c r="F291" s="28" t="str">
        <f aca="false">IF(OR(B291="",NOT(ISNUMBER(DB_Colleges!Y285))),"",DB_Colleges!Y285)</f>
        <v/>
      </c>
      <c r="G291" s="26" t="str">
        <f aca="false">IF(OR(B291="",NOT(ISNUMBER(DB_Colleges!Z285))),"",DB_Colleges!Z285&amp;"-"&amp;DB_Colleges!AA285)</f>
        <v/>
      </c>
      <c r="H291" s="26" t="str">
        <f aca="false">IF(OR(B291="",NOT(ISNUMBER(DB_Colleges!AD285))),"",DB_Colleges!AD285)</f>
        <v/>
      </c>
      <c r="I291" s="29" t="str">
        <f aca="false">IF(B291="","",IF(COUNT(DB_Colleges!I285:O285)=0,IF(DB_Colleges!P285="Yes","Rolling","Check site"),MIN(DB_Colleges!I285:O285)))</f>
        <v/>
      </c>
      <c r="J291" s="26" t="str">
        <f aca="false">IF(OR(B291="",COUNT(DB_Colleges!I285:O285)=0),"",INDEX({"ED","ED II","EA","EA II","REA","RD","Priority"},MATCH(MIN(DB_Colleges!I285:O285),DB_Colleges!I285:O285,0)))</f>
        <v/>
      </c>
      <c r="K291" s="29" t="str">
        <f aca="false">IF(OR(B291="",NOT(ISNUMBER(DB_Colleges!N285))),"",DB_Colleges!N285)</f>
        <v/>
      </c>
      <c r="L291" s="26" t="str">
        <f aca="false">IF(B291="","",DB_Colleges!G285&amp;"")</f>
        <v/>
      </c>
      <c r="M291" s="30" t="str">
        <f aca="false">IF(OR(B291="",NOT(ISNUMBER(DB_Colleges!S285))),"",DB_Colleges!S285)</f>
        <v/>
      </c>
      <c r="N291" s="26" t="str">
        <f aca="false">IF(B291="","",DB_Colleges!U285&amp;"")</f>
        <v/>
      </c>
      <c r="O291" s="26" t="str">
        <f aca="false">IF(B291="","",IF(ISNUMBER(DB_Colleges!AH285),DB_Colleges!AH285,"Check"))</f>
        <v/>
      </c>
      <c r="P291" s="26" t="str">
        <f aca="false">IF(B291="","",DB_Colleges!W285&amp;"")</f>
        <v/>
      </c>
      <c r="Q291" s="30" t="str">
        <f aca="false">IF(OR(B291="",NOT(ISNUMBER(DB_Colleges!AF285))),"",DB_Colleges!AF285)</f>
        <v/>
      </c>
      <c r="R291" s="28" t="str">
        <f aca="false">IF(OR(B291="",NOT(ISNUMBER(DB_Colleges!AG285))),"",DB_Colleges!AG285)</f>
        <v/>
      </c>
      <c r="S291" s="26" t="str">
        <f aca="false">IF(B291="","",DB_Colleges!AK285&amp;"")</f>
        <v/>
      </c>
      <c r="T291" s="26" t="str">
        <f aca="false">IF(B291="","",DB_Colleges!AI285&amp;"")</f>
        <v/>
      </c>
      <c r="U291" s="1" t="str">
        <f aca="false">IF(AND(ISNUMBER($X$4),ISNUMBER(DB_Colleges!Z285),ISNUMBER(DB_Colleges!AA285)),IF($X$4&gt;=DB_Colleges!AA285,1,IF($X$4&lt;DB_Colleges!Z285,-1,0)),"")</f>
        <v/>
      </c>
      <c r="V291" s="1" t="str">
        <f aca="false">IF(AND(ISNUMBER($Y$4),ISNUMBER(DB_Colleges!AD285)),IF($Y$4&gt;=DB_Colleges!AD285+0.15,1,IF($Y$4&lt;DB_Colleges!AD285-0.2,-1,0)),"")</f>
        <v/>
      </c>
      <c r="W291" s="1" t="n">
        <f aca="false">IF(COUNT(U291:V291)=0,0,MIN(U291:V291))</f>
        <v>0</v>
      </c>
    </row>
    <row r="292" customFormat="false" ht="15" hidden="false" customHeight="true" outlineLevel="0" collapsed="false">
      <c r="A292" s="26" t="str">
        <f aca="false">IF(B292="","",IF(COUNTIF('My Colleges'!$B$8:$B$27,B292)&gt;0,"On list",""))</f>
        <v/>
      </c>
      <c r="B292" s="27" t="str">
        <f aca="false">IF(DB_Colleges!A286="","",DB_Colleges!A286)</f>
        <v/>
      </c>
      <c r="C292" s="26" t="str">
        <f aca="false">IF(B292="","",DB_Colleges!B286)</f>
        <v/>
      </c>
      <c r="D292" s="26" t="str">
        <f aca="false">IF(B292="","",DB_Colleges!C286&amp;", "&amp;DB_Colleges!D286)</f>
        <v/>
      </c>
      <c r="E292" s="26" t="str">
        <f aca="false">IF(B292="","",IF(AND(NOT(ISNUMBER($X$4)),NOT(ISNUMBER($Y$4))),"Add scores",IF(NOT(ISNUMBER(DB_Colleges!Y286)),IF(OR(C292="Ivy League",C292="Highly Selective"),"Reach",IF(COUNT(U292:V292)=0,"No data",CHOOSE(W292+2,"Reach","Target","Likely"))),IF(DB_Colleges!Y286&lt;0.15,"Reach",IF(DB_Colleges!Y286&gt;=0.75,IF(W292&gt;=0,"Likely","Target"),IF(DB_Colleges!Y286&gt;=0.4,CHOOSE(W292+2,"Reach","Target","Likely"),IF(W292=1,"Target","Reach")))))))</f>
        <v/>
      </c>
      <c r="F292" s="28" t="str">
        <f aca="false">IF(OR(B292="",NOT(ISNUMBER(DB_Colleges!Y286))),"",DB_Colleges!Y286)</f>
        <v/>
      </c>
      <c r="G292" s="26" t="str">
        <f aca="false">IF(OR(B292="",NOT(ISNUMBER(DB_Colleges!Z286))),"",DB_Colleges!Z286&amp;"-"&amp;DB_Colleges!AA286)</f>
        <v/>
      </c>
      <c r="H292" s="26" t="str">
        <f aca="false">IF(OR(B292="",NOT(ISNUMBER(DB_Colleges!AD286))),"",DB_Colleges!AD286)</f>
        <v/>
      </c>
      <c r="I292" s="29" t="str">
        <f aca="false">IF(B292="","",IF(COUNT(DB_Colleges!I286:O286)=0,IF(DB_Colleges!P286="Yes","Rolling","Check site"),MIN(DB_Colleges!I286:O286)))</f>
        <v/>
      </c>
      <c r="J292" s="26" t="str">
        <f aca="false">IF(OR(B292="",COUNT(DB_Colleges!I286:O286)=0),"",INDEX({"ED","ED II","EA","EA II","REA","RD","Priority"},MATCH(MIN(DB_Colleges!I286:O286),DB_Colleges!I286:O286,0)))</f>
        <v/>
      </c>
      <c r="K292" s="29" t="str">
        <f aca="false">IF(OR(B292="",NOT(ISNUMBER(DB_Colleges!N286))),"",DB_Colleges!N286)</f>
        <v/>
      </c>
      <c r="L292" s="26" t="str">
        <f aca="false">IF(B292="","",DB_Colleges!G286&amp;"")</f>
        <v/>
      </c>
      <c r="M292" s="30" t="str">
        <f aca="false">IF(OR(B292="",NOT(ISNUMBER(DB_Colleges!S286))),"",DB_Colleges!S286)</f>
        <v/>
      </c>
      <c r="N292" s="26" t="str">
        <f aca="false">IF(B292="","",DB_Colleges!U286&amp;"")</f>
        <v/>
      </c>
      <c r="O292" s="26" t="str">
        <f aca="false">IF(B292="","",IF(ISNUMBER(DB_Colleges!AH286),DB_Colleges!AH286,"Check"))</f>
        <v/>
      </c>
      <c r="P292" s="26" t="str">
        <f aca="false">IF(B292="","",DB_Colleges!W286&amp;"")</f>
        <v/>
      </c>
      <c r="Q292" s="30" t="str">
        <f aca="false">IF(OR(B292="",NOT(ISNUMBER(DB_Colleges!AF286))),"",DB_Colleges!AF286)</f>
        <v/>
      </c>
      <c r="R292" s="28" t="str">
        <f aca="false">IF(OR(B292="",NOT(ISNUMBER(DB_Colleges!AG286))),"",DB_Colleges!AG286)</f>
        <v/>
      </c>
      <c r="S292" s="26" t="str">
        <f aca="false">IF(B292="","",DB_Colleges!AK286&amp;"")</f>
        <v/>
      </c>
      <c r="T292" s="26" t="str">
        <f aca="false">IF(B292="","",DB_Colleges!AI286&amp;"")</f>
        <v/>
      </c>
      <c r="U292" s="1" t="str">
        <f aca="false">IF(AND(ISNUMBER($X$4),ISNUMBER(DB_Colleges!Z286),ISNUMBER(DB_Colleges!AA286)),IF($X$4&gt;=DB_Colleges!AA286,1,IF($X$4&lt;DB_Colleges!Z286,-1,0)),"")</f>
        <v/>
      </c>
      <c r="V292" s="1" t="str">
        <f aca="false">IF(AND(ISNUMBER($Y$4),ISNUMBER(DB_Colleges!AD286)),IF($Y$4&gt;=DB_Colleges!AD286+0.15,1,IF($Y$4&lt;DB_Colleges!AD286-0.2,-1,0)),"")</f>
        <v/>
      </c>
      <c r="W292" s="1" t="n">
        <f aca="false">IF(COUNT(U292:V292)=0,0,MIN(U292:V292))</f>
        <v>0</v>
      </c>
    </row>
    <row r="293" customFormat="false" ht="15" hidden="false" customHeight="true" outlineLevel="0" collapsed="false">
      <c r="A293" s="26" t="str">
        <f aca="false">IF(B293="","",IF(COUNTIF('My Colleges'!$B$8:$B$27,B293)&gt;0,"On list",""))</f>
        <v/>
      </c>
      <c r="B293" s="27" t="str">
        <f aca="false">IF(DB_Colleges!A287="","",DB_Colleges!A287)</f>
        <v/>
      </c>
      <c r="C293" s="26" t="str">
        <f aca="false">IF(B293="","",DB_Colleges!B287)</f>
        <v/>
      </c>
      <c r="D293" s="26" t="str">
        <f aca="false">IF(B293="","",DB_Colleges!C287&amp;", "&amp;DB_Colleges!D287)</f>
        <v/>
      </c>
      <c r="E293" s="26" t="str">
        <f aca="false">IF(B293="","",IF(AND(NOT(ISNUMBER($X$4)),NOT(ISNUMBER($Y$4))),"Add scores",IF(NOT(ISNUMBER(DB_Colleges!Y287)),IF(OR(C293="Ivy League",C293="Highly Selective"),"Reach",IF(COUNT(U293:V293)=0,"No data",CHOOSE(W293+2,"Reach","Target","Likely"))),IF(DB_Colleges!Y287&lt;0.15,"Reach",IF(DB_Colleges!Y287&gt;=0.75,IF(W293&gt;=0,"Likely","Target"),IF(DB_Colleges!Y287&gt;=0.4,CHOOSE(W293+2,"Reach","Target","Likely"),IF(W293=1,"Target","Reach")))))))</f>
        <v/>
      </c>
      <c r="F293" s="28" t="str">
        <f aca="false">IF(OR(B293="",NOT(ISNUMBER(DB_Colleges!Y287))),"",DB_Colleges!Y287)</f>
        <v/>
      </c>
      <c r="G293" s="26" t="str">
        <f aca="false">IF(OR(B293="",NOT(ISNUMBER(DB_Colleges!Z287))),"",DB_Colleges!Z287&amp;"-"&amp;DB_Colleges!AA287)</f>
        <v/>
      </c>
      <c r="H293" s="26" t="str">
        <f aca="false">IF(OR(B293="",NOT(ISNUMBER(DB_Colleges!AD287))),"",DB_Colleges!AD287)</f>
        <v/>
      </c>
      <c r="I293" s="29" t="str">
        <f aca="false">IF(B293="","",IF(COUNT(DB_Colleges!I287:O287)=0,IF(DB_Colleges!P287="Yes","Rolling","Check site"),MIN(DB_Colleges!I287:O287)))</f>
        <v/>
      </c>
      <c r="J293" s="26" t="str">
        <f aca="false">IF(OR(B293="",COUNT(DB_Colleges!I287:O287)=0),"",INDEX({"ED","ED II","EA","EA II","REA","RD","Priority"},MATCH(MIN(DB_Colleges!I287:O287),DB_Colleges!I287:O287,0)))</f>
        <v/>
      </c>
      <c r="K293" s="29" t="str">
        <f aca="false">IF(OR(B293="",NOT(ISNUMBER(DB_Colleges!N287))),"",DB_Colleges!N287)</f>
        <v/>
      </c>
      <c r="L293" s="26" t="str">
        <f aca="false">IF(B293="","",DB_Colleges!G287&amp;"")</f>
        <v/>
      </c>
      <c r="M293" s="30" t="str">
        <f aca="false">IF(OR(B293="",NOT(ISNUMBER(DB_Colleges!S287))),"",DB_Colleges!S287)</f>
        <v/>
      </c>
      <c r="N293" s="26" t="str">
        <f aca="false">IF(B293="","",DB_Colleges!U287&amp;"")</f>
        <v/>
      </c>
      <c r="O293" s="26" t="str">
        <f aca="false">IF(B293="","",IF(ISNUMBER(DB_Colleges!AH287),DB_Colleges!AH287,"Check"))</f>
        <v/>
      </c>
      <c r="P293" s="26" t="str">
        <f aca="false">IF(B293="","",DB_Colleges!W287&amp;"")</f>
        <v/>
      </c>
      <c r="Q293" s="30" t="str">
        <f aca="false">IF(OR(B293="",NOT(ISNUMBER(DB_Colleges!AF287))),"",DB_Colleges!AF287)</f>
        <v/>
      </c>
      <c r="R293" s="28" t="str">
        <f aca="false">IF(OR(B293="",NOT(ISNUMBER(DB_Colleges!AG287))),"",DB_Colleges!AG287)</f>
        <v/>
      </c>
      <c r="S293" s="26" t="str">
        <f aca="false">IF(B293="","",DB_Colleges!AK287&amp;"")</f>
        <v/>
      </c>
      <c r="T293" s="26" t="str">
        <f aca="false">IF(B293="","",DB_Colleges!AI287&amp;"")</f>
        <v/>
      </c>
      <c r="U293" s="1" t="str">
        <f aca="false">IF(AND(ISNUMBER($X$4),ISNUMBER(DB_Colleges!Z287),ISNUMBER(DB_Colleges!AA287)),IF($X$4&gt;=DB_Colleges!AA287,1,IF($X$4&lt;DB_Colleges!Z287,-1,0)),"")</f>
        <v/>
      </c>
      <c r="V293" s="1" t="str">
        <f aca="false">IF(AND(ISNUMBER($Y$4),ISNUMBER(DB_Colleges!AD287)),IF($Y$4&gt;=DB_Colleges!AD287+0.15,1,IF($Y$4&lt;DB_Colleges!AD287-0.2,-1,0)),"")</f>
        <v/>
      </c>
      <c r="W293" s="1" t="n">
        <f aca="false">IF(COUNT(U293:V293)=0,0,MIN(U293:V293))</f>
        <v>0</v>
      </c>
    </row>
    <row r="294" customFormat="false" ht="15" hidden="false" customHeight="true" outlineLevel="0" collapsed="false">
      <c r="A294" s="26" t="str">
        <f aca="false">IF(B294="","",IF(COUNTIF('My Colleges'!$B$8:$B$27,B294)&gt;0,"On list",""))</f>
        <v/>
      </c>
      <c r="B294" s="27" t="str">
        <f aca="false">IF(DB_Colleges!A288="","",DB_Colleges!A288)</f>
        <v/>
      </c>
      <c r="C294" s="26" t="str">
        <f aca="false">IF(B294="","",DB_Colleges!B288)</f>
        <v/>
      </c>
      <c r="D294" s="26" t="str">
        <f aca="false">IF(B294="","",DB_Colleges!C288&amp;", "&amp;DB_Colleges!D288)</f>
        <v/>
      </c>
      <c r="E294" s="26" t="str">
        <f aca="false">IF(B294="","",IF(AND(NOT(ISNUMBER($X$4)),NOT(ISNUMBER($Y$4))),"Add scores",IF(NOT(ISNUMBER(DB_Colleges!Y288)),IF(OR(C294="Ivy League",C294="Highly Selective"),"Reach",IF(COUNT(U294:V294)=0,"No data",CHOOSE(W294+2,"Reach","Target","Likely"))),IF(DB_Colleges!Y288&lt;0.15,"Reach",IF(DB_Colleges!Y288&gt;=0.75,IF(W294&gt;=0,"Likely","Target"),IF(DB_Colleges!Y288&gt;=0.4,CHOOSE(W294+2,"Reach","Target","Likely"),IF(W294=1,"Target","Reach")))))))</f>
        <v/>
      </c>
      <c r="F294" s="28" t="str">
        <f aca="false">IF(OR(B294="",NOT(ISNUMBER(DB_Colleges!Y288))),"",DB_Colleges!Y288)</f>
        <v/>
      </c>
      <c r="G294" s="26" t="str">
        <f aca="false">IF(OR(B294="",NOT(ISNUMBER(DB_Colleges!Z288))),"",DB_Colleges!Z288&amp;"-"&amp;DB_Colleges!AA288)</f>
        <v/>
      </c>
      <c r="H294" s="26" t="str">
        <f aca="false">IF(OR(B294="",NOT(ISNUMBER(DB_Colleges!AD288))),"",DB_Colleges!AD288)</f>
        <v/>
      </c>
      <c r="I294" s="29" t="str">
        <f aca="false">IF(B294="","",IF(COUNT(DB_Colleges!I288:O288)=0,IF(DB_Colleges!P288="Yes","Rolling","Check site"),MIN(DB_Colleges!I288:O288)))</f>
        <v/>
      </c>
      <c r="J294" s="26" t="str">
        <f aca="false">IF(OR(B294="",COUNT(DB_Colleges!I288:O288)=0),"",INDEX({"ED","ED II","EA","EA II","REA","RD","Priority"},MATCH(MIN(DB_Colleges!I288:O288),DB_Colleges!I288:O288,0)))</f>
        <v/>
      </c>
      <c r="K294" s="29" t="str">
        <f aca="false">IF(OR(B294="",NOT(ISNUMBER(DB_Colleges!N288))),"",DB_Colleges!N288)</f>
        <v/>
      </c>
      <c r="L294" s="26" t="str">
        <f aca="false">IF(B294="","",DB_Colleges!G288&amp;"")</f>
        <v/>
      </c>
      <c r="M294" s="30" t="str">
        <f aca="false">IF(OR(B294="",NOT(ISNUMBER(DB_Colleges!S288))),"",DB_Colleges!S288)</f>
        <v/>
      </c>
      <c r="N294" s="26" t="str">
        <f aca="false">IF(B294="","",DB_Colleges!U288&amp;"")</f>
        <v/>
      </c>
      <c r="O294" s="26" t="str">
        <f aca="false">IF(B294="","",IF(ISNUMBER(DB_Colleges!AH288),DB_Colleges!AH288,"Check"))</f>
        <v/>
      </c>
      <c r="P294" s="26" t="str">
        <f aca="false">IF(B294="","",DB_Colleges!W288&amp;"")</f>
        <v/>
      </c>
      <c r="Q294" s="30" t="str">
        <f aca="false">IF(OR(B294="",NOT(ISNUMBER(DB_Colleges!AF288))),"",DB_Colleges!AF288)</f>
        <v/>
      </c>
      <c r="R294" s="28" t="str">
        <f aca="false">IF(OR(B294="",NOT(ISNUMBER(DB_Colleges!AG288))),"",DB_Colleges!AG288)</f>
        <v/>
      </c>
      <c r="S294" s="26" t="str">
        <f aca="false">IF(B294="","",DB_Colleges!AK288&amp;"")</f>
        <v/>
      </c>
      <c r="T294" s="26" t="str">
        <f aca="false">IF(B294="","",DB_Colleges!AI288&amp;"")</f>
        <v/>
      </c>
      <c r="U294" s="1" t="str">
        <f aca="false">IF(AND(ISNUMBER($X$4),ISNUMBER(DB_Colleges!Z288),ISNUMBER(DB_Colleges!AA288)),IF($X$4&gt;=DB_Colleges!AA288,1,IF($X$4&lt;DB_Colleges!Z288,-1,0)),"")</f>
        <v/>
      </c>
      <c r="V294" s="1" t="str">
        <f aca="false">IF(AND(ISNUMBER($Y$4),ISNUMBER(DB_Colleges!AD288)),IF($Y$4&gt;=DB_Colleges!AD288+0.15,1,IF($Y$4&lt;DB_Colleges!AD288-0.2,-1,0)),"")</f>
        <v/>
      </c>
      <c r="W294" s="1" t="n">
        <f aca="false">IF(COUNT(U294:V294)=0,0,MIN(U294:V294))</f>
        <v>0</v>
      </c>
    </row>
    <row r="295" customFormat="false" ht="15" hidden="false" customHeight="true" outlineLevel="0" collapsed="false">
      <c r="A295" s="26" t="str">
        <f aca="false">IF(B295="","",IF(COUNTIF('My Colleges'!$B$8:$B$27,B295)&gt;0,"On list",""))</f>
        <v/>
      </c>
      <c r="B295" s="27" t="str">
        <f aca="false">IF(DB_Colleges!A289="","",DB_Colleges!A289)</f>
        <v/>
      </c>
      <c r="C295" s="26" t="str">
        <f aca="false">IF(B295="","",DB_Colleges!B289)</f>
        <v/>
      </c>
      <c r="D295" s="26" t="str">
        <f aca="false">IF(B295="","",DB_Colleges!C289&amp;", "&amp;DB_Colleges!D289)</f>
        <v/>
      </c>
      <c r="E295" s="26" t="str">
        <f aca="false">IF(B295="","",IF(AND(NOT(ISNUMBER($X$4)),NOT(ISNUMBER($Y$4))),"Add scores",IF(NOT(ISNUMBER(DB_Colleges!Y289)),IF(OR(C295="Ivy League",C295="Highly Selective"),"Reach",IF(COUNT(U295:V295)=0,"No data",CHOOSE(W295+2,"Reach","Target","Likely"))),IF(DB_Colleges!Y289&lt;0.15,"Reach",IF(DB_Colleges!Y289&gt;=0.75,IF(W295&gt;=0,"Likely","Target"),IF(DB_Colleges!Y289&gt;=0.4,CHOOSE(W295+2,"Reach","Target","Likely"),IF(W295=1,"Target","Reach")))))))</f>
        <v/>
      </c>
      <c r="F295" s="28" t="str">
        <f aca="false">IF(OR(B295="",NOT(ISNUMBER(DB_Colleges!Y289))),"",DB_Colleges!Y289)</f>
        <v/>
      </c>
      <c r="G295" s="26" t="str">
        <f aca="false">IF(OR(B295="",NOT(ISNUMBER(DB_Colleges!Z289))),"",DB_Colleges!Z289&amp;"-"&amp;DB_Colleges!AA289)</f>
        <v/>
      </c>
      <c r="H295" s="26" t="str">
        <f aca="false">IF(OR(B295="",NOT(ISNUMBER(DB_Colleges!AD289))),"",DB_Colleges!AD289)</f>
        <v/>
      </c>
      <c r="I295" s="29" t="str">
        <f aca="false">IF(B295="","",IF(COUNT(DB_Colleges!I289:O289)=0,IF(DB_Colleges!P289="Yes","Rolling","Check site"),MIN(DB_Colleges!I289:O289)))</f>
        <v/>
      </c>
      <c r="J295" s="26" t="str">
        <f aca="false">IF(OR(B295="",COUNT(DB_Colleges!I289:O289)=0),"",INDEX({"ED","ED II","EA","EA II","REA","RD","Priority"},MATCH(MIN(DB_Colleges!I289:O289),DB_Colleges!I289:O289,0)))</f>
        <v/>
      </c>
      <c r="K295" s="29" t="str">
        <f aca="false">IF(OR(B295="",NOT(ISNUMBER(DB_Colleges!N289))),"",DB_Colleges!N289)</f>
        <v/>
      </c>
      <c r="L295" s="26" t="str">
        <f aca="false">IF(B295="","",DB_Colleges!G289&amp;"")</f>
        <v/>
      </c>
      <c r="M295" s="30" t="str">
        <f aca="false">IF(OR(B295="",NOT(ISNUMBER(DB_Colleges!S289))),"",DB_Colleges!S289)</f>
        <v/>
      </c>
      <c r="N295" s="26" t="str">
        <f aca="false">IF(B295="","",DB_Colleges!U289&amp;"")</f>
        <v/>
      </c>
      <c r="O295" s="26" t="str">
        <f aca="false">IF(B295="","",IF(ISNUMBER(DB_Colleges!AH289),DB_Colleges!AH289,"Check"))</f>
        <v/>
      </c>
      <c r="P295" s="26" t="str">
        <f aca="false">IF(B295="","",DB_Colleges!W289&amp;"")</f>
        <v/>
      </c>
      <c r="Q295" s="30" t="str">
        <f aca="false">IF(OR(B295="",NOT(ISNUMBER(DB_Colleges!AF289))),"",DB_Colleges!AF289)</f>
        <v/>
      </c>
      <c r="R295" s="28" t="str">
        <f aca="false">IF(OR(B295="",NOT(ISNUMBER(DB_Colleges!AG289))),"",DB_Colleges!AG289)</f>
        <v/>
      </c>
      <c r="S295" s="26" t="str">
        <f aca="false">IF(B295="","",DB_Colleges!AK289&amp;"")</f>
        <v/>
      </c>
      <c r="T295" s="26" t="str">
        <f aca="false">IF(B295="","",DB_Colleges!AI289&amp;"")</f>
        <v/>
      </c>
      <c r="U295" s="1" t="str">
        <f aca="false">IF(AND(ISNUMBER($X$4),ISNUMBER(DB_Colleges!Z289),ISNUMBER(DB_Colleges!AA289)),IF($X$4&gt;=DB_Colleges!AA289,1,IF($X$4&lt;DB_Colleges!Z289,-1,0)),"")</f>
        <v/>
      </c>
      <c r="V295" s="1" t="str">
        <f aca="false">IF(AND(ISNUMBER($Y$4),ISNUMBER(DB_Colleges!AD289)),IF($Y$4&gt;=DB_Colleges!AD289+0.15,1,IF($Y$4&lt;DB_Colleges!AD289-0.2,-1,0)),"")</f>
        <v/>
      </c>
      <c r="W295" s="1" t="n">
        <f aca="false">IF(COUNT(U295:V295)=0,0,MIN(U295:V295))</f>
        <v>0</v>
      </c>
    </row>
    <row r="296" customFormat="false" ht="15" hidden="false" customHeight="true" outlineLevel="0" collapsed="false">
      <c r="A296" s="26" t="str">
        <f aca="false">IF(B296="","",IF(COUNTIF('My Colleges'!$B$8:$B$27,B296)&gt;0,"On list",""))</f>
        <v/>
      </c>
      <c r="B296" s="27" t="str">
        <f aca="false">IF(DB_Colleges!A290="","",DB_Colleges!A290)</f>
        <v/>
      </c>
      <c r="C296" s="26" t="str">
        <f aca="false">IF(B296="","",DB_Colleges!B290)</f>
        <v/>
      </c>
      <c r="D296" s="26" t="str">
        <f aca="false">IF(B296="","",DB_Colleges!C290&amp;", "&amp;DB_Colleges!D290)</f>
        <v/>
      </c>
      <c r="E296" s="26" t="str">
        <f aca="false">IF(B296="","",IF(AND(NOT(ISNUMBER($X$4)),NOT(ISNUMBER($Y$4))),"Add scores",IF(NOT(ISNUMBER(DB_Colleges!Y290)),IF(OR(C296="Ivy League",C296="Highly Selective"),"Reach",IF(COUNT(U296:V296)=0,"No data",CHOOSE(W296+2,"Reach","Target","Likely"))),IF(DB_Colleges!Y290&lt;0.15,"Reach",IF(DB_Colleges!Y290&gt;=0.75,IF(W296&gt;=0,"Likely","Target"),IF(DB_Colleges!Y290&gt;=0.4,CHOOSE(W296+2,"Reach","Target","Likely"),IF(W296=1,"Target","Reach")))))))</f>
        <v/>
      </c>
      <c r="F296" s="28" t="str">
        <f aca="false">IF(OR(B296="",NOT(ISNUMBER(DB_Colleges!Y290))),"",DB_Colleges!Y290)</f>
        <v/>
      </c>
      <c r="G296" s="26" t="str">
        <f aca="false">IF(OR(B296="",NOT(ISNUMBER(DB_Colleges!Z290))),"",DB_Colleges!Z290&amp;"-"&amp;DB_Colleges!AA290)</f>
        <v/>
      </c>
      <c r="H296" s="26" t="str">
        <f aca="false">IF(OR(B296="",NOT(ISNUMBER(DB_Colleges!AD290))),"",DB_Colleges!AD290)</f>
        <v/>
      </c>
      <c r="I296" s="29" t="str">
        <f aca="false">IF(B296="","",IF(COUNT(DB_Colleges!I290:O290)=0,IF(DB_Colleges!P290="Yes","Rolling","Check site"),MIN(DB_Colleges!I290:O290)))</f>
        <v/>
      </c>
      <c r="J296" s="26" t="str">
        <f aca="false">IF(OR(B296="",COUNT(DB_Colleges!I290:O290)=0),"",INDEX({"ED","ED II","EA","EA II","REA","RD","Priority"},MATCH(MIN(DB_Colleges!I290:O290),DB_Colleges!I290:O290,0)))</f>
        <v/>
      </c>
      <c r="K296" s="29" t="str">
        <f aca="false">IF(OR(B296="",NOT(ISNUMBER(DB_Colleges!N290))),"",DB_Colleges!N290)</f>
        <v/>
      </c>
      <c r="L296" s="26" t="str">
        <f aca="false">IF(B296="","",DB_Colleges!G290&amp;"")</f>
        <v/>
      </c>
      <c r="M296" s="30" t="str">
        <f aca="false">IF(OR(B296="",NOT(ISNUMBER(DB_Colleges!S290))),"",DB_Colleges!S290)</f>
        <v/>
      </c>
      <c r="N296" s="26" t="str">
        <f aca="false">IF(B296="","",DB_Colleges!U290&amp;"")</f>
        <v/>
      </c>
      <c r="O296" s="26" t="str">
        <f aca="false">IF(B296="","",IF(ISNUMBER(DB_Colleges!AH290),DB_Colleges!AH290,"Check"))</f>
        <v/>
      </c>
      <c r="P296" s="26" t="str">
        <f aca="false">IF(B296="","",DB_Colleges!W290&amp;"")</f>
        <v/>
      </c>
      <c r="Q296" s="30" t="str">
        <f aca="false">IF(OR(B296="",NOT(ISNUMBER(DB_Colleges!AF290))),"",DB_Colleges!AF290)</f>
        <v/>
      </c>
      <c r="R296" s="28" t="str">
        <f aca="false">IF(OR(B296="",NOT(ISNUMBER(DB_Colleges!AG290))),"",DB_Colleges!AG290)</f>
        <v/>
      </c>
      <c r="S296" s="26" t="str">
        <f aca="false">IF(B296="","",DB_Colleges!AK290&amp;"")</f>
        <v/>
      </c>
      <c r="T296" s="26" t="str">
        <f aca="false">IF(B296="","",DB_Colleges!AI290&amp;"")</f>
        <v/>
      </c>
      <c r="U296" s="1" t="str">
        <f aca="false">IF(AND(ISNUMBER($X$4),ISNUMBER(DB_Colleges!Z290),ISNUMBER(DB_Colleges!AA290)),IF($X$4&gt;=DB_Colleges!AA290,1,IF($X$4&lt;DB_Colleges!Z290,-1,0)),"")</f>
        <v/>
      </c>
      <c r="V296" s="1" t="str">
        <f aca="false">IF(AND(ISNUMBER($Y$4),ISNUMBER(DB_Colleges!AD290)),IF($Y$4&gt;=DB_Colleges!AD290+0.15,1,IF($Y$4&lt;DB_Colleges!AD290-0.2,-1,0)),"")</f>
        <v/>
      </c>
      <c r="W296" s="1" t="n">
        <f aca="false">IF(COUNT(U296:V296)=0,0,MIN(U296:V296))</f>
        <v>0</v>
      </c>
    </row>
    <row r="297" customFormat="false" ht="15" hidden="false" customHeight="true" outlineLevel="0" collapsed="false">
      <c r="A297" s="26" t="str">
        <f aca="false">IF(B297="","",IF(COUNTIF('My Colleges'!$B$8:$B$27,B297)&gt;0,"On list",""))</f>
        <v/>
      </c>
      <c r="B297" s="27" t="str">
        <f aca="false">IF(DB_Colleges!A291="","",DB_Colleges!A291)</f>
        <v/>
      </c>
      <c r="C297" s="26" t="str">
        <f aca="false">IF(B297="","",DB_Colleges!B291)</f>
        <v/>
      </c>
      <c r="D297" s="26" t="str">
        <f aca="false">IF(B297="","",DB_Colleges!C291&amp;", "&amp;DB_Colleges!D291)</f>
        <v/>
      </c>
      <c r="E297" s="26" t="str">
        <f aca="false">IF(B297="","",IF(AND(NOT(ISNUMBER($X$4)),NOT(ISNUMBER($Y$4))),"Add scores",IF(NOT(ISNUMBER(DB_Colleges!Y291)),IF(OR(C297="Ivy League",C297="Highly Selective"),"Reach",IF(COUNT(U297:V297)=0,"No data",CHOOSE(W297+2,"Reach","Target","Likely"))),IF(DB_Colleges!Y291&lt;0.15,"Reach",IF(DB_Colleges!Y291&gt;=0.75,IF(W297&gt;=0,"Likely","Target"),IF(DB_Colleges!Y291&gt;=0.4,CHOOSE(W297+2,"Reach","Target","Likely"),IF(W297=1,"Target","Reach")))))))</f>
        <v/>
      </c>
      <c r="F297" s="28" t="str">
        <f aca="false">IF(OR(B297="",NOT(ISNUMBER(DB_Colleges!Y291))),"",DB_Colleges!Y291)</f>
        <v/>
      </c>
      <c r="G297" s="26" t="str">
        <f aca="false">IF(OR(B297="",NOT(ISNUMBER(DB_Colleges!Z291))),"",DB_Colleges!Z291&amp;"-"&amp;DB_Colleges!AA291)</f>
        <v/>
      </c>
      <c r="H297" s="26" t="str">
        <f aca="false">IF(OR(B297="",NOT(ISNUMBER(DB_Colleges!AD291))),"",DB_Colleges!AD291)</f>
        <v/>
      </c>
      <c r="I297" s="29" t="str">
        <f aca="false">IF(B297="","",IF(COUNT(DB_Colleges!I291:O291)=0,IF(DB_Colleges!P291="Yes","Rolling","Check site"),MIN(DB_Colleges!I291:O291)))</f>
        <v/>
      </c>
      <c r="J297" s="26" t="str">
        <f aca="false">IF(OR(B297="",COUNT(DB_Colleges!I291:O291)=0),"",INDEX({"ED","ED II","EA","EA II","REA","RD","Priority"},MATCH(MIN(DB_Colleges!I291:O291),DB_Colleges!I291:O291,0)))</f>
        <v/>
      </c>
      <c r="K297" s="29" t="str">
        <f aca="false">IF(OR(B297="",NOT(ISNUMBER(DB_Colleges!N291))),"",DB_Colleges!N291)</f>
        <v/>
      </c>
      <c r="L297" s="26" t="str">
        <f aca="false">IF(B297="","",DB_Colleges!G291&amp;"")</f>
        <v/>
      </c>
      <c r="M297" s="30" t="str">
        <f aca="false">IF(OR(B297="",NOT(ISNUMBER(DB_Colleges!S291))),"",DB_Colleges!S291)</f>
        <v/>
      </c>
      <c r="N297" s="26" t="str">
        <f aca="false">IF(B297="","",DB_Colleges!U291&amp;"")</f>
        <v/>
      </c>
      <c r="O297" s="26" t="str">
        <f aca="false">IF(B297="","",IF(ISNUMBER(DB_Colleges!AH291),DB_Colleges!AH291,"Check"))</f>
        <v/>
      </c>
      <c r="P297" s="26" t="str">
        <f aca="false">IF(B297="","",DB_Colleges!W291&amp;"")</f>
        <v/>
      </c>
      <c r="Q297" s="30" t="str">
        <f aca="false">IF(OR(B297="",NOT(ISNUMBER(DB_Colleges!AF291))),"",DB_Colleges!AF291)</f>
        <v/>
      </c>
      <c r="R297" s="28" t="str">
        <f aca="false">IF(OR(B297="",NOT(ISNUMBER(DB_Colleges!AG291))),"",DB_Colleges!AG291)</f>
        <v/>
      </c>
      <c r="S297" s="26" t="str">
        <f aca="false">IF(B297="","",DB_Colleges!AK291&amp;"")</f>
        <v/>
      </c>
      <c r="T297" s="26" t="str">
        <f aca="false">IF(B297="","",DB_Colleges!AI291&amp;"")</f>
        <v/>
      </c>
      <c r="U297" s="1" t="str">
        <f aca="false">IF(AND(ISNUMBER($X$4),ISNUMBER(DB_Colleges!Z291),ISNUMBER(DB_Colleges!AA291)),IF($X$4&gt;=DB_Colleges!AA291,1,IF($X$4&lt;DB_Colleges!Z291,-1,0)),"")</f>
        <v/>
      </c>
      <c r="V297" s="1" t="str">
        <f aca="false">IF(AND(ISNUMBER($Y$4),ISNUMBER(DB_Colleges!AD291)),IF($Y$4&gt;=DB_Colleges!AD291+0.15,1,IF($Y$4&lt;DB_Colleges!AD291-0.2,-1,0)),"")</f>
        <v/>
      </c>
      <c r="W297" s="1" t="n">
        <f aca="false">IF(COUNT(U297:V297)=0,0,MIN(U297:V297))</f>
        <v>0</v>
      </c>
    </row>
    <row r="298" customFormat="false" ht="15" hidden="false" customHeight="true" outlineLevel="0" collapsed="false">
      <c r="A298" s="26" t="str">
        <f aca="false">IF(B298="","",IF(COUNTIF('My Colleges'!$B$8:$B$27,B298)&gt;0,"On list",""))</f>
        <v/>
      </c>
      <c r="B298" s="27" t="str">
        <f aca="false">IF(DB_Colleges!A292="","",DB_Colleges!A292)</f>
        <v/>
      </c>
      <c r="C298" s="26" t="str">
        <f aca="false">IF(B298="","",DB_Colleges!B292)</f>
        <v/>
      </c>
      <c r="D298" s="26" t="str">
        <f aca="false">IF(B298="","",DB_Colleges!C292&amp;", "&amp;DB_Colleges!D292)</f>
        <v/>
      </c>
      <c r="E298" s="26" t="str">
        <f aca="false">IF(B298="","",IF(AND(NOT(ISNUMBER($X$4)),NOT(ISNUMBER($Y$4))),"Add scores",IF(NOT(ISNUMBER(DB_Colleges!Y292)),IF(OR(C298="Ivy League",C298="Highly Selective"),"Reach",IF(COUNT(U298:V298)=0,"No data",CHOOSE(W298+2,"Reach","Target","Likely"))),IF(DB_Colleges!Y292&lt;0.15,"Reach",IF(DB_Colleges!Y292&gt;=0.75,IF(W298&gt;=0,"Likely","Target"),IF(DB_Colleges!Y292&gt;=0.4,CHOOSE(W298+2,"Reach","Target","Likely"),IF(W298=1,"Target","Reach")))))))</f>
        <v/>
      </c>
      <c r="F298" s="28" t="str">
        <f aca="false">IF(OR(B298="",NOT(ISNUMBER(DB_Colleges!Y292))),"",DB_Colleges!Y292)</f>
        <v/>
      </c>
      <c r="G298" s="26" t="str">
        <f aca="false">IF(OR(B298="",NOT(ISNUMBER(DB_Colleges!Z292))),"",DB_Colleges!Z292&amp;"-"&amp;DB_Colleges!AA292)</f>
        <v/>
      </c>
      <c r="H298" s="26" t="str">
        <f aca="false">IF(OR(B298="",NOT(ISNUMBER(DB_Colleges!AD292))),"",DB_Colleges!AD292)</f>
        <v/>
      </c>
      <c r="I298" s="29" t="str">
        <f aca="false">IF(B298="","",IF(COUNT(DB_Colleges!I292:O292)=0,IF(DB_Colleges!P292="Yes","Rolling","Check site"),MIN(DB_Colleges!I292:O292)))</f>
        <v/>
      </c>
      <c r="J298" s="26" t="str">
        <f aca="false">IF(OR(B298="",COUNT(DB_Colleges!I292:O292)=0),"",INDEX({"ED","ED II","EA","EA II","REA","RD","Priority"},MATCH(MIN(DB_Colleges!I292:O292),DB_Colleges!I292:O292,0)))</f>
        <v/>
      </c>
      <c r="K298" s="29" t="str">
        <f aca="false">IF(OR(B298="",NOT(ISNUMBER(DB_Colleges!N292))),"",DB_Colleges!N292)</f>
        <v/>
      </c>
      <c r="L298" s="26" t="str">
        <f aca="false">IF(B298="","",DB_Colleges!G292&amp;"")</f>
        <v/>
      </c>
      <c r="M298" s="30" t="str">
        <f aca="false">IF(OR(B298="",NOT(ISNUMBER(DB_Colleges!S292))),"",DB_Colleges!S292)</f>
        <v/>
      </c>
      <c r="N298" s="26" t="str">
        <f aca="false">IF(B298="","",DB_Colleges!U292&amp;"")</f>
        <v/>
      </c>
      <c r="O298" s="26" t="str">
        <f aca="false">IF(B298="","",IF(ISNUMBER(DB_Colleges!AH292),DB_Colleges!AH292,"Check"))</f>
        <v/>
      </c>
      <c r="P298" s="26" t="str">
        <f aca="false">IF(B298="","",DB_Colleges!W292&amp;"")</f>
        <v/>
      </c>
      <c r="Q298" s="30" t="str">
        <f aca="false">IF(OR(B298="",NOT(ISNUMBER(DB_Colleges!AF292))),"",DB_Colleges!AF292)</f>
        <v/>
      </c>
      <c r="R298" s="28" t="str">
        <f aca="false">IF(OR(B298="",NOT(ISNUMBER(DB_Colleges!AG292))),"",DB_Colleges!AG292)</f>
        <v/>
      </c>
      <c r="S298" s="26" t="str">
        <f aca="false">IF(B298="","",DB_Colleges!AK292&amp;"")</f>
        <v/>
      </c>
      <c r="T298" s="26" t="str">
        <f aca="false">IF(B298="","",DB_Colleges!AI292&amp;"")</f>
        <v/>
      </c>
      <c r="U298" s="1" t="str">
        <f aca="false">IF(AND(ISNUMBER($X$4),ISNUMBER(DB_Colleges!Z292),ISNUMBER(DB_Colleges!AA292)),IF($X$4&gt;=DB_Colleges!AA292,1,IF($X$4&lt;DB_Colleges!Z292,-1,0)),"")</f>
        <v/>
      </c>
      <c r="V298" s="1" t="str">
        <f aca="false">IF(AND(ISNUMBER($Y$4),ISNUMBER(DB_Colleges!AD292)),IF($Y$4&gt;=DB_Colleges!AD292+0.15,1,IF($Y$4&lt;DB_Colleges!AD292-0.2,-1,0)),"")</f>
        <v/>
      </c>
      <c r="W298" s="1" t="n">
        <f aca="false">IF(COUNT(U298:V298)=0,0,MIN(U298:V298))</f>
        <v>0</v>
      </c>
    </row>
    <row r="299" customFormat="false" ht="15" hidden="false" customHeight="true" outlineLevel="0" collapsed="false">
      <c r="A299" s="26" t="str">
        <f aca="false">IF(B299="","",IF(COUNTIF('My Colleges'!$B$8:$B$27,B299)&gt;0,"On list",""))</f>
        <v/>
      </c>
      <c r="B299" s="27" t="str">
        <f aca="false">IF(DB_Colleges!A293="","",DB_Colleges!A293)</f>
        <v/>
      </c>
      <c r="C299" s="26" t="str">
        <f aca="false">IF(B299="","",DB_Colleges!B293)</f>
        <v/>
      </c>
      <c r="D299" s="26" t="str">
        <f aca="false">IF(B299="","",DB_Colleges!C293&amp;", "&amp;DB_Colleges!D293)</f>
        <v/>
      </c>
      <c r="E299" s="26" t="str">
        <f aca="false">IF(B299="","",IF(AND(NOT(ISNUMBER($X$4)),NOT(ISNUMBER($Y$4))),"Add scores",IF(NOT(ISNUMBER(DB_Colleges!Y293)),IF(OR(C299="Ivy League",C299="Highly Selective"),"Reach",IF(COUNT(U299:V299)=0,"No data",CHOOSE(W299+2,"Reach","Target","Likely"))),IF(DB_Colleges!Y293&lt;0.15,"Reach",IF(DB_Colleges!Y293&gt;=0.75,IF(W299&gt;=0,"Likely","Target"),IF(DB_Colleges!Y293&gt;=0.4,CHOOSE(W299+2,"Reach","Target","Likely"),IF(W299=1,"Target","Reach")))))))</f>
        <v/>
      </c>
      <c r="F299" s="28" t="str">
        <f aca="false">IF(OR(B299="",NOT(ISNUMBER(DB_Colleges!Y293))),"",DB_Colleges!Y293)</f>
        <v/>
      </c>
      <c r="G299" s="26" t="str">
        <f aca="false">IF(OR(B299="",NOT(ISNUMBER(DB_Colleges!Z293))),"",DB_Colleges!Z293&amp;"-"&amp;DB_Colleges!AA293)</f>
        <v/>
      </c>
      <c r="H299" s="26" t="str">
        <f aca="false">IF(OR(B299="",NOT(ISNUMBER(DB_Colleges!AD293))),"",DB_Colleges!AD293)</f>
        <v/>
      </c>
      <c r="I299" s="29" t="str">
        <f aca="false">IF(B299="","",IF(COUNT(DB_Colleges!I293:O293)=0,IF(DB_Colleges!P293="Yes","Rolling","Check site"),MIN(DB_Colleges!I293:O293)))</f>
        <v/>
      </c>
      <c r="J299" s="26" t="str">
        <f aca="false">IF(OR(B299="",COUNT(DB_Colleges!I293:O293)=0),"",INDEX({"ED","ED II","EA","EA II","REA","RD","Priority"},MATCH(MIN(DB_Colleges!I293:O293),DB_Colleges!I293:O293,0)))</f>
        <v/>
      </c>
      <c r="K299" s="29" t="str">
        <f aca="false">IF(OR(B299="",NOT(ISNUMBER(DB_Colleges!N293))),"",DB_Colleges!N293)</f>
        <v/>
      </c>
      <c r="L299" s="26" t="str">
        <f aca="false">IF(B299="","",DB_Colleges!G293&amp;"")</f>
        <v/>
      </c>
      <c r="M299" s="30" t="str">
        <f aca="false">IF(OR(B299="",NOT(ISNUMBER(DB_Colleges!S293))),"",DB_Colleges!S293)</f>
        <v/>
      </c>
      <c r="N299" s="26" t="str">
        <f aca="false">IF(B299="","",DB_Colleges!U293&amp;"")</f>
        <v/>
      </c>
      <c r="O299" s="26" t="str">
        <f aca="false">IF(B299="","",IF(ISNUMBER(DB_Colleges!AH293),DB_Colleges!AH293,"Check"))</f>
        <v/>
      </c>
      <c r="P299" s="26" t="str">
        <f aca="false">IF(B299="","",DB_Colleges!W293&amp;"")</f>
        <v/>
      </c>
      <c r="Q299" s="30" t="str">
        <f aca="false">IF(OR(B299="",NOT(ISNUMBER(DB_Colleges!AF293))),"",DB_Colleges!AF293)</f>
        <v/>
      </c>
      <c r="R299" s="28" t="str">
        <f aca="false">IF(OR(B299="",NOT(ISNUMBER(DB_Colleges!AG293))),"",DB_Colleges!AG293)</f>
        <v/>
      </c>
      <c r="S299" s="26" t="str">
        <f aca="false">IF(B299="","",DB_Colleges!AK293&amp;"")</f>
        <v/>
      </c>
      <c r="T299" s="26" t="str">
        <f aca="false">IF(B299="","",DB_Colleges!AI293&amp;"")</f>
        <v/>
      </c>
      <c r="U299" s="1" t="str">
        <f aca="false">IF(AND(ISNUMBER($X$4),ISNUMBER(DB_Colleges!Z293),ISNUMBER(DB_Colleges!AA293)),IF($X$4&gt;=DB_Colleges!AA293,1,IF($X$4&lt;DB_Colleges!Z293,-1,0)),"")</f>
        <v/>
      </c>
      <c r="V299" s="1" t="str">
        <f aca="false">IF(AND(ISNUMBER($Y$4),ISNUMBER(DB_Colleges!AD293)),IF($Y$4&gt;=DB_Colleges!AD293+0.15,1,IF($Y$4&lt;DB_Colleges!AD293-0.2,-1,0)),"")</f>
        <v/>
      </c>
      <c r="W299" s="1" t="n">
        <f aca="false">IF(COUNT(U299:V299)=0,0,MIN(U299:V299))</f>
        <v>0</v>
      </c>
    </row>
    <row r="300" customFormat="false" ht="15" hidden="false" customHeight="true" outlineLevel="0" collapsed="false">
      <c r="A300" s="26" t="str">
        <f aca="false">IF(B300="","",IF(COUNTIF('My Colleges'!$B$8:$B$27,B300)&gt;0,"On list",""))</f>
        <v/>
      </c>
      <c r="B300" s="27" t="str">
        <f aca="false">IF(DB_Colleges!A294="","",DB_Colleges!A294)</f>
        <v/>
      </c>
      <c r="C300" s="26" t="str">
        <f aca="false">IF(B300="","",DB_Colleges!B294)</f>
        <v/>
      </c>
      <c r="D300" s="26" t="str">
        <f aca="false">IF(B300="","",DB_Colleges!C294&amp;", "&amp;DB_Colleges!D294)</f>
        <v/>
      </c>
      <c r="E300" s="26" t="str">
        <f aca="false">IF(B300="","",IF(AND(NOT(ISNUMBER($X$4)),NOT(ISNUMBER($Y$4))),"Add scores",IF(NOT(ISNUMBER(DB_Colleges!Y294)),IF(OR(C300="Ivy League",C300="Highly Selective"),"Reach",IF(COUNT(U300:V300)=0,"No data",CHOOSE(W300+2,"Reach","Target","Likely"))),IF(DB_Colleges!Y294&lt;0.15,"Reach",IF(DB_Colleges!Y294&gt;=0.75,IF(W300&gt;=0,"Likely","Target"),IF(DB_Colleges!Y294&gt;=0.4,CHOOSE(W300+2,"Reach","Target","Likely"),IF(W300=1,"Target","Reach")))))))</f>
        <v/>
      </c>
      <c r="F300" s="28" t="str">
        <f aca="false">IF(OR(B300="",NOT(ISNUMBER(DB_Colleges!Y294))),"",DB_Colleges!Y294)</f>
        <v/>
      </c>
      <c r="G300" s="26" t="str">
        <f aca="false">IF(OR(B300="",NOT(ISNUMBER(DB_Colleges!Z294))),"",DB_Colleges!Z294&amp;"-"&amp;DB_Colleges!AA294)</f>
        <v/>
      </c>
      <c r="H300" s="26" t="str">
        <f aca="false">IF(OR(B300="",NOT(ISNUMBER(DB_Colleges!AD294))),"",DB_Colleges!AD294)</f>
        <v/>
      </c>
      <c r="I300" s="29" t="str">
        <f aca="false">IF(B300="","",IF(COUNT(DB_Colleges!I294:O294)=0,IF(DB_Colleges!P294="Yes","Rolling","Check site"),MIN(DB_Colleges!I294:O294)))</f>
        <v/>
      </c>
      <c r="J300" s="26" t="str">
        <f aca="false">IF(OR(B300="",COUNT(DB_Colleges!I294:O294)=0),"",INDEX({"ED","ED II","EA","EA II","REA","RD","Priority"},MATCH(MIN(DB_Colleges!I294:O294),DB_Colleges!I294:O294,0)))</f>
        <v/>
      </c>
      <c r="K300" s="29" t="str">
        <f aca="false">IF(OR(B300="",NOT(ISNUMBER(DB_Colleges!N294))),"",DB_Colleges!N294)</f>
        <v/>
      </c>
      <c r="L300" s="26" t="str">
        <f aca="false">IF(B300="","",DB_Colleges!G294&amp;"")</f>
        <v/>
      </c>
      <c r="M300" s="30" t="str">
        <f aca="false">IF(OR(B300="",NOT(ISNUMBER(DB_Colleges!S294))),"",DB_Colleges!S294)</f>
        <v/>
      </c>
      <c r="N300" s="26" t="str">
        <f aca="false">IF(B300="","",DB_Colleges!U294&amp;"")</f>
        <v/>
      </c>
      <c r="O300" s="26" t="str">
        <f aca="false">IF(B300="","",IF(ISNUMBER(DB_Colleges!AH294),DB_Colleges!AH294,"Check"))</f>
        <v/>
      </c>
      <c r="P300" s="26" t="str">
        <f aca="false">IF(B300="","",DB_Colleges!W294&amp;"")</f>
        <v/>
      </c>
      <c r="Q300" s="30" t="str">
        <f aca="false">IF(OR(B300="",NOT(ISNUMBER(DB_Colleges!AF294))),"",DB_Colleges!AF294)</f>
        <v/>
      </c>
      <c r="R300" s="28" t="str">
        <f aca="false">IF(OR(B300="",NOT(ISNUMBER(DB_Colleges!AG294))),"",DB_Colleges!AG294)</f>
        <v/>
      </c>
      <c r="S300" s="26" t="str">
        <f aca="false">IF(B300="","",DB_Colleges!AK294&amp;"")</f>
        <v/>
      </c>
      <c r="T300" s="26" t="str">
        <f aca="false">IF(B300="","",DB_Colleges!AI294&amp;"")</f>
        <v/>
      </c>
      <c r="U300" s="1" t="str">
        <f aca="false">IF(AND(ISNUMBER($X$4),ISNUMBER(DB_Colleges!Z294),ISNUMBER(DB_Colleges!AA294)),IF($X$4&gt;=DB_Colleges!AA294,1,IF($X$4&lt;DB_Colleges!Z294,-1,0)),"")</f>
        <v/>
      </c>
      <c r="V300" s="1" t="str">
        <f aca="false">IF(AND(ISNUMBER($Y$4),ISNUMBER(DB_Colleges!AD294)),IF($Y$4&gt;=DB_Colleges!AD294+0.15,1,IF($Y$4&lt;DB_Colleges!AD294-0.2,-1,0)),"")</f>
        <v/>
      </c>
      <c r="W300" s="1" t="n">
        <f aca="false">IF(COUNT(U300:V300)=0,0,MIN(U300:V300))</f>
        <v>0</v>
      </c>
    </row>
    <row r="301" customFormat="false" ht="15" hidden="false" customHeight="true" outlineLevel="0" collapsed="false">
      <c r="A301" s="26" t="str">
        <f aca="false">IF(B301="","",IF(COUNTIF('My Colleges'!$B$8:$B$27,B301)&gt;0,"On list",""))</f>
        <v/>
      </c>
      <c r="B301" s="27" t="str">
        <f aca="false">IF(DB_Colleges!A295="","",DB_Colleges!A295)</f>
        <v/>
      </c>
      <c r="C301" s="26" t="str">
        <f aca="false">IF(B301="","",DB_Colleges!B295)</f>
        <v/>
      </c>
      <c r="D301" s="26" t="str">
        <f aca="false">IF(B301="","",DB_Colleges!C295&amp;", "&amp;DB_Colleges!D295)</f>
        <v/>
      </c>
      <c r="E301" s="26" t="str">
        <f aca="false">IF(B301="","",IF(AND(NOT(ISNUMBER($X$4)),NOT(ISNUMBER($Y$4))),"Add scores",IF(NOT(ISNUMBER(DB_Colleges!Y295)),IF(OR(C301="Ivy League",C301="Highly Selective"),"Reach",IF(COUNT(U301:V301)=0,"No data",CHOOSE(W301+2,"Reach","Target","Likely"))),IF(DB_Colleges!Y295&lt;0.15,"Reach",IF(DB_Colleges!Y295&gt;=0.75,IF(W301&gt;=0,"Likely","Target"),IF(DB_Colleges!Y295&gt;=0.4,CHOOSE(W301+2,"Reach","Target","Likely"),IF(W301=1,"Target","Reach")))))))</f>
        <v/>
      </c>
      <c r="F301" s="28" t="str">
        <f aca="false">IF(OR(B301="",NOT(ISNUMBER(DB_Colleges!Y295))),"",DB_Colleges!Y295)</f>
        <v/>
      </c>
      <c r="G301" s="26" t="str">
        <f aca="false">IF(OR(B301="",NOT(ISNUMBER(DB_Colleges!Z295))),"",DB_Colleges!Z295&amp;"-"&amp;DB_Colleges!AA295)</f>
        <v/>
      </c>
      <c r="H301" s="26" t="str">
        <f aca="false">IF(OR(B301="",NOT(ISNUMBER(DB_Colleges!AD295))),"",DB_Colleges!AD295)</f>
        <v/>
      </c>
      <c r="I301" s="29" t="str">
        <f aca="false">IF(B301="","",IF(COUNT(DB_Colleges!I295:O295)=0,IF(DB_Colleges!P295="Yes","Rolling","Check site"),MIN(DB_Colleges!I295:O295)))</f>
        <v/>
      </c>
      <c r="J301" s="26" t="str">
        <f aca="false">IF(OR(B301="",COUNT(DB_Colleges!I295:O295)=0),"",INDEX({"ED","ED II","EA","EA II","REA","RD","Priority"},MATCH(MIN(DB_Colleges!I295:O295),DB_Colleges!I295:O295,0)))</f>
        <v/>
      </c>
      <c r="K301" s="29" t="str">
        <f aca="false">IF(OR(B301="",NOT(ISNUMBER(DB_Colleges!N295))),"",DB_Colleges!N295)</f>
        <v/>
      </c>
      <c r="L301" s="26" t="str">
        <f aca="false">IF(B301="","",DB_Colleges!G295&amp;"")</f>
        <v/>
      </c>
      <c r="M301" s="30" t="str">
        <f aca="false">IF(OR(B301="",NOT(ISNUMBER(DB_Colleges!S295))),"",DB_Colleges!S295)</f>
        <v/>
      </c>
      <c r="N301" s="26" t="str">
        <f aca="false">IF(B301="","",DB_Colleges!U295&amp;"")</f>
        <v/>
      </c>
      <c r="O301" s="26" t="str">
        <f aca="false">IF(B301="","",IF(ISNUMBER(DB_Colleges!AH295),DB_Colleges!AH295,"Check"))</f>
        <v/>
      </c>
      <c r="P301" s="26" t="str">
        <f aca="false">IF(B301="","",DB_Colleges!W295&amp;"")</f>
        <v/>
      </c>
      <c r="Q301" s="30" t="str">
        <f aca="false">IF(OR(B301="",NOT(ISNUMBER(DB_Colleges!AF295))),"",DB_Colleges!AF295)</f>
        <v/>
      </c>
      <c r="R301" s="28" t="str">
        <f aca="false">IF(OR(B301="",NOT(ISNUMBER(DB_Colleges!AG295))),"",DB_Colleges!AG295)</f>
        <v/>
      </c>
      <c r="S301" s="26" t="str">
        <f aca="false">IF(B301="","",DB_Colleges!AK295&amp;"")</f>
        <v/>
      </c>
      <c r="T301" s="26" t="str">
        <f aca="false">IF(B301="","",DB_Colleges!AI295&amp;"")</f>
        <v/>
      </c>
      <c r="U301" s="1" t="str">
        <f aca="false">IF(AND(ISNUMBER($X$4),ISNUMBER(DB_Colleges!Z295),ISNUMBER(DB_Colleges!AA295)),IF($X$4&gt;=DB_Colleges!AA295,1,IF($X$4&lt;DB_Colleges!Z295,-1,0)),"")</f>
        <v/>
      </c>
      <c r="V301" s="1" t="str">
        <f aca="false">IF(AND(ISNUMBER($Y$4),ISNUMBER(DB_Colleges!AD295)),IF($Y$4&gt;=DB_Colleges!AD295+0.15,1,IF($Y$4&lt;DB_Colleges!AD295-0.2,-1,0)),"")</f>
        <v/>
      </c>
      <c r="W301" s="1" t="n">
        <f aca="false">IF(COUNT(U301:V301)=0,0,MIN(U301:V301))</f>
        <v>0</v>
      </c>
    </row>
    <row r="302" customFormat="false" ht="15" hidden="false" customHeight="true" outlineLevel="0" collapsed="false">
      <c r="A302" s="26" t="str">
        <f aca="false">IF(B302="","",IF(COUNTIF('My Colleges'!$B$8:$B$27,B302)&gt;0,"On list",""))</f>
        <v/>
      </c>
      <c r="B302" s="27" t="str">
        <f aca="false">IF(DB_Colleges!A296="","",DB_Colleges!A296)</f>
        <v/>
      </c>
      <c r="C302" s="26" t="str">
        <f aca="false">IF(B302="","",DB_Colleges!B296)</f>
        <v/>
      </c>
      <c r="D302" s="26" t="str">
        <f aca="false">IF(B302="","",DB_Colleges!C296&amp;", "&amp;DB_Colleges!D296)</f>
        <v/>
      </c>
      <c r="E302" s="26" t="str">
        <f aca="false">IF(B302="","",IF(AND(NOT(ISNUMBER($X$4)),NOT(ISNUMBER($Y$4))),"Add scores",IF(NOT(ISNUMBER(DB_Colleges!Y296)),IF(OR(C302="Ivy League",C302="Highly Selective"),"Reach",IF(COUNT(U302:V302)=0,"No data",CHOOSE(W302+2,"Reach","Target","Likely"))),IF(DB_Colleges!Y296&lt;0.15,"Reach",IF(DB_Colleges!Y296&gt;=0.75,IF(W302&gt;=0,"Likely","Target"),IF(DB_Colleges!Y296&gt;=0.4,CHOOSE(W302+2,"Reach","Target","Likely"),IF(W302=1,"Target","Reach")))))))</f>
        <v/>
      </c>
      <c r="F302" s="28" t="str">
        <f aca="false">IF(OR(B302="",NOT(ISNUMBER(DB_Colleges!Y296))),"",DB_Colleges!Y296)</f>
        <v/>
      </c>
      <c r="G302" s="26" t="str">
        <f aca="false">IF(OR(B302="",NOT(ISNUMBER(DB_Colleges!Z296))),"",DB_Colleges!Z296&amp;"-"&amp;DB_Colleges!AA296)</f>
        <v/>
      </c>
      <c r="H302" s="26" t="str">
        <f aca="false">IF(OR(B302="",NOT(ISNUMBER(DB_Colleges!AD296))),"",DB_Colleges!AD296)</f>
        <v/>
      </c>
      <c r="I302" s="29" t="str">
        <f aca="false">IF(B302="","",IF(COUNT(DB_Colleges!I296:O296)=0,IF(DB_Colleges!P296="Yes","Rolling","Check site"),MIN(DB_Colleges!I296:O296)))</f>
        <v/>
      </c>
      <c r="J302" s="26" t="str">
        <f aca="false">IF(OR(B302="",COUNT(DB_Colleges!I296:O296)=0),"",INDEX({"ED","ED II","EA","EA II","REA","RD","Priority"},MATCH(MIN(DB_Colleges!I296:O296),DB_Colleges!I296:O296,0)))</f>
        <v/>
      </c>
      <c r="K302" s="29" t="str">
        <f aca="false">IF(OR(B302="",NOT(ISNUMBER(DB_Colleges!N296))),"",DB_Colleges!N296)</f>
        <v/>
      </c>
      <c r="L302" s="26" t="str">
        <f aca="false">IF(B302="","",DB_Colleges!G296&amp;"")</f>
        <v/>
      </c>
      <c r="M302" s="30" t="str">
        <f aca="false">IF(OR(B302="",NOT(ISNUMBER(DB_Colleges!S296))),"",DB_Colleges!S296)</f>
        <v/>
      </c>
      <c r="N302" s="26" t="str">
        <f aca="false">IF(B302="","",DB_Colleges!U296&amp;"")</f>
        <v/>
      </c>
      <c r="O302" s="26" t="str">
        <f aca="false">IF(B302="","",IF(ISNUMBER(DB_Colleges!AH296),DB_Colleges!AH296,"Check"))</f>
        <v/>
      </c>
      <c r="P302" s="26" t="str">
        <f aca="false">IF(B302="","",DB_Colleges!W296&amp;"")</f>
        <v/>
      </c>
      <c r="Q302" s="30" t="str">
        <f aca="false">IF(OR(B302="",NOT(ISNUMBER(DB_Colleges!AF296))),"",DB_Colleges!AF296)</f>
        <v/>
      </c>
      <c r="R302" s="28" t="str">
        <f aca="false">IF(OR(B302="",NOT(ISNUMBER(DB_Colleges!AG296))),"",DB_Colleges!AG296)</f>
        <v/>
      </c>
      <c r="S302" s="26" t="str">
        <f aca="false">IF(B302="","",DB_Colleges!AK296&amp;"")</f>
        <v/>
      </c>
      <c r="T302" s="26" t="str">
        <f aca="false">IF(B302="","",DB_Colleges!AI296&amp;"")</f>
        <v/>
      </c>
      <c r="U302" s="1" t="str">
        <f aca="false">IF(AND(ISNUMBER($X$4),ISNUMBER(DB_Colleges!Z296),ISNUMBER(DB_Colleges!AA296)),IF($X$4&gt;=DB_Colleges!AA296,1,IF($X$4&lt;DB_Colleges!Z296,-1,0)),"")</f>
        <v/>
      </c>
      <c r="V302" s="1" t="str">
        <f aca="false">IF(AND(ISNUMBER($Y$4),ISNUMBER(DB_Colleges!AD296)),IF($Y$4&gt;=DB_Colleges!AD296+0.15,1,IF($Y$4&lt;DB_Colleges!AD296-0.2,-1,0)),"")</f>
        <v/>
      </c>
      <c r="W302" s="1" t="n">
        <f aca="false">IF(COUNT(U302:V302)=0,0,MIN(U302:V302))</f>
        <v>0</v>
      </c>
    </row>
    <row r="303" customFormat="false" ht="15" hidden="false" customHeight="true" outlineLevel="0" collapsed="false">
      <c r="A303" s="26" t="str">
        <f aca="false">IF(B303="","",IF(COUNTIF('My Colleges'!$B$8:$B$27,B303)&gt;0,"On list",""))</f>
        <v/>
      </c>
      <c r="B303" s="27" t="str">
        <f aca="false">IF(DB_Colleges!A297="","",DB_Colleges!A297)</f>
        <v/>
      </c>
      <c r="C303" s="26" t="str">
        <f aca="false">IF(B303="","",DB_Colleges!B297)</f>
        <v/>
      </c>
      <c r="D303" s="26" t="str">
        <f aca="false">IF(B303="","",DB_Colleges!C297&amp;", "&amp;DB_Colleges!D297)</f>
        <v/>
      </c>
      <c r="E303" s="26" t="str">
        <f aca="false">IF(B303="","",IF(AND(NOT(ISNUMBER($X$4)),NOT(ISNUMBER($Y$4))),"Add scores",IF(NOT(ISNUMBER(DB_Colleges!Y297)),IF(OR(C303="Ivy League",C303="Highly Selective"),"Reach",IF(COUNT(U303:V303)=0,"No data",CHOOSE(W303+2,"Reach","Target","Likely"))),IF(DB_Colleges!Y297&lt;0.15,"Reach",IF(DB_Colleges!Y297&gt;=0.75,IF(W303&gt;=0,"Likely","Target"),IF(DB_Colleges!Y297&gt;=0.4,CHOOSE(W303+2,"Reach","Target","Likely"),IF(W303=1,"Target","Reach")))))))</f>
        <v/>
      </c>
      <c r="F303" s="28" t="str">
        <f aca="false">IF(OR(B303="",NOT(ISNUMBER(DB_Colleges!Y297))),"",DB_Colleges!Y297)</f>
        <v/>
      </c>
      <c r="G303" s="26" t="str">
        <f aca="false">IF(OR(B303="",NOT(ISNUMBER(DB_Colleges!Z297))),"",DB_Colleges!Z297&amp;"-"&amp;DB_Colleges!AA297)</f>
        <v/>
      </c>
      <c r="H303" s="26" t="str">
        <f aca="false">IF(OR(B303="",NOT(ISNUMBER(DB_Colleges!AD297))),"",DB_Colleges!AD297)</f>
        <v/>
      </c>
      <c r="I303" s="29" t="str">
        <f aca="false">IF(B303="","",IF(COUNT(DB_Colleges!I297:O297)=0,IF(DB_Colleges!P297="Yes","Rolling","Check site"),MIN(DB_Colleges!I297:O297)))</f>
        <v/>
      </c>
      <c r="J303" s="26" t="str">
        <f aca="false">IF(OR(B303="",COUNT(DB_Colleges!I297:O297)=0),"",INDEX({"ED","ED II","EA","EA II","REA","RD","Priority"},MATCH(MIN(DB_Colleges!I297:O297),DB_Colleges!I297:O297,0)))</f>
        <v/>
      </c>
      <c r="K303" s="29" t="str">
        <f aca="false">IF(OR(B303="",NOT(ISNUMBER(DB_Colleges!N297))),"",DB_Colleges!N297)</f>
        <v/>
      </c>
      <c r="L303" s="26" t="str">
        <f aca="false">IF(B303="","",DB_Colleges!G297&amp;"")</f>
        <v/>
      </c>
      <c r="M303" s="30" t="str">
        <f aca="false">IF(OR(B303="",NOT(ISNUMBER(DB_Colleges!S297))),"",DB_Colleges!S297)</f>
        <v/>
      </c>
      <c r="N303" s="26" t="str">
        <f aca="false">IF(B303="","",DB_Colleges!U297&amp;"")</f>
        <v/>
      </c>
      <c r="O303" s="26" t="str">
        <f aca="false">IF(B303="","",IF(ISNUMBER(DB_Colleges!AH297),DB_Colleges!AH297,"Check"))</f>
        <v/>
      </c>
      <c r="P303" s="26" t="str">
        <f aca="false">IF(B303="","",DB_Colleges!W297&amp;"")</f>
        <v/>
      </c>
      <c r="Q303" s="30" t="str">
        <f aca="false">IF(OR(B303="",NOT(ISNUMBER(DB_Colleges!AF297))),"",DB_Colleges!AF297)</f>
        <v/>
      </c>
      <c r="R303" s="28" t="str">
        <f aca="false">IF(OR(B303="",NOT(ISNUMBER(DB_Colleges!AG297))),"",DB_Colleges!AG297)</f>
        <v/>
      </c>
      <c r="S303" s="26" t="str">
        <f aca="false">IF(B303="","",DB_Colleges!AK297&amp;"")</f>
        <v/>
      </c>
      <c r="T303" s="26" t="str">
        <f aca="false">IF(B303="","",DB_Colleges!AI297&amp;"")</f>
        <v/>
      </c>
      <c r="U303" s="1" t="str">
        <f aca="false">IF(AND(ISNUMBER($X$4),ISNUMBER(DB_Colleges!Z297),ISNUMBER(DB_Colleges!AA297)),IF($X$4&gt;=DB_Colleges!AA297,1,IF($X$4&lt;DB_Colleges!Z297,-1,0)),"")</f>
        <v/>
      </c>
      <c r="V303" s="1" t="str">
        <f aca="false">IF(AND(ISNUMBER($Y$4),ISNUMBER(DB_Colleges!AD297)),IF($Y$4&gt;=DB_Colleges!AD297+0.15,1,IF($Y$4&lt;DB_Colleges!AD297-0.2,-1,0)),"")</f>
        <v/>
      </c>
      <c r="W303" s="1" t="n">
        <f aca="false">IF(COUNT(U303:V303)=0,0,MIN(U303:V303))</f>
        <v>0</v>
      </c>
    </row>
    <row r="304" customFormat="false" ht="15" hidden="false" customHeight="true" outlineLevel="0" collapsed="false">
      <c r="A304" s="26" t="str">
        <f aca="false">IF(B304="","",IF(COUNTIF('My Colleges'!$B$8:$B$27,B304)&gt;0,"On list",""))</f>
        <v/>
      </c>
      <c r="B304" s="27" t="str">
        <f aca="false">IF(DB_Colleges!A298="","",DB_Colleges!A298)</f>
        <v/>
      </c>
      <c r="C304" s="26" t="str">
        <f aca="false">IF(B304="","",DB_Colleges!B298)</f>
        <v/>
      </c>
      <c r="D304" s="26" t="str">
        <f aca="false">IF(B304="","",DB_Colleges!C298&amp;", "&amp;DB_Colleges!D298)</f>
        <v/>
      </c>
      <c r="E304" s="26" t="str">
        <f aca="false">IF(B304="","",IF(AND(NOT(ISNUMBER($X$4)),NOT(ISNUMBER($Y$4))),"Add scores",IF(NOT(ISNUMBER(DB_Colleges!Y298)),IF(OR(C304="Ivy League",C304="Highly Selective"),"Reach",IF(COUNT(U304:V304)=0,"No data",CHOOSE(W304+2,"Reach","Target","Likely"))),IF(DB_Colleges!Y298&lt;0.15,"Reach",IF(DB_Colleges!Y298&gt;=0.75,IF(W304&gt;=0,"Likely","Target"),IF(DB_Colleges!Y298&gt;=0.4,CHOOSE(W304+2,"Reach","Target","Likely"),IF(W304=1,"Target","Reach")))))))</f>
        <v/>
      </c>
      <c r="F304" s="28" t="str">
        <f aca="false">IF(OR(B304="",NOT(ISNUMBER(DB_Colleges!Y298))),"",DB_Colleges!Y298)</f>
        <v/>
      </c>
      <c r="G304" s="26" t="str">
        <f aca="false">IF(OR(B304="",NOT(ISNUMBER(DB_Colleges!Z298))),"",DB_Colleges!Z298&amp;"-"&amp;DB_Colleges!AA298)</f>
        <v/>
      </c>
      <c r="H304" s="26" t="str">
        <f aca="false">IF(OR(B304="",NOT(ISNUMBER(DB_Colleges!AD298))),"",DB_Colleges!AD298)</f>
        <v/>
      </c>
      <c r="I304" s="29" t="str">
        <f aca="false">IF(B304="","",IF(COUNT(DB_Colleges!I298:O298)=0,IF(DB_Colleges!P298="Yes","Rolling","Check site"),MIN(DB_Colleges!I298:O298)))</f>
        <v/>
      </c>
      <c r="J304" s="26" t="str">
        <f aca="false">IF(OR(B304="",COUNT(DB_Colleges!I298:O298)=0),"",INDEX({"ED","ED II","EA","EA II","REA","RD","Priority"},MATCH(MIN(DB_Colleges!I298:O298),DB_Colleges!I298:O298,0)))</f>
        <v/>
      </c>
      <c r="K304" s="29" t="str">
        <f aca="false">IF(OR(B304="",NOT(ISNUMBER(DB_Colleges!N298))),"",DB_Colleges!N298)</f>
        <v/>
      </c>
      <c r="L304" s="26" t="str">
        <f aca="false">IF(B304="","",DB_Colleges!G298&amp;"")</f>
        <v/>
      </c>
      <c r="M304" s="30" t="str">
        <f aca="false">IF(OR(B304="",NOT(ISNUMBER(DB_Colleges!S298))),"",DB_Colleges!S298)</f>
        <v/>
      </c>
      <c r="N304" s="26" t="str">
        <f aca="false">IF(B304="","",DB_Colleges!U298&amp;"")</f>
        <v/>
      </c>
      <c r="O304" s="26" t="str">
        <f aca="false">IF(B304="","",IF(ISNUMBER(DB_Colleges!AH298),DB_Colleges!AH298,"Check"))</f>
        <v/>
      </c>
      <c r="P304" s="26" t="str">
        <f aca="false">IF(B304="","",DB_Colleges!W298&amp;"")</f>
        <v/>
      </c>
      <c r="Q304" s="30" t="str">
        <f aca="false">IF(OR(B304="",NOT(ISNUMBER(DB_Colleges!AF298))),"",DB_Colleges!AF298)</f>
        <v/>
      </c>
      <c r="R304" s="28" t="str">
        <f aca="false">IF(OR(B304="",NOT(ISNUMBER(DB_Colleges!AG298))),"",DB_Colleges!AG298)</f>
        <v/>
      </c>
      <c r="S304" s="26" t="str">
        <f aca="false">IF(B304="","",DB_Colleges!AK298&amp;"")</f>
        <v/>
      </c>
      <c r="T304" s="26" t="str">
        <f aca="false">IF(B304="","",DB_Colleges!AI298&amp;"")</f>
        <v/>
      </c>
      <c r="U304" s="1" t="str">
        <f aca="false">IF(AND(ISNUMBER($X$4),ISNUMBER(DB_Colleges!Z298),ISNUMBER(DB_Colleges!AA298)),IF($X$4&gt;=DB_Colleges!AA298,1,IF($X$4&lt;DB_Colleges!Z298,-1,0)),"")</f>
        <v/>
      </c>
      <c r="V304" s="1" t="str">
        <f aca="false">IF(AND(ISNUMBER($Y$4),ISNUMBER(DB_Colleges!AD298)),IF($Y$4&gt;=DB_Colleges!AD298+0.15,1,IF($Y$4&lt;DB_Colleges!AD298-0.2,-1,0)),"")</f>
        <v/>
      </c>
      <c r="W304" s="1" t="n">
        <f aca="false">IF(COUNT(U304:V304)=0,0,MIN(U304:V304))</f>
        <v>0</v>
      </c>
    </row>
    <row r="305" customFormat="false" ht="15" hidden="false" customHeight="true" outlineLevel="0" collapsed="false">
      <c r="A305" s="26" t="str">
        <f aca="false">IF(B305="","",IF(COUNTIF('My Colleges'!$B$8:$B$27,B305)&gt;0,"On list",""))</f>
        <v/>
      </c>
      <c r="B305" s="27" t="str">
        <f aca="false">IF(DB_Colleges!A299="","",DB_Colleges!A299)</f>
        <v/>
      </c>
      <c r="C305" s="26" t="str">
        <f aca="false">IF(B305="","",DB_Colleges!B299)</f>
        <v/>
      </c>
      <c r="D305" s="26" t="str">
        <f aca="false">IF(B305="","",DB_Colleges!C299&amp;", "&amp;DB_Colleges!D299)</f>
        <v/>
      </c>
      <c r="E305" s="26" t="str">
        <f aca="false">IF(B305="","",IF(AND(NOT(ISNUMBER($X$4)),NOT(ISNUMBER($Y$4))),"Add scores",IF(NOT(ISNUMBER(DB_Colleges!Y299)),IF(OR(C305="Ivy League",C305="Highly Selective"),"Reach",IF(COUNT(U305:V305)=0,"No data",CHOOSE(W305+2,"Reach","Target","Likely"))),IF(DB_Colleges!Y299&lt;0.15,"Reach",IF(DB_Colleges!Y299&gt;=0.75,IF(W305&gt;=0,"Likely","Target"),IF(DB_Colleges!Y299&gt;=0.4,CHOOSE(W305+2,"Reach","Target","Likely"),IF(W305=1,"Target","Reach")))))))</f>
        <v/>
      </c>
      <c r="F305" s="28" t="str">
        <f aca="false">IF(OR(B305="",NOT(ISNUMBER(DB_Colleges!Y299))),"",DB_Colleges!Y299)</f>
        <v/>
      </c>
      <c r="G305" s="26" t="str">
        <f aca="false">IF(OR(B305="",NOT(ISNUMBER(DB_Colleges!Z299))),"",DB_Colleges!Z299&amp;"-"&amp;DB_Colleges!AA299)</f>
        <v/>
      </c>
      <c r="H305" s="26" t="str">
        <f aca="false">IF(OR(B305="",NOT(ISNUMBER(DB_Colleges!AD299))),"",DB_Colleges!AD299)</f>
        <v/>
      </c>
      <c r="I305" s="29" t="str">
        <f aca="false">IF(B305="","",IF(COUNT(DB_Colleges!I299:O299)=0,IF(DB_Colleges!P299="Yes","Rolling","Check site"),MIN(DB_Colleges!I299:O299)))</f>
        <v/>
      </c>
      <c r="J305" s="26" t="str">
        <f aca="false">IF(OR(B305="",COUNT(DB_Colleges!I299:O299)=0),"",INDEX({"ED","ED II","EA","EA II","REA","RD","Priority"},MATCH(MIN(DB_Colleges!I299:O299),DB_Colleges!I299:O299,0)))</f>
        <v/>
      </c>
      <c r="K305" s="29" t="str">
        <f aca="false">IF(OR(B305="",NOT(ISNUMBER(DB_Colleges!N299))),"",DB_Colleges!N299)</f>
        <v/>
      </c>
      <c r="L305" s="26" t="str">
        <f aca="false">IF(B305="","",DB_Colleges!G299&amp;"")</f>
        <v/>
      </c>
      <c r="M305" s="30" t="str">
        <f aca="false">IF(OR(B305="",NOT(ISNUMBER(DB_Colleges!S299))),"",DB_Colleges!S299)</f>
        <v/>
      </c>
      <c r="N305" s="26" t="str">
        <f aca="false">IF(B305="","",DB_Colleges!U299&amp;"")</f>
        <v/>
      </c>
      <c r="O305" s="26" t="str">
        <f aca="false">IF(B305="","",IF(ISNUMBER(DB_Colleges!AH299),DB_Colleges!AH299,"Check"))</f>
        <v/>
      </c>
      <c r="P305" s="26" t="str">
        <f aca="false">IF(B305="","",DB_Colleges!W299&amp;"")</f>
        <v/>
      </c>
      <c r="Q305" s="30" t="str">
        <f aca="false">IF(OR(B305="",NOT(ISNUMBER(DB_Colleges!AF299))),"",DB_Colleges!AF299)</f>
        <v/>
      </c>
      <c r="R305" s="28" t="str">
        <f aca="false">IF(OR(B305="",NOT(ISNUMBER(DB_Colleges!AG299))),"",DB_Colleges!AG299)</f>
        <v/>
      </c>
      <c r="S305" s="26" t="str">
        <f aca="false">IF(B305="","",DB_Colleges!AK299&amp;"")</f>
        <v/>
      </c>
      <c r="T305" s="26" t="str">
        <f aca="false">IF(B305="","",DB_Colleges!AI299&amp;"")</f>
        <v/>
      </c>
      <c r="U305" s="1" t="str">
        <f aca="false">IF(AND(ISNUMBER($X$4),ISNUMBER(DB_Colleges!Z299),ISNUMBER(DB_Colleges!AA299)),IF($X$4&gt;=DB_Colleges!AA299,1,IF($X$4&lt;DB_Colleges!Z299,-1,0)),"")</f>
        <v/>
      </c>
      <c r="V305" s="1" t="str">
        <f aca="false">IF(AND(ISNUMBER($Y$4),ISNUMBER(DB_Colleges!AD299)),IF($Y$4&gt;=DB_Colleges!AD299+0.15,1,IF($Y$4&lt;DB_Colleges!AD299-0.2,-1,0)),"")</f>
        <v/>
      </c>
      <c r="W305" s="1" t="n">
        <f aca="false">IF(COUNT(U305:V305)=0,0,MIN(U305:V305))</f>
        <v>0</v>
      </c>
    </row>
    <row r="306" customFormat="false" ht="15" hidden="false" customHeight="true" outlineLevel="0" collapsed="false">
      <c r="A306" s="26" t="str">
        <f aca="false">IF(B306="","",IF(COUNTIF('My Colleges'!$B$8:$B$27,B306)&gt;0,"On list",""))</f>
        <v/>
      </c>
      <c r="B306" s="27" t="str">
        <f aca="false">IF(DB_Colleges!A300="","",DB_Colleges!A300)</f>
        <v/>
      </c>
      <c r="C306" s="26" t="str">
        <f aca="false">IF(B306="","",DB_Colleges!B300)</f>
        <v/>
      </c>
      <c r="D306" s="26" t="str">
        <f aca="false">IF(B306="","",DB_Colleges!C300&amp;", "&amp;DB_Colleges!D300)</f>
        <v/>
      </c>
      <c r="E306" s="26" t="str">
        <f aca="false">IF(B306="","",IF(AND(NOT(ISNUMBER($X$4)),NOT(ISNUMBER($Y$4))),"Add scores",IF(NOT(ISNUMBER(DB_Colleges!Y300)),IF(OR(C306="Ivy League",C306="Highly Selective"),"Reach",IF(COUNT(U306:V306)=0,"No data",CHOOSE(W306+2,"Reach","Target","Likely"))),IF(DB_Colleges!Y300&lt;0.15,"Reach",IF(DB_Colleges!Y300&gt;=0.75,IF(W306&gt;=0,"Likely","Target"),IF(DB_Colleges!Y300&gt;=0.4,CHOOSE(W306+2,"Reach","Target","Likely"),IF(W306=1,"Target","Reach")))))))</f>
        <v/>
      </c>
      <c r="F306" s="28" t="str">
        <f aca="false">IF(OR(B306="",NOT(ISNUMBER(DB_Colleges!Y300))),"",DB_Colleges!Y300)</f>
        <v/>
      </c>
      <c r="G306" s="26" t="str">
        <f aca="false">IF(OR(B306="",NOT(ISNUMBER(DB_Colleges!Z300))),"",DB_Colleges!Z300&amp;"-"&amp;DB_Colleges!AA300)</f>
        <v/>
      </c>
      <c r="H306" s="26" t="str">
        <f aca="false">IF(OR(B306="",NOT(ISNUMBER(DB_Colleges!AD300))),"",DB_Colleges!AD300)</f>
        <v/>
      </c>
      <c r="I306" s="29" t="str">
        <f aca="false">IF(B306="","",IF(COUNT(DB_Colleges!I300:O300)=0,IF(DB_Colleges!P300="Yes","Rolling","Check site"),MIN(DB_Colleges!I300:O300)))</f>
        <v/>
      </c>
      <c r="J306" s="26" t="str">
        <f aca="false">IF(OR(B306="",COUNT(DB_Colleges!I300:O300)=0),"",INDEX({"ED","ED II","EA","EA II","REA","RD","Priority"},MATCH(MIN(DB_Colleges!I300:O300),DB_Colleges!I300:O300,0)))</f>
        <v/>
      </c>
      <c r="K306" s="29" t="str">
        <f aca="false">IF(OR(B306="",NOT(ISNUMBER(DB_Colleges!N300))),"",DB_Colleges!N300)</f>
        <v/>
      </c>
      <c r="L306" s="26" t="str">
        <f aca="false">IF(B306="","",DB_Colleges!G300&amp;"")</f>
        <v/>
      </c>
      <c r="M306" s="30" t="str">
        <f aca="false">IF(OR(B306="",NOT(ISNUMBER(DB_Colleges!S300))),"",DB_Colleges!S300)</f>
        <v/>
      </c>
      <c r="N306" s="26" t="str">
        <f aca="false">IF(B306="","",DB_Colleges!U300&amp;"")</f>
        <v/>
      </c>
      <c r="O306" s="26" t="str">
        <f aca="false">IF(B306="","",IF(ISNUMBER(DB_Colleges!AH300),DB_Colleges!AH300,"Check"))</f>
        <v/>
      </c>
      <c r="P306" s="26" t="str">
        <f aca="false">IF(B306="","",DB_Colleges!W300&amp;"")</f>
        <v/>
      </c>
      <c r="Q306" s="30" t="str">
        <f aca="false">IF(OR(B306="",NOT(ISNUMBER(DB_Colleges!AF300))),"",DB_Colleges!AF300)</f>
        <v/>
      </c>
      <c r="R306" s="28" t="str">
        <f aca="false">IF(OR(B306="",NOT(ISNUMBER(DB_Colleges!AG300))),"",DB_Colleges!AG300)</f>
        <v/>
      </c>
      <c r="S306" s="26" t="str">
        <f aca="false">IF(B306="","",DB_Colleges!AK300&amp;"")</f>
        <v/>
      </c>
      <c r="T306" s="26" t="str">
        <f aca="false">IF(B306="","",DB_Colleges!AI300&amp;"")</f>
        <v/>
      </c>
      <c r="U306" s="1" t="str">
        <f aca="false">IF(AND(ISNUMBER($X$4),ISNUMBER(DB_Colleges!Z300),ISNUMBER(DB_Colleges!AA300)),IF($X$4&gt;=DB_Colleges!AA300,1,IF($X$4&lt;DB_Colleges!Z300,-1,0)),"")</f>
        <v/>
      </c>
      <c r="V306" s="1" t="str">
        <f aca="false">IF(AND(ISNUMBER($Y$4),ISNUMBER(DB_Colleges!AD300)),IF($Y$4&gt;=DB_Colleges!AD300+0.15,1,IF($Y$4&lt;DB_Colleges!AD300-0.2,-1,0)),"")</f>
        <v/>
      </c>
      <c r="W306" s="1" t="n">
        <f aca="false">IF(COUNT(U306:V306)=0,0,MIN(U306:V306))</f>
        <v>0</v>
      </c>
    </row>
    <row r="307" customFormat="false" ht="15" hidden="false" customHeight="true" outlineLevel="0" collapsed="false">
      <c r="A307" s="26" t="str">
        <f aca="false">IF(B307="","",IF(COUNTIF('My Colleges'!$B$8:$B$27,B307)&gt;0,"On list",""))</f>
        <v/>
      </c>
      <c r="B307" s="27" t="str">
        <f aca="false">IF(DB_Colleges!A301="","",DB_Colleges!A301)</f>
        <v/>
      </c>
      <c r="C307" s="26" t="str">
        <f aca="false">IF(B307="","",DB_Colleges!B301)</f>
        <v/>
      </c>
      <c r="D307" s="26" t="str">
        <f aca="false">IF(B307="","",DB_Colleges!C301&amp;", "&amp;DB_Colleges!D301)</f>
        <v/>
      </c>
      <c r="E307" s="26" t="str">
        <f aca="false">IF(B307="","",IF(AND(NOT(ISNUMBER($X$4)),NOT(ISNUMBER($Y$4))),"Add scores",IF(NOT(ISNUMBER(DB_Colleges!Y301)),IF(OR(C307="Ivy League",C307="Highly Selective"),"Reach",IF(COUNT(U307:V307)=0,"No data",CHOOSE(W307+2,"Reach","Target","Likely"))),IF(DB_Colleges!Y301&lt;0.15,"Reach",IF(DB_Colleges!Y301&gt;=0.75,IF(W307&gt;=0,"Likely","Target"),IF(DB_Colleges!Y301&gt;=0.4,CHOOSE(W307+2,"Reach","Target","Likely"),IF(W307=1,"Target","Reach")))))))</f>
        <v/>
      </c>
      <c r="F307" s="28" t="str">
        <f aca="false">IF(OR(B307="",NOT(ISNUMBER(DB_Colleges!Y301))),"",DB_Colleges!Y301)</f>
        <v/>
      </c>
      <c r="G307" s="26" t="str">
        <f aca="false">IF(OR(B307="",NOT(ISNUMBER(DB_Colleges!Z301))),"",DB_Colleges!Z301&amp;"-"&amp;DB_Colleges!AA301)</f>
        <v/>
      </c>
      <c r="H307" s="26" t="str">
        <f aca="false">IF(OR(B307="",NOT(ISNUMBER(DB_Colleges!AD301))),"",DB_Colleges!AD301)</f>
        <v/>
      </c>
      <c r="I307" s="29" t="str">
        <f aca="false">IF(B307="","",IF(COUNT(DB_Colleges!I301:O301)=0,IF(DB_Colleges!P301="Yes","Rolling","Check site"),MIN(DB_Colleges!I301:O301)))</f>
        <v/>
      </c>
      <c r="J307" s="26" t="str">
        <f aca="false">IF(OR(B307="",COUNT(DB_Colleges!I301:O301)=0),"",INDEX({"ED","ED II","EA","EA II","REA","RD","Priority"},MATCH(MIN(DB_Colleges!I301:O301),DB_Colleges!I301:O301,0)))</f>
        <v/>
      </c>
      <c r="K307" s="29" t="str">
        <f aca="false">IF(OR(B307="",NOT(ISNUMBER(DB_Colleges!N301))),"",DB_Colleges!N301)</f>
        <v/>
      </c>
      <c r="L307" s="26" t="str">
        <f aca="false">IF(B307="","",DB_Colleges!G301&amp;"")</f>
        <v/>
      </c>
      <c r="M307" s="30" t="str">
        <f aca="false">IF(OR(B307="",NOT(ISNUMBER(DB_Colleges!S301))),"",DB_Colleges!S301)</f>
        <v/>
      </c>
      <c r="N307" s="26" t="str">
        <f aca="false">IF(B307="","",DB_Colleges!U301&amp;"")</f>
        <v/>
      </c>
      <c r="O307" s="26" t="str">
        <f aca="false">IF(B307="","",IF(ISNUMBER(DB_Colleges!AH301),DB_Colleges!AH301,"Check"))</f>
        <v/>
      </c>
      <c r="P307" s="26" t="str">
        <f aca="false">IF(B307="","",DB_Colleges!W301&amp;"")</f>
        <v/>
      </c>
      <c r="Q307" s="30" t="str">
        <f aca="false">IF(OR(B307="",NOT(ISNUMBER(DB_Colleges!AF301))),"",DB_Colleges!AF301)</f>
        <v/>
      </c>
      <c r="R307" s="28" t="str">
        <f aca="false">IF(OR(B307="",NOT(ISNUMBER(DB_Colleges!AG301))),"",DB_Colleges!AG301)</f>
        <v/>
      </c>
      <c r="S307" s="26" t="str">
        <f aca="false">IF(B307="","",DB_Colleges!AK301&amp;"")</f>
        <v/>
      </c>
      <c r="T307" s="26" t="str">
        <f aca="false">IF(B307="","",DB_Colleges!AI301&amp;"")</f>
        <v/>
      </c>
      <c r="U307" s="1" t="str">
        <f aca="false">IF(AND(ISNUMBER($X$4),ISNUMBER(DB_Colleges!Z301),ISNUMBER(DB_Colleges!AA301)),IF($X$4&gt;=DB_Colleges!AA301,1,IF($X$4&lt;DB_Colleges!Z301,-1,0)),"")</f>
        <v/>
      </c>
      <c r="V307" s="1" t="str">
        <f aca="false">IF(AND(ISNUMBER($Y$4),ISNUMBER(DB_Colleges!AD301)),IF($Y$4&gt;=DB_Colleges!AD301+0.15,1,IF($Y$4&lt;DB_Colleges!AD301-0.2,-1,0)),"")</f>
        <v/>
      </c>
      <c r="W307" s="1" t="n">
        <f aca="false">IF(COUNT(U307:V307)=0,0,MIN(U307:V307))</f>
        <v>0</v>
      </c>
    </row>
    <row r="308" customFormat="false" ht="15" hidden="false" customHeight="true" outlineLevel="0" collapsed="false">
      <c r="A308" s="26" t="str">
        <f aca="false">IF(B308="","",IF(COUNTIF('My Colleges'!$B$8:$B$27,B308)&gt;0,"On list",""))</f>
        <v/>
      </c>
      <c r="B308" s="27" t="str">
        <f aca="false">IF(DB_Colleges!A302="","",DB_Colleges!A302)</f>
        <v/>
      </c>
      <c r="C308" s="26" t="str">
        <f aca="false">IF(B308="","",DB_Colleges!B302)</f>
        <v/>
      </c>
      <c r="D308" s="26" t="str">
        <f aca="false">IF(B308="","",DB_Colleges!C302&amp;", "&amp;DB_Colleges!D302)</f>
        <v/>
      </c>
      <c r="E308" s="26" t="str">
        <f aca="false">IF(B308="","",IF(AND(NOT(ISNUMBER($X$4)),NOT(ISNUMBER($Y$4))),"Add scores",IF(NOT(ISNUMBER(DB_Colleges!Y302)),IF(OR(C308="Ivy League",C308="Highly Selective"),"Reach",IF(COUNT(U308:V308)=0,"No data",CHOOSE(W308+2,"Reach","Target","Likely"))),IF(DB_Colleges!Y302&lt;0.15,"Reach",IF(DB_Colleges!Y302&gt;=0.75,IF(W308&gt;=0,"Likely","Target"),IF(DB_Colleges!Y302&gt;=0.4,CHOOSE(W308+2,"Reach","Target","Likely"),IF(W308=1,"Target","Reach")))))))</f>
        <v/>
      </c>
      <c r="F308" s="28" t="str">
        <f aca="false">IF(OR(B308="",NOT(ISNUMBER(DB_Colleges!Y302))),"",DB_Colleges!Y302)</f>
        <v/>
      </c>
      <c r="G308" s="26" t="str">
        <f aca="false">IF(OR(B308="",NOT(ISNUMBER(DB_Colleges!Z302))),"",DB_Colleges!Z302&amp;"-"&amp;DB_Colleges!AA302)</f>
        <v/>
      </c>
      <c r="H308" s="26" t="str">
        <f aca="false">IF(OR(B308="",NOT(ISNUMBER(DB_Colleges!AD302))),"",DB_Colleges!AD302)</f>
        <v/>
      </c>
      <c r="I308" s="29" t="str">
        <f aca="false">IF(B308="","",IF(COUNT(DB_Colleges!I302:O302)=0,IF(DB_Colleges!P302="Yes","Rolling","Check site"),MIN(DB_Colleges!I302:O302)))</f>
        <v/>
      </c>
      <c r="J308" s="26" t="str">
        <f aca="false">IF(OR(B308="",COUNT(DB_Colleges!I302:O302)=0),"",INDEX({"ED","ED II","EA","EA II","REA","RD","Priority"},MATCH(MIN(DB_Colleges!I302:O302),DB_Colleges!I302:O302,0)))</f>
        <v/>
      </c>
      <c r="K308" s="29" t="str">
        <f aca="false">IF(OR(B308="",NOT(ISNUMBER(DB_Colleges!N302))),"",DB_Colleges!N302)</f>
        <v/>
      </c>
      <c r="L308" s="26" t="str">
        <f aca="false">IF(B308="","",DB_Colleges!G302&amp;"")</f>
        <v/>
      </c>
      <c r="M308" s="30" t="str">
        <f aca="false">IF(OR(B308="",NOT(ISNUMBER(DB_Colleges!S302))),"",DB_Colleges!S302)</f>
        <v/>
      </c>
      <c r="N308" s="26" t="str">
        <f aca="false">IF(B308="","",DB_Colleges!U302&amp;"")</f>
        <v/>
      </c>
      <c r="O308" s="26" t="str">
        <f aca="false">IF(B308="","",IF(ISNUMBER(DB_Colleges!AH302),DB_Colleges!AH302,"Check"))</f>
        <v/>
      </c>
      <c r="P308" s="26" t="str">
        <f aca="false">IF(B308="","",DB_Colleges!W302&amp;"")</f>
        <v/>
      </c>
      <c r="Q308" s="30" t="str">
        <f aca="false">IF(OR(B308="",NOT(ISNUMBER(DB_Colleges!AF302))),"",DB_Colleges!AF302)</f>
        <v/>
      </c>
      <c r="R308" s="28" t="str">
        <f aca="false">IF(OR(B308="",NOT(ISNUMBER(DB_Colleges!AG302))),"",DB_Colleges!AG302)</f>
        <v/>
      </c>
      <c r="S308" s="26" t="str">
        <f aca="false">IF(B308="","",DB_Colleges!AK302&amp;"")</f>
        <v/>
      </c>
      <c r="T308" s="26" t="str">
        <f aca="false">IF(B308="","",DB_Colleges!AI302&amp;"")</f>
        <v/>
      </c>
      <c r="U308" s="1" t="str">
        <f aca="false">IF(AND(ISNUMBER($X$4),ISNUMBER(DB_Colleges!Z302),ISNUMBER(DB_Colleges!AA302)),IF($X$4&gt;=DB_Colleges!AA302,1,IF($X$4&lt;DB_Colleges!Z302,-1,0)),"")</f>
        <v/>
      </c>
      <c r="V308" s="1" t="str">
        <f aca="false">IF(AND(ISNUMBER($Y$4),ISNUMBER(DB_Colleges!AD302)),IF($Y$4&gt;=DB_Colleges!AD302+0.15,1,IF($Y$4&lt;DB_Colleges!AD302-0.2,-1,0)),"")</f>
        <v/>
      </c>
      <c r="W308" s="1" t="n">
        <f aca="false">IF(COUNT(U308:V308)=0,0,MIN(U308:V308))</f>
        <v>0</v>
      </c>
    </row>
    <row r="309" customFormat="false" ht="15" hidden="false" customHeight="true" outlineLevel="0" collapsed="false">
      <c r="A309" s="26" t="str">
        <f aca="false">IF(B309="","",IF(COUNTIF('My Colleges'!$B$8:$B$27,B309)&gt;0,"On list",""))</f>
        <v/>
      </c>
      <c r="B309" s="27" t="str">
        <f aca="false">IF(DB_Colleges!A303="","",DB_Colleges!A303)</f>
        <v/>
      </c>
      <c r="C309" s="26" t="str">
        <f aca="false">IF(B309="","",DB_Colleges!B303)</f>
        <v/>
      </c>
      <c r="D309" s="26" t="str">
        <f aca="false">IF(B309="","",DB_Colleges!C303&amp;", "&amp;DB_Colleges!D303)</f>
        <v/>
      </c>
      <c r="E309" s="26" t="str">
        <f aca="false">IF(B309="","",IF(AND(NOT(ISNUMBER($X$4)),NOT(ISNUMBER($Y$4))),"Add scores",IF(NOT(ISNUMBER(DB_Colleges!Y303)),IF(OR(C309="Ivy League",C309="Highly Selective"),"Reach",IF(COUNT(U309:V309)=0,"No data",CHOOSE(W309+2,"Reach","Target","Likely"))),IF(DB_Colleges!Y303&lt;0.15,"Reach",IF(DB_Colleges!Y303&gt;=0.75,IF(W309&gt;=0,"Likely","Target"),IF(DB_Colleges!Y303&gt;=0.4,CHOOSE(W309+2,"Reach","Target","Likely"),IF(W309=1,"Target","Reach")))))))</f>
        <v/>
      </c>
      <c r="F309" s="28" t="str">
        <f aca="false">IF(OR(B309="",NOT(ISNUMBER(DB_Colleges!Y303))),"",DB_Colleges!Y303)</f>
        <v/>
      </c>
      <c r="G309" s="26" t="str">
        <f aca="false">IF(OR(B309="",NOT(ISNUMBER(DB_Colleges!Z303))),"",DB_Colleges!Z303&amp;"-"&amp;DB_Colleges!AA303)</f>
        <v/>
      </c>
      <c r="H309" s="26" t="str">
        <f aca="false">IF(OR(B309="",NOT(ISNUMBER(DB_Colleges!AD303))),"",DB_Colleges!AD303)</f>
        <v/>
      </c>
      <c r="I309" s="29" t="str">
        <f aca="false">IF(B309="","",IF(COUNT(DB_Colleges!I303:O303)=0,IF(DB_Colleges!P303="Yes","Rolling","Check site"),MIN(DB_Colleges!I303:O303)))</f>
        <v/>
      </c>
      <c r="J309" s="26" t="str">
        <f aca="false">IF(OR(B309="",COUNT(DB_Colleges!I303:O303)=0),"",INDEX({"ED","ED II","EA","EA II","REA","RD","Priority"},MATCH(MIN(DB_Colleges!I303:O303),DB_Colleges!I303:O303,0)))</f>
        <v/>
      </c>
      <c r="K309" s="29" t="str">
        <f aca="false">IF(OR(B309="",NOT(ISNUMBER(DB_Colleges!N303))),"",DB_Colleges!N303)</f>
        <v/>
      </c>
      <c r="L309" s="26" t="str">
        <f aca="false">IF(B309="","",DB_Colleges!G303&amp;"")</f>
        <v/>
      </c>
      <c r="M309" s="30" t="str">
        <f aca="false">IF(OR(B309="",NOT(ISNUMBER(DB_Colleges!S303))),"",DB_Colleges!S303)</f>
        <v/>
      </c>
      <c r="N309" s="26" t="str">
        <f aca="false">IF(B309="","",DB_Colleges!U303&amp;"")</f>
        <v/>
      </c>
      <c r="O309" s="26" t="str">
        <f aca="false">IF(B309="","",IF(ISNUMBER(DB_Colleges!AH303),DB_Colleges!AH303,"Check"))</f>
        <v/>
      </c>
      <c r="P309" s="26" t="str">
        <f aca="false">IF(B309="","",DB_Colleges!W303&amp;"")</f>
        <v/>
      </c>
      <c r="Q309" s="30" t="str">
        <f aca="false">IF(OR(B309="",NOT(ISNUMBER(DB_Colleges!AF303))),"",DB_Colleges!AF303)</f>
        <v/>
      </c>
      <c r="R309" s="28" t="str">
        <f aca="false">IF(OR(B309="",NOT(ISNUMBER(DB_Colleges!AG303))),"",DB_Colleges!AG303)</f>
        <v/>
      </c>
      <c r="S309" s="26" t="str">
        <f aca="false">IF(B309="","",DB_Colleges!AK303&amp;"")</f>
        <v/>
      </c>
      <c r="T309" s="26" t="str">
        <f aca="false">IF(B309="","",DB_Colleges!AI303&amp;"")</f>
        <v/>
      </c>
      <c r="U309" s="1" t="str">
        <f aca="false">IF(AND(ISNUMBER($X$4),ISNUMBER(DB_Colleges!Z303),ISNUMBER(DB_Colleges!AA303)),IF($X$4&gt;=DB_Colleges!AA303,1,IF($X$4&lt;DB_Colleges!Z303,-1,0)),"")</f>
        <v/>
      </c>
      <c r="V309" s="1" t="str">
        <f aca="false">IF(AND(ISNUMBER($Y$4),ISNUMBER(DB_Colleges!AD303)),IF($Y$4&gt;=DB_Colleges!AD303+0.15,1,IF($Y$4&lt;DB_Colleges!AD303-0.2,-1,0)),"")</f>
        <v/>
      </c>
      <c r="W309" s="1" t="n">
        <f aca="false">IF(COUNT(U309:V309)=0,0,MIN(U309:V309))</f>
        <v>0</v>
      </c>
    </row>
    <row r="310" customFormat="false" ht="15" hidden="false" customHeight="true" outlineLevel="0" collapsed="false">
      <c r="A310" s="26" t="str">
        <f aca="false">IF(B310="","",IF(COUNTIF('My Colleges'!$B$8:$B$27,B310)&gt;0,"On list",""))</f>
        <v/>
      </c>
      <c r="B310" s="27" t="str">
        <f aca="false">IF(DB_Colleges!A304="","",DB_Colleges!A304)</f>
        <v/>
      </c>
      <c r="C310" s="26" t="str">
        <f aca="false">IF(B310="","",DB_Colleges!B304)</f>
        <v/>
      </c>
      <c r="D310" s="26" t="str">
        <f aca="false">IF(B310="","",DB_Colleges!C304&amp;", "&amp;DB_Colleges!D304)</f>
        <v/>
      </c>
      <c r="E310" s="26" t="str">
        <f aca="false">IF(B310="","",IF(AND(NOT(ISNUMBER($X$4)),NOT(ISNUMBER($Y$4))),"Add scores",IF(NOT(ISNUMBER(DB_Colleges!Y304)),IF(OR(C310="Ivy League",C310="Highly Selective"),"Reach",IF(COUNT(U310:V310)=0,"No data",CHOOSE(W310+2,"Reach","Target","Likely"))),IF(DB_Colleges!Y304&lt;0.15,"Reach",IF(DB_Colleges!Y304&gt;=0.75,IF(W310&gt;=0,"Likely","Target"),IF(DB_Colleges!Y304&gt;=0.4,CHOOSE(W310+2,"Reach","Target","Likely"),IF(W310=1,"Target","Reach")))))))</f>
        <v/>
      </c>
      <c r="F310" s="28" t="str">
        <f aca="false">IF(OR(B310="",NOT(ISNUMBER(DB_Colleges!Y304))),"",DB_Colleges!Y304)</f>
        <v/>
      </c>
      <c r="G310" s="26" t="str">
        <f aca="false">IF(OR(B310="",NOT(ISNUMBER(DB_Colleges!Z304))),"",DB_Colleges!Z304&amp;"-"&amp;DB_Colleges!AA304)</f>
        <v/>
      </c>
      <c r="H310" s="26" t="str">
        <f aca="false">IF(OR(B310="",NOT(ISNUMBER(DB_Colleges!AD304))),"",DB_Colleges!AD304)</f>
        <v/>
      </c>
      <c r="I310" s="29" t="str">
        <f aca="false">IF(B310="","",IF(COUNT(DB_Colleges!I304:O304)=0,IF(DB_Colleges!P304="Yes","Rolling","Check site"),MIN(DB_Colleges!I304:O304)))</f>
        <v/>
      </c>
      <c r="J310" s="26" t="str">
        <f aca="false">IF(OR(B310="",COUNT(DB_Colleges!I304:O304)=0),"",INDEX({"ED","ED II","EA","EA II","REA","RD","Priority"},MATCH(MIN(DB_Colleges!I304:O304),DB_Colleges!I304:O304,0)))</f>
        <v/>
      </c>
      <c r="K310" s="29" t="str">
        <f aca="false">IF(OR(B310="",NOT(ISNUMBER(DB_Colleges!N304))),"",DB_Colleges!N304)</f>
        <v/>
      </c>
      <c r="L310" s="26" t="str">
        <f aca="false">IF(B310="","",DB_Colleges!G304&amp;"")</f>
        <v/>
      </c>
      <c r="M310" s="30" t="str">
        <f aca="false">IF(OR(B310="",NOT(ISNUMBER(DB_Colleges!S304))),"",DB_Colleges!S304)</f>
        <v/>
      </c>
      <c r="N310" s="26" t="str">
        <f aca="false">IF(B310="","",DB_Colleges!U304&amp;"")</f>
        <v/>
      </c>
      <c r="O310" s="26" t="str">
        <f aca="false">IF(B310="","",IF(ISNUMBER(DB_Colleges!AH304),DB_Colleges!AH304,"Check"))</f>
        <v/>
      </c>
      <c r="P310" s="26" t="str">
        <f aca="false">IF(B310="","",DB_Colleges!W304&amp;"")</f>
        <v/>
      </c>
      <c r="Q310" s="30" t="str">
        <f aca="false">IF(OR(B310="",NOT(ISNUMBER(DB_Colleges!AF304))),"",DB_Colleges!AF304)</f>
        <v/>
      </c>
      <c r="R310" s="28" t="str">
        <f aca="false">IF(OR(B310="",NOT(ISNUMBER(DB_Colleges!AG304))),"",DB_Colleges!AG304)</f>
        <v/>
      </c>
      <c r="S310" s="26" t="str">
        <f aca="false">IF(B310="","",DB_Colleges!AK304&amp;"")</f>
        <v/>
      </c>
      <c r="T310" s="26" t="str">
        <f aca="false">IF(B310="","",DB_Colleges!AI304&amp;"")</f>
        <v/>
      </c>
      <c r="U310" s="1" t="str">
        <f aca="false">IF(AND(ISNUMBER($X$4),ISNUMBER(DB_Colleges!Z304),ISNUMBER(DB_Colleges!AA304)),IF($X$4&gt;=DB_Colleges!AA304,1,IF($X$4&lt;DB_Colleges!Z304,-1,0)),"")</f>
        <v/>
      </c>
      <c r="V310" s="1" t="str">
        <f aca="false">IF(AND(ISNUMBER($Y$4),ISNUMBER(DB_Colleges!AD304)),IF($Y$4&gt;=DB_Colleges!AD304+0.15,1,IF($Y$4&lt;DB_Colleges!AD304-0.2,-1,0)),"")</f>
        <v/>
      </c>
      <c r="W310" s="1" t="n">
        <f aca="false">IF(COUNT(U310:V310)=0,0,MIN(U310:V310))</f>
        <v>0</v>
      </c>
    </row>
    <row r="311" customFormat="false" ht="15" hidden="false" customHeight="true" outlineLevel="0" collapsed="false">
      <c r="A311" s="26" t="str">
        <f aca="false">IF(B311="","",IF(COUNTIF('My Colleges'!$B$8:$B$27,B311)&gt;0,"On list",""))</f>
        <v/>
      </c>
      <c r="B311" s="27" t="str">
        <f aca="false">IF(DB_Colleges!A305="","",DB_Colleges!A305)</f>
        <v/>
      </c>
      <c r="C311" s="26" t="str">
        <f aca="false">IF(B311="","",DB_Colleges!B305)</f>
        <v/>
      </c>
      <c r="D311" s="26" t="str">
        <f aca="false">IF(B311="","",DB_Colleges!C305&amp;", "&amp;DB_Colleges!D305)</f>
        <v/>
      </c>
      <c r="E311" s="26" t="str">
        <f aca="false">IF(B311="","",IF(AND(NOT(ISNUMBER($X$4)),NOT(ISNUMBER($Y$4))),"Add scores",IF(NOT(ISNUMBER(DB_Colleges!Y305)),IF(OR(C311="Ivy League",C311="Highly Selective"),"Reach",IF(COUNT(U311:V311)=0,"No data",CHOOSE(W311+2,"Reach","Target","Likely"))),IF(DB_Colleges!Y305&lt;0.15,"Reach",IF(DB_Colleges!Y305&gt;=0.75,IF(W311&gt;=0,"Likely","Target"),IF(DB_Colleges!Y305&gt;=0.4,CHOOSE(W311+2,"Reach","Target","Likely"),IF(W311=1,"Target","Reach")))))))</f>
        <v/>
      </c>
      <c r="F311" s="28" t="str">
        <f aca="false">IF(OR(B311="",NOT(ISNUMBER(DB_Colleges!Y305))),"",DB_Colleges!Y305)</f>
        <v/>
      </c>
      <c r="G311" s="26" t="str">
        <f aca="false">IF(OR(B311="",NOT(ISNUMBER(DB_Colleges!Z305))),"",DB_Colleges!Z305&amp;"-"&amp;DB_Colleges!AA305)</f>
        <v/>
      </c>
      <c r="H311" s="26" t="str">
        <f aca="false">IF(OR(B311="",NOT(ISNUMBER(DB_Colleges!AD305))),"",DB_Colleges!AD305)</f>
        <v/>
      </c>
      <c r="I311" s="29" t="str">
        <f aca="false">IF(B311="","",IF(COUNT(DB_Colleges!I305:O305)=0,IF(DB_Colleges!P305="Yes","Rolling","Check site"),MIN(DB_Colleges!I305:O305)))</f>
        <v/>
      </c>
      <c r="J311" s="26" t="str">
        <f aca="false">IF(OR(B311="",COUNT(DB_Colleges!I305:O305)=0),"",INDEX({"ED","ED II","EA","EA II","REA","RD","Priority"},MATCH(MIN(DB_Colleges!I305:O305),DB_Colleges!I305:O305,0)))</f>
        <v/>
      </c>
      <c r="K311" s="29" t="str">
        <f aca="false">IF(OR(B311="",NOT(ISNUMBER(DB_Colleges!N305))),"",DB_Colleges!N305)</f>
        <v/>
      </c>
      <c r="L311" s="26" t="str">
        <f aca="false">IF(B311="","",DB_Colleges!G305&amp;"")</f>
        <v/>
      </c>
      <c r="M311" s="30" t="str">
        <f aca="false">IF(OR(B311="",NOT(ISNUMBER(DB_Colleges!S305))),"",DB_Colleges!S305)</f>
        <v/>
      </c>
      <c r="N311" s="26" t="str">
        <f aca="false">IF(B311="","",DB_Colleges!U305&amp;"")</f>
        <v/>
      </c>
      <c r="O311" s="26" t="str">
        <f aca="false">IF(B311="","",IF(ISNUMBER(DB_Colleges!AH305),DB_Colleges!AH305,"Check"))</f>
        <v/>
      </c>
      <c r="P311" s="26" t="str">
        <f aca="false">IF(B311="","",DB_Colleges!W305&amp;"")</f>
        <v/>
      </c>
      <c r="Q311" s="30" t="str">
        <f aca="false">IF(OR(B311="",NOT(ISNUMBER(DB_Colleges!AF305))),"",DB_Colleges!AF305)</f>
        <v/>
      </c>
      <c r="R311" s="28" t="str">
        <f aca="false">IF(OR(B311="",NOT(ISNUMBER(DB_Colleges!AG305))),"",DB_Colleges!AG305)</f>
        <v/>
      </c>
      <c r="S311" s="26" t="str">
        <f aca="false">IF(B311="","",DB_Colleges!AK305&amp;"")</f>
        <v/>
      </c>
      <c r="T311" s="26" t="str">
        <f aca="false">IF(B311="","",DB_Colleges!AI305&amp;"")</f>
        <v/>
      </c>
      <c r="U311" s="1" t="str">
        <f aca="false">IF(AND(ISNUMBER($X$4),ISNUMBER(DB_Colleges!Z305),ISNUMBER(DB_Colleges!AA305)),IF($X$4&gt;=DB_Colleges!AA305,1,IF($X$4&lt;DB_Colleges!Z305,-1,0)),"")</f>
        <v/>
      </c>
      <c r="V311" s="1" t="str">
        <f aca="false">IF(AND(ISNUMBER($Y$4),ISNUMBER(DB_Colleges!AD305)),IF($Y$4&gt;=DB_Colleges!AD305+0.15,1,IF($Y$4&lt;DB_Colleges!AD305-0.2,-1,0)),"")</f>
        <v/>
      </c>
      <c r="W311" s="1" t="n">
        <f aca="false">IF(COUNT(U311:V311)=0,0,MIN(U311:V311))</f>
        <v>0</v>
      </c>
    </row>
    <row r="312" customFormat="false" ht="15" hidden="false" customHeight="true" outlineLevel="0" collapsed="false">
      <c r="A312" s="26" t="str">
        <f aca="false">IF(B312="","",IF(COUNTIF('My Colleges'!$B$8:$B$27,B312)&gt;0,"On list",""))</f>
        <v/>
      </c>
      <c r="B312" s="27" t="str">
        <f aca="false">IF(DB_Colleges!A306="","",DB_Colleges!A306)</f>
        <v/>
      </c>
      <c r="C312" s="26" t="str">
        <f aca="false">IF(B312="","",DB_Colleges!B306)</f>
        <v/>
      </c>
      <c r="D312" s="26" t="str">
        <f aca="false">IF(B312="","",DB_Colleges!C306&amp;", "&amp;DB_Colleges!D306)</f>
        <v/>
      </c>
      <c r="E312" s="26" t="str">
        <f aca="false">IF(B312="","",IF(AND(NOT(ISNUMBER($X$4)),NOT(ISNUMBER($Y$4))),"Add scores",IF(NOT(ISNUMBER(DB_Colleges!Y306)),IF(OR(C312="Ivy League",C312="Highly Selective"),"Reach",IF(COUNT(U312:V312)=0,"No data",CHOOSE(W312+2,"Reach","Target","Likely"))),IF(DB_Colleges!Y306&lt;0.15,"Reach",IF(DB_Colleges!Y306&gt;=0.75,IF(W312&gt;=0,"Likely","Target"),IF(DB_Colleges!Y306&gt;=0.4,CHOOSE(W312+2,"Reach","Target","Likely"),IF(W312=1,"Target","Reach")))))))</f>
        <v/>
      </c>
      <c r="F312" s="28" t="str">
        <f aca="false">IF(OR(B312="",NOT(ISNUMBER(DB_Colleges!Y306))),"",DB_Colleges!Y306)</f>
        <v/>
      </c>
      <c r="G312" s="26" t="str">
        <f aca="false">IF(OR(B312="",NOT(ISNUMBER(DB_Colleges!Z306))),"",DB_Colleges!Z306&amp;"-"&amp;DB_Colleges!AA306)</f>
        <v/>
      </c>
      <c r="H312" s="26" t="str">
        <f aca="false">IF(OR(B312="",NOT(ISNUMBER(DB_Colleges!AD306))),"",DB_Colleges!AD306)</f>
        <v/>
      </c>
      <c r="I312" s="29" t="str">
        <f aca="false">IF(B312="","",IF(COUNT(DB_Colleges!I306:O306)=0,IF(DB_Colleges!P306="Yes","Rolling","Check site"),MIN(DB_Colleges!I306:O306)))</f>
        <v/>
      </c>
      <c r="J312" s="26" t="str">
        <f aca="false">IF(OR(B312="",COUNT(DB_Colleges!I306:O306)=0),"",INDEX({"ED","ED II","EA","EA II","REA","RD","Priority"},MATCH(MIN(DB_Colleges!I306:O306),DB_Colleges!I306:O306,0)))</f>
        <v/>
      </c>
      <c r="K312" s="29" t="str">
        <f aca="false">IF(OR(B312="",NOT(ISNUMBER(DB_Colleges!N306))),"",DB_Colleges!N306)</f>
        <v/>
      </c>
      <c r="L312" s="26" t="str">
        <f aca="false">IF(B312="","",DB_Colleges!G306&amp;"")</f>
        <v/>
      </c>
      <c r="M312" s="30" t="str">
        <f aca="false">IF(OR(B312="",NOT(ISNUMBER(DB_Colleges!S306))),"",DB_Colleges!S306)</f>
        <v/>
      </c>
      <c r="N312" s="26" t="str">
        <f aca="false">IF(B312="","",DB_Colleges!U306&amp;"")</f>
        <v/>
      </c>
      <c r="O312" s="26" t="str">
        <f aca="false">IF(B312="","",IF(ISNUMBER(DB_Colleges!AH306),DB_Colleges!AH306,"Check"))</f>
        <v/>
      </c>
      <c r="P312" s="26" t="str">
        <f aca="false">IF(B312="","",DB_Colleges!W306&amp;"")</f>
        <v/>
      </c>
      <c r="Q312" s="30" t="str">
        <f aca="false">IF(OR(B312="",NOT(ISNUMBER(DB_Colleges!AF306))),"",DB_Colleges!AF306)</f>
        <v/>
      </c>
      <c r="R312" s="28" t="str">
        <f aca="false">IF(OR(B312="",NOT(ISNUMBER(DB_Colleges!AG306))),"",DB_Colleges!AG306)</f>
        <v/>
      </c>
      <c r="S312" s="26" t="str">
        <f aca="false">IF(B312="","",DB_Colleges!AK306&amp;"")</f>
        <v/>
      </c>
      <c r="T312" s="26" t="str">
        <f aca="false">IF(B312="","",DB_Colleges!AI306&amp;"")</f>
        <v/>
      </c>
      <c r="U312" s="1" t="str">
        <f aca="false">IF(AND(ISNUMBER($X$4),ISNUMBER(DB_Colleges!Z306),ISNUMBER(DB_Colleges!AA306)),IF($X$4&gt;=DB_Colleges!AA306,1,IF($X$4&lt;DB_Colleges!Z306,-1,0)),"")</f>
        <v/>
      </c>
      <c r="V312" s="1" t="str">
        <f aca="false">IF(AND(ISNUMBER($Y$4),ISNUMBER(DB_Colleges!AD306)),IF($Y$4&gt;=DB_Colleges!AD306+0.15,1,IF($Y$4&lt;DB_Colleges!AD306-0.2,-1,0)),"")</f>
        <v/>
      </c>
      <c r="W312" s="1" t="n">
        <f aca="false">IF(COUNT(U312:V312)=0,0,MIN(U312:V312))</f>
        <v>0</v>
      </c>
    </row>
    <row r="313" customFormat="false" ht="15" hidden="false" customHeight="true" outlineLevel="0" collapsed="false">
      <c r="A313" s="26" t="str">
        <f aca="false">IF(B313="","",IF(COUNTIF('My Colleges'!$B$8:$B$27,B313)&gt;0,"On list",""))</f>
        <v/>
      </c>
      <c r="B313" s="27" t="str">
        <f aca="false">IF(DB_Colleges!A307="","",DB_Colleges!A307)</f>
        <v/>
      </c>
      <c r="C313" s="26" t="str">
        <f aca="false">IF(B313="","",DB_Colleges!B307)</f>
        <v/>
      </c>
      <c r="D313" s="26" t="str">
        <f aca="false">IF(B313="","",DB_Colleges!C307&amp;", "&amp;DB_Colleges!D307)</f>
        <v/>
      </c>
      <c r="E313" s="26" t="str">
        <f aca="false">IF(B313="","",IF(AND(NOT(ISNUMBER($X$4)),NOT(ISNUMBER($Y$4))),"Add scores",IF(NOT(ISNUMBER(DB_Colleges!Y307)),IF(OR(C313="Ivy League",C313="Highly Selective"),"Reach",IF(COUNT(U313:V313)=0,"No data",CHOOSE(W313+2,"Reach","Target","Likely"))),IF(DB_Colleges!Y307&lt;0.15,"Reach",IF(DB_Colleges!Y307&gt;=0.75,IF(W313&gt;=0,"Likely","Target"),IF(DB_Colleges!Y307&gt;=0.4,CHOOSE(W313+2,"Reach","Target","Likely"),IF(W313=1,"Target","Reach")))))))</f>
        <v/>
      </c>
      <c r="F313" s="28" t="str">
        <f aca="false">IF(OR(B313="",NOT(ISNUMBER(DB_Colleges!Y307))),"",DB_Colleges!Y307)</f>
        <v/>
      </c>
      <c r="G313" s="26" t="str">
        <f aca="false">IF(OR(B313="",NOT(ISNUMBER(DB_Colleges!Z307))),"",DB_Colleges!Z307&amp;"-"&amp;DB_Colleges!AA307)</f>
        <v/>
      </c>
      <c r="H313" s="26" t="str">
        <f aca="false">IF(OR(B313="",NOT(ISNUMBER(DB_Colleges!AD307))),"",DB_Colleges!AD307)</f>
        <v/>
      </c>
      <c r="I313" s="29" t="str">
        <f aca="false">IF(B313="","",IF(COUNT(DB_Colleges!I307:O307)=0,IF(DB_Colleges!P307="Yes","Rolling","Check site"),MIN(DB_Colleges!I307:O307)))</f>
        <v/>
      </c>
      <c r="J313" s="26" t="str">
        <f aca="false">IF(OR(B313="",COUNT(DB_Colleges!I307:O307)=0),"",INDEX({"ED","ED II","EA","EA II","REA","RD","Priority"},MATCH(MIN(DB_Colleges!I307:O307),DB_Colleges!I307:O307,0)))</f>
        <v/>
      </c>
      <c r="K313" s="29" t="str">
        <f aca="false">IF(OR(B313="",NOT(ISNUMBER(DB_Colleges!N307))),"",DB_Colleges!N307)</f>
        <v/>
      </c>
      <c r="L313" s="26" t="str">
        <f aca="false">IF(B313="","",DB_Colleges!G307&amp;"")</f>
        <v/>
      </c>
      <c r="M313" s="30" t="str">
        <f aca="false">IF(OR(B313="",NOT(ISNUMBER(DB_Colleges!S307))),"",DB_Colleges!S307)</f>
        <v/>
      </c>
      <c r="N313" s="26" t="str">
        <f aca="false">IF(B313="","",DB_Colleges!U307&amp;"")</f>
        <v/>
      </c>
      <c r="O313" s="26" t="str">
        <f aca="false">IF(B313="","",IF(ISNUMBER(DB_Colleges!AH307),DB_Colleges!AH307,"Check"))</f>
        <v/>
      </c>
      <c r="P313" s="26" t="str">
        <f aca="false">IF(B313="","",DB_Colleges!W307&amp;"")</f>
        <v/>
      </c>
      <c r="Q313" s="30" t="str">
        <f aca="false">IF(OR(B313="",NOT(ISNUMBER(DB_Colleges!AF307))),"",DB_Colleges!AF307)</f>
        <v/>
      </c>
      <c r="R313" s="28" t="str">
        <f aca="false">IF(OR(B313="",NOT(ISNUMBER(DB_Colleges!AG307))),"",DB_Colleges!AG307)</f>
        <v/>
      </c>
      <c r="S313" s="26" t="str">
        <f aca="false">IF(B313="","",DB_Colleges!AK307&amp;"")</f>
        <v/>
      </c>
      <c r="T313" s="26" t="str">
        <f aca="false">IF(B313="","",DB_Colleges!AI307&amp;"")</f>
        <v/>
      </c>
      <c r="U313" s="1" t="str">
        <f aca="false">IF(AND(ISNUMBER($X$4),ISNUMBER(DB_Colleges!Z307),ISNUMBER(DB_Colleges!AA307)),IF($X$4&gt;=DB_Colleges!AA307,1,IF($X$4&lt;DB_Colleges!Z307,-1,0)),"")</f>
        <v/>
      </c>
      <c r="V313" s="1" t="str">
        <f aca="false">IF(AND(ISNUMBER($Y$4),ISNUMBER(DB_Colleges!AD307)),IF($Y$4&gt;=DB_Colleges!AD307+0.15,1,IF($Y$4&lt;DB_Colleges!AD307-0.2,-1,0)),"")</f>
        <v/>
      </c>
      <c r="W313" s="1" t="n">
        <f aca="false">IF(COUNT(U313:V313)=0,0,MIN(U313:V313))</f>
        <v>0</v>
      </c>
    </row>
    <row r="314" customFormat="false" ht="15" hidden="false" customHeight="true" outlineLevel="0" collapsed="false">
      <c r="A314" s="26" t="str">
        <f aca="false">IF(B314="","",IF(COUNTIF('My Colleges'!$B$8:$B$27,B314)&gt;0,"On list",""))</f>
        <v/>
      </c>
      <c r="B314" s="27" t="str">
        <f aca="false">IF(DB_Colleges!A308="","",DB_Colleges!A308)</f>
        <v/>
      </c>
      <c r="C314" s="26" t="str">
        <f aca="false">IF(B314="","",DB_Colleges!B308)</f>
        <v/>
      </c>
      <c r="D314" s="26" t="str">
        <f aca="false">IF(B314="","",DB_Colleges!C308&amp;", "&amp;DB_Colleges!D308)</f>
        <v/>
      </c>
      <c r="E314" s="26" t="str">
        <f aca="false">IF(B314="","",IF(AND(NOT(ISNUMBER($X$4)),NOT(ISNUMBER($Y$4))),"Add scores",IF(NOT(ISNUMBER(DB_Colleges!Y308)),IF(OR(C314="Ivy League",C314="Highly Selective"),"Reach",IF(COUNT(U314:V314)=0,"No data",CHOOSE(W314+2,"Reach","Target","Likely"))),IF(DB_Colleges!Y308&lt;0.15,"Reach",IF(DB_Colleges!Y308&gt;=0.75,IF(W314&gt;=0,"Likely","Target"),IF(DB_Colleges!Y308&gt;=0.4,CHOOSE(W314+2,"Reach","Target","Likely"),IF(W314=1,"Target","Reach")))))))</f>
        <v/>
      </c>
      <c r="F314" s="28" t="str">
        <f aca="false">IF(OR(B314="",NOT(ISNUMBER(DB_Colleges!Y308))),"",DB_Colleges!Y308)</f>
        <v/>
      </c>
      <c r="G314" s="26" t="str">
        <f aca="false">IF(OR(B314="",NOT(ISNUMBER(DB_Colleges!Z308))),"",DB_Colleges!Z308&amp;"-"&amp;DB_Colleges!AA308)</f>
        <v/>
      </c>
      <c r="H314" s="26" t="str">
        <f aca="false">IF(OR(B314="",NOT(ISNUMBER(DB_Colleges!AD308))),"",DB_Colleges!AD308)</f>
        <v/>
      </c>
      <c r="I314" s="29" t="str">
        <f aca="false">IF(B314="","",IF(COUNT(DB_Colleges!I308:O308)=0,IF(DB_Colleges!P308="Yes","Rolling","Check site"),MIN(DB_Colleges!I308:O308)))</f>
        <v/>
      </c>
      <c r="J314" s="26" t="str">
        <f aca="false">IF(OR(B314="",COUNT(DB_Colleges!I308:O308)=0),"",INDEX({"ED","ED II","EA","EA II","REA","RD","Priority"},MATCH(MIN(DB_Colleges!I308:O308),DB_Colleges!I308:O308,0)))</f>
        <v/>
      </c>
      <c r="K314" s="29" t="str">
        <f aca="false">IF(OR(B314="",NOT(ISNUMBER(DB_Colleges!N308))),"",DB_Colleges!N308)</f>
        <v/>
      </c>
      <c r="L314" s="26" t="str">
        <f aca="false">IF(B314="","",DB_Colleges!G308&amp;"")</f>
        <v/>
      </c>
      <c r="M314" s="30" t="str">
        <f aca="false">IF(OR(B314="",NOT(ISNUMBER(DB_Colleges!S308))),"",DB_Colleges!S308)</f>
        <v/>
      </c>
      <c r="N314" s="26" t="str">
        <f aca="false">IF(B314="","",DB_Colleges!U308&amp;"")</f>
        <v/>
      </c>
      <c r="O314" s="26" t="str">
        <f aca="false">IF(B314="","",IF(ISNUMBER(DB_Colleges!AH308),DB_Colleges!AH308,"Check"))</f>
        <v/>
      </c>
      <c r="P314" s="26" t="str">
        <f aca="false">IF(B314="","",DB_Colleges!W308&amp;"")</f>
        <v/>
      </c>
      <c r="Q314" s="30" t="str">
        <f aca="false">IF(OR(B314="",NOT(ISNUMBER(DB_Colleges!AF308))),"",DB_Colleges!AF308)</f>
        <v/>
      </c>
      <c r="R314" s="28" t="str">
        <f aca="false">IF(OR(B314="",NOT(ISNUMBER(DB_Colleges!AG308))),"",DB_Colleges!AG308)</f>
        <v/>
      </c>
      <c r="S314" s="26" t="str">
        <f aca="false">IF(B314="","",DB_Colleges!AK308&amp;"")</f>
        <v/>
      </c>
      <c r="T314" s="26" t="str">
        <f aca="false">IF(B314="","",DB_Colleges!AI308&amp;"")</f>
        <v/>
      </c>
      <c r="U314" s="1" t="str">
        <f aca="false">IF(AND(ISNUMBER($X$4),ISNUMBER(DB_Colleges!Z308),ISNUMBER(DB_Colleges!AA308)),IF($X$4&gt;=DB_Colleges!AA308,1,IF($X$4&lt;DB_Colleges!Z308,-1,0)),"")</f>
        <v/>
      </c>
      <c r="V314" s="1" t="str">
        <f aca="false">IF(AND(ISNUMBER($Y$4),ISNUMBER(DB_Colleges!AD308)),IF($Y$4&gt;=DB_Colleges!AD308+0.15,1,IF($Y$4&lt;DB_Colleges!AD308-0.2,-1,0)),"")</f>
        <v/>
      </c>
      <c r="W314" s="1" t="n">
        <f aca="false">IF(COUNT(U314:V314)=0,0,MIN(U314:V314))</f>
        <v>0</v>
      </c>
    </row>
    <row r="315" customFormat="false" ht="15" hidden="false" customHeight="true" outlineLevel="0" collapsed="false">
      <c r="A315" s="26" t="str">
        <f aca="false">IF(B315="","",IF(COUNTIF('My Colleges'!$B$8:$B$27,B315)&gt;0,"On list",""))</f>
        <v/>
      </c>
      <c r="B315" s="27" t="str">
        <f aca="false">IF(DB_Colleges!A309="","",DB_Colleges!A309)</f>
        <v/>
      </c>
      <c r="C315" s="26" t="str">
        <f aca="false">IF(B315="","",DB_Colleges!B309)</f>
        <v/>
      </c>
      <c r="D315" s="26" t="str">
        <f aca="false">IF(B315="","",DB_Colleges!C309&amp;", "&amp;DB_Colleges!D309)</f>
        <v/>
      </c>
      <c r="E315" s="26" t="str">
        <f aca="false">IF(B315="","",IF(AND(NOT(ISNUMBER($X$4)),NOT(ISNUMBER($Y$4))),"Add scores",IF(NOT(ISNUMBER(DB_Colleges!Y309)),IF(OR(C315="Ivy League",C315="Highly Selective"),"Reach",IF(COUNT(U315:V315)=0,"No data",CHOOSE(W315+2,"Reach","Target","Likely"))),IF(DB_Colleges!Y309&lt;0.15,"Reach",IF(DB_Colleges!Y309&gt;=0.75,IF(W315&gt;=0,"Likely","Target"),IF(DB_Colleges!Y309&gt;=0.4,CHOOSE(W315+2,"Reach","Target","Likely"),IF(W315=1,"Target","Reach")))))))</f>
        <v/>
      </c>
      <c r="F315" s="28" t="str">
        <f aca="false">IF(OR(B315="",NOT(ISNUMBER(DB_Colleges!Y309))),"",DB_Colleges!Y309)</f>
        <v/>
      </c>
      <c r="G315" s="26" t="str">
        <f aca="false">IF(OR(B315="",NOT(ISNUMBER(DB_Colleges!Z309))),"",DB_Colleges!Z309&amp;"-"&amp;DB_Colleges!AA309)</f>
        <v/>
      </c>
      <c r="H315" s="26" t="str">
        <f aca="false">IF(OR(B315="",NOT(ISNUMBER(DB_Colleges!AD309))),"",DB_Colleges!AD309)</f>
        <v/>
      </c>
      <c r="I315" s="29" t="str">
        <f aca="false">IF(B315="","",IF(COUNT(DB_Colleges!I309:O309)=0,IF(DB_Colleges!P309="Yes","Rolling","Check site"),MIN(DB_Colleges!I309:O309)))</f>
        <v/>
      </c>
      <c r="J315" s="26" t="str">
        <f aca="false">IF(OR(B315="",COUNT(DB_Colleges!I309:O309)=0),"",INDEX({"ED","ED II","EA","EA II","REA","RD","Priority"},MATCH(MIN(DB_Colleges!I309:O309),DB_Colleges!I309:O309,0)))</f>
        <v/>
      </c>
      <c r="K315" s="29" t="str">
        <f aca="false">IF(OR(B315="",NOT(ISNUMBER(DB_Colleges!N309))),"",DB_Colleges!N309)</f>
        <v/>
      </c>
      <c r="L315" s="26" t="str">
        <f aca="false">IF(B315="","",DB_Colleges!G309&amp;"")</f>
        <v/>
      </c>
      <c r="M315" s="30" t="str">
        <f aca="false">IF(OR(B315="",NOT(ISNUMBER(DB_Colleges!S309))),"",DB_Colleges!S309)</f>
        <v/>
      </c>
      <c r="N315" s="26" t="str">
        <f aca="false">IF(B315="","",DB_Colleges!U309&amp;"")</f>
        <v/>
      </c>
      <c r="O315" s="26" t="str">
        <f aca="false">IF(B315="","",IF(ISNUMBER(DB_Colleges!AH309),DB_Colleges!AH309,"Check"))</f>
        <v/>
      </c>
      <c r="P315" s="26" t="str">
        <f aca="false">IF(B315="","",DB_Colleges!W309&amp;"")</f>
        <v/>
      </c>
      <c r="Q315" s="30" t="str">
        <f aca="false">IF(OR(B315="",NOT(ISNUMBER(DB_Colleges!AF309))),"",DB_Colleges!AF309)</f>
        <v/>
      </c>
      <c r="R315" s="28" t="str">
        <f aca="false">IF(OR(B315="",NOT(ISNUMBER(DB_Colleges!AG309))),"",DB_Colleges!AG309)</f>
        <v/>
      </c>
      <c r="S315" s="26" t="str">
        <f aca="false">IF(B315="","",DB_Colleges!AK309&amp;"")</f>
        <v/>
      </c>
      <c r="T315" s="26" t="str">
        <f aca="false">IF(B315="","",DB_Colleges!AI309&amp;"")</f>
        <v/>
      </c>
      <c r="U315" s="1" t="str">
        <f aca="false">IF(AND(ISNUMBER($X$4),ISNUMBER(DB_Colleges!Z309),ISNUMBER(DB_Colleges!AA309)),IF($X$4&gt;=DB_Colleges!AA309,1,IF($X$4&lt;DB_Colleges!Z309,-1,0)),"")</f>
        <v/>
      </c>
      <c r="V315" s="1" t="str">
        <f aca="false">IF(AND(ISNUMBER($Y$4),ISNUMBER(DB_Colleges!AD309)),IF($Y$4&gt;=DB_Colleges!AD309+0.15,1,IF($Y$4&lt;DB_Colleges!AD309-0.2,-1,0)),"")</f>
        <v/>
      </c>
      <c r="W315" s="1" t="n">
        <f aca="false">IF(COUNT(U315:V315)=0,0,MIN(U315:V315))</f>
        <v>0</v>
      </c>
    </row>
    <row r="316" customFormat="false" ht="15" hidden="false" customHeight="true" outlineLevel="0" collapsed="false">
      <c r="A316" s="26" t="str">
        <f aca="false">IF(B316="","",IF(COUNTIF('My Colleges'!$B$8:$B$27,B316)&gt;0,"On list",""))</f>
        <v/>
      </c>
      <c r="B316" s="27" t="str">
        <f aca="false">IF(DB_Colleges!A310="","",DB_Colleges!A310)</f>
        <v/>
      </c>
      <c r="C316" s="26" t="str">
        <f aca="false">IF(B316="","",DB_Colleges!B310)</f>
        <v/>
      </c>
      <c r="D316" s="26" t="str">
        <f aca="false">IF(B316="","",DB_Colleges!C310&amp;", "&amp;DB_Colleges!D310)</f>
        <v/>
      </c>
      <c r="E316" s="26" t="str">
        <f aca="false">IF(B316="","",IF(AND(NOT(ISNUMBER($X$4)),NOT(ISNUMBER($Y$4))),"Add scores",IF(NOT(ISNUMBER(DB_Colleges!Y310)),IF(OR(C316="Ivy League",C316="Highly Selective"),"Reach",IF(COUNT(U316:V316)=0,"No data",CHOOSE(W316+2,"Reach","Target","Likely"))),IF(DB_Colleges!Y310&lt;0.15,"Reach",IF(DB_Colleges!Y310&gt;=0.75,IF(W316&gt;=0,"Likely","Target"),IF(DB_Colleges!Y310&gt;=0.4,CHOOSE(W316+2,"Reach","Target","Likely"),IF(W316=1,"Target","Reach")))))))</f>
        <v/>
      </c>
      <c r="F316" s="28" t="str">
        <f aca="false">IF(OR(B316="",NOT(ISNUMBER(DB_Colleges!Y310))),"",DB_Colleges!Y310)</f>
        <v/>
      </c>
      <c r="G316" s="26" t="str">
        <f aca="false">IF(OR(B316="",NOT(ISNUMBER(DB_Colleges!Z310))),"",DB_Colleges!Z310&amp;"-"&amp;DB_Colleges!AA310)</f>
        <v/>
      </c>
      <c r="H316" s="26" t="str">
        <f aca="false">IF(OR(B316="",NOT(ISNUMBER(DB_Colleges!AD310))),"",DB_Colleges!AD310)</f>
        <v/>
      </c>
      <c r="I316" s="29" t="str">
        <f aca="false">IF(B316="","",IF(COUNT(DB_Colleges!I310:O310)=0,IF(DB_Colleges!P310="Yes","Rolling","Check site"),MIN(DB_Colleges!I310:O310)))</f>
        <v/>
      </c>
      <c r="J316" s="26" t="str">
        <f aca="false">IF(OR(B316="",COUNT(DB_Colleges!I310:O310)=0),"",INDEX({"ED","ED II","EA","EA II","REA","RD","Priority"},MATCH(MIN(DB_Colleges!I310:O310),DB_Colleges!I310:O310,0)))</f>
        <v/>
      </c>
      <c r="K316" s="29" t="str">
        <f aca="false">IF(OR(B316="",NOT(ISNUMBER(DB_Colleges!N310))),"",DB_Colleges!N310)</f>
        <v/>
      </c>
      <c r="L316" s="26" t="str">
        <f aca="false">IF(B316="","",DB_Colleges!G310&amp;"")</f>
        <v/>
      </c>
      <c r="M316" s="30" t="str">
        <f aca="false">IF(OR(B316="",NOT(ISNUMBER(DB_Colleges!S310))),"",DB_Colleges!S310)</f>
        <v/>
      </c>
      <c r="N316" s="26" t="str">
        <f aca="false">IF(B316="","",DB_Colleges!U310&amp;"")</f>
        <v/>
      </c>
      <c r="O316" s="26" t="str">
        <f aca="false">IF(B316="","",IF(ISNUMBER(DB_Colleges!AH310),DB_Colleges!AH310,"Check"))</f>
        <v/>
      </c>
      <c r="P316" s="26" t="str">
        <f aca="false">IF(B316="","",DB_Colleges!W310&amp;"")</f>
        <v/>
      </c>
      <c r="Q316" s="30" t="str">
        <f aca="false">IF(OR(B316="",NOT(ISNUMBER(DB_Colleges!AF310))),"",DB_Colleges!AF310)</f>
        <v/>
      </c>
      <c r="R316" s="28" t="str">
        <f aca="false">IF(OR(B316="",NOT(ISNUMBER(DB_Colleges!AG310))),"",DB_Colleges!AG310)</f>
        <v/>
      </c>
      <c r="S316" s="26" t="str">
        <f aca="false">IF(B316="","",DB_Colleges!AK310&amp;"")</f>
        <v/>
      </c>
      <c r="T316" s="26" t="str">
        <f aca="false">IF(B316="","",DB_Colleges!AI310&amp;"")</f>
        <v/>
      </c>
      <c r="U316" s="1" t="str">
        <f aca="false">IF(AND(ISNUMBER($X$4),ISNUMBER(DB_Colleges!Z310),ISNUMBER(DB_Colleges!AA310)),IF($X$4&gt;=DB_Colleges!AA310,1,IF($X$4&lt;DB_Colleges!Z310,-1,0)),"")</f>
        <v/>
      </c>
      <c r="V316" s="1" t="str">
        <f aca="false">IF(AND(ISNUMBER($Y$4),ISNUMBER(DB_Colleges!AD310)),IF($Y$4&gt;=DB_Colleges!AD310+0.15,1,IF($Y$4&lt;DB_Colleges!AD310-0.2,-1,0)),"")</f>
        <v/>
      </c>
      <c r="W316" s="1" t="n">
        <f aca="false">IF(COUNT(U316:V316)=0,0,MIN(U316:V316))</f>
        <v>0</v>
      </c>
    </row>
    <row r="317" customFormat="false" ht="15" hidden="false" customHeight="true" outlineLevel="0" collapsed="false">
      <c r="A317" s="26" t="str">
        <f aca="false">IF(B317="","",IF(COUNTIF('My Colleges'!$B$8:$B$27,B317)&gt;0,"On list",""))</f>
        <v/>
      </c>
      <c r="B317" s="27" t="str">
        <f aca="false">IF(DB_Colleges!A311="","",DB_Colleges!A311)</f>
        <v/>
      </c>
      <c r="C317" s="26" t="str">
        <f aca="false">IF(B317="","",DB_Colleges!B311)</f>
        <v/>
      </c>
      <c r="D317" s="26" t="str">
        <f aca="false">IF(B317="","",DB_Colleges!C311&amp;", "&amp;DB_Colleges!D311)</f>
        <v/>
      </c>
      <c r="E317" s="26" t="str">
        <f aca="false">IF(B317="","",IF(AND(NOT(ISNUMBER($X$4)),NOT(ISNUMBER($Y$4))),"Add scores",IF(NOT(ISNUMBER(DB_Colleges!Y311)),IF(OR(C317="Ivy League",C317="Highly Selective"),"Reach",IF(COUNT(U317:V317)=0,"No data",CHOOSE(W317+2,"Reach","Target","Likely"))),IF(DB_Colleges!Y311&lt;0.15,"Reach",IF(DB_Colleges!Y311&gt;=0.75,IF(W317&gt;=0,"Likely","Target"),IF(DB_Colleges!Y311&gt;=0.4,CHOOSE(W317+2,"Reach","Target","Likely"),IF(W317=1,"Target","Reach")))))))</f>
        <v/>
      </c>
      <c r="F317" s="28" t="str">
        <f aca="false">IF(OR(B317="",NOT(ISNUMBER(DB_Colleges!Y311))),"",DB_Colleges!Y311)</f>
        <v/>
      </c>
      <c r="G317" s="26" t="str">
        <f aca="false">IF(OR(B317="",NOT(ISNUMBER(DB_Colleges!Z311))),"",DB_Colleges!Z311&amp;"-"&amp;DB_Colleges!AA311)</f>
        <v/>
      </c>
      <c r="H317" s="26" t="str">
        <f aca="false">IF(OR(B317="",NOT(ISNUMBER(DB_Colleges!AD311))),"",DB_Colleges!AD311)</f>
        <v/>
      </c>
      <c r="I317" s="29" t="str">
        <f aca="false">IF(B317="","",IF(COUNT(DB_Colleges!I311:O311)=0,IF(DB_Colleges!P311="Yes","Rolling","Check site"),MIN(DB_Colleges!I311:O311)))</f>
        <v/>
      </c>
      <c r="J317" s="26" t="str">
        <f aca="false">IF(OR(B317="",COUNT(DB_Colleges!I311:O311)=0),"",INDEX({"ED","ED II","EA","EA II","REA","RD","Priority"},MATCH(MIN(DB_Colleges!I311:O311),DB_Colleges!I311:O311,0)))</f>
        <v/>
      </c>
      <c r="K317" s="29" t="str">
        <f aca="false">IF(OR(B317="",NOT(ISNUMBER(DB_Colleges!N311))),"",DB_Colleges!N311)</f>
        <v/>
      </c>
      <c r="L317" s="26" t="str">
        <f aca="false">IF(B317="","",DB_Colleges!G311&amp;"")</f>
        <v/>
      </c>
      <c r="M317" s="30" t="str">
        <f aca="false">IF(OR(B317="",NOT(ISNUMBER(DB_Colleges!S311))),"",DB_Colleges!S311)</f>
        <v/>
      </c>
      <c r="N317" s="26" t="str">
        <f aca="false">IF(B317="","",DB_Colleges!U311&amp;"")</f>
        <v/>
      </c>
      <c r="O317" s="26" t="str">
        <f aca="false">IF(B317="","",IF(ISNUMBER(DB_Colleges!AH311),DB_Colleges!AH311,"Check"))</f>
        <v/>
      </c>
      <c r="P317" s="26" t="str">
        <f aca="false">IF(B317="","",DB_Colleges!W311&amp;"")</f>
        <v/>
      </c>
      <c r="Q317" s="30" t="str">
        <f aca="false">IF(OR(B317="",NOT(ISNUMBER(DB_Colleges!AF311))),"",DB_Colleges!AF311)</f>
        <v/>
      </c>
      <c r="R317" s="28" t="str">
        <f aca="false">IF(OR(B317="",NOT(ISNUMBER(DB_Colleges!AG311))),"",DB_Colleges!AG311)</f>
        <v/>
      </c>
      <c r="S317" s="26" t="str">
        <f aca="false">IF(B317="","",DB_Colleges!AK311&amp;"")</f>
        <v/>
      </c>
      <c r="T317" s="26" t="str">
        <f aca="false">IF(B317="","",DB_Colleges!AI311&amp;"")</f>
        <v/>
      </c>
      <c r="U317" s="1" t="str">
        <f aca="false">IF(AND(ISNUMBER($X$4),ISNUMBER(DB_Colleges!Z311),ISNUMBER(DB_Colleges!AA311)),IF($X$4&gt;=DB_Colleges!AA311,1,IF($X$4&lt;DB_Colleges!Z311,-1,0)),"")</f>
        <v/>
      </c>
      <c r="V317" s="1" t="str">
        <f aca="false">IF(AND(ISNUMBER($Y$4),ISNUMBER(DB_Colleges!AD311)),IF($Y$4&gt;=DB_Colleges!AD311+0.15,1,IF($Y$4&lt;DB_Colleges!AD311-0.2,-1,0)),"")</f>
        <v/>
      </c>
      <c r="W317" s="1" t="n">
        <f aca="false">IF(COUNT(U317:V317)=0,0,MIN(U317:V317))</f>
        <v>0</v>
      </c>
    </row>
    <row r="318" customFormat="false" ht="15" hidden="false" customHeight="true" outlineLevel="0" collapsed="false">
      <c r="A318" s="26" t="str">
        <f aca="false">IF(B318="","",IF(COUNTIF('My Colleges'!$B$8:$B$27,B318)&gt;0,"On list",""))</f>
        <v/>
      </c>
      <c r="B318" s="27" t="str">
        <f aca="false">IF(DB_Colleges!A312="","",DB_Colleges!A312)</f>
        <v/>
      </c>
      <c r="C318" s="26" t="str">
        <f aca="false">IF(B318="","",DB_Colleges!B312)</f>
        <v/>
      </c>
      <c r="D318" s="26" t="str">
        <f aca="false">IF(B318="","",DB_Colleges!C312&amp;", "&amp;DB_Colleges!D312)</f>
        <v/>
      </c>
      <c r="E318" s="26" t="str">
        <f aca="false">IF(B318="","",IF(AND(NOT(ISNUMBER($X$4)),NOT(ISNUMBER($Y$4))),"Add scores",IF(NOT(ISNUMBER(DB_Colleges!Y312)),IF(OR(C318="Ivy League",C318="Highly Selective"),"Reach",IF(COUNT(U318:V318)=0,"No data",CHOOSE(W318+2,"Reach","Target","Likely"))),IF(DB_Colleges!Y312&lt;0.15,"Reach",IF(DB_Colleges!Y312&gt;=0.75,IF(W318&gt;=0,"Likely","Target"),IF(DB_Colleges!Y312&gt;=0.4,CHOOSE(W318+2,"Reach","Target","Likely"),IF(W318=1,"Target","Reach")))))))</f>
        <v/>
      </c>
      <c r="F318" s="28" t="str">
        <f aca="false">IF(OR(B318="",NOT(ISNUMBER(DB_Colleges!Y312))),"",DB_Colleges!Y312)</f>
        <v/>
      </c>
      <c r="G318" s="26" t="str">
        <f aca="false">IF(OR(B318="",NOT(ISNUMBER(DB_Colleges!Z312))),"",DB_Colleges!Z312&amp;"-"&amp;DB_Colleges!AA312)</f>
        <v/>
      </c>
      <c r="H318" s="26" t="str">
        <f aca="false">IF(OR(B318="",NOT(ISNUMBER(DB_Colleges!AD312))),"",DB_Colleges!AD312)</f>
        <v/>
      </c>
      <c r="I318" s="29" t="str">
        <f aca="false">IF(B318="","",IF(COUNT(DB_Colleges!I312:O312)=0,IF(DB_Colleges!P312="Yes","Rolling","Check site"),MIN(DB_Colleges!I312:O312)))</f>
        <v/>
      </c>
      <c r="J318" s="26" t="str">
        <f aca="false">IF(OR(B318="",COUNT(DB_Colleges!I312:O312)=0),"",INDEX({"ED","ED II","EA","EA II","REA","RD","Priority"},MATCH(MIN(DB_Colleges!I312:O312),DB_Colleges!I312:O312,0)))</f>
        <v/>
      </c>
      <c r="K318" s="29" t="str">
        <f aca="false">IF(OR(B318="",NOT(ISNUMBER(DB_Colleges!N312))),"",DB_Colleges!N312)</f>
        <v/>
      </c>
      <c r="L318" s="26" t="str">
        <f aca="false">IF(B318="","",DB_Colleges!G312&amp;"")</f>
        <v/>
      </c>
      <c r="M318" s="30" t="str">
        <f aca="false">IF(OR(B318="",NOT(ISNUMBER(DB_Colleges!S312))),"",DB_Colleges!S312)</f>
        <v/>
      </c>
      <c r="N318" s="26" t="str">
        <f aca="false">IF(B318="","",DB_Colleges!U312&amp;"")</f>
        <v/>
      </c>
      <c r="O318" s="26" t="str">
        <f aca="false">IF(B318="","",IF(ISNUMBER(DB_Colleges!AH312),DB_Colleges!AH312,"Check"))</f>
        <v/>
      </c>
      <c r="P318" s="26" t="str">
        <f aca="false">IF(B318="","",DB_Colleges!W312&amp;"")</f>
        <v/>
      </c>
      <c r="Q318" s="30" t="str">
        <f aca="false">IF(OR(B318="",NOT(ISNUMBER(DB_Colleges!AF312))),"",DB_Colleges!AF312)</f>
        <v/>
      </c>
      <c r="R318" s="28" t="str">
        <f aca="false">IF(OR(B318="",NOT(ISNUMBER(DB_Colleges!AG312))),"",DB_Colleges!AG312)</f>
        <v/>
      </c>
      <c r="S318" s="26" t="str">
        <f aca="false">IF(B318="","",DB_Colleges!AK312&amp;"")</f>
        <v/>
      </c>
      <c r="T318" s="26" t="str">
        <f aca="false">IF(B318="","",DB_Colleges!AI312&amp;"")</f>
        <v/>
      </c>
      <c r="U318" s="1" t="str">
        <f aca="false">IF(AND(ISNUMBER($X$4),ISNUMBER(DB_Colleges!Z312),ISNUMBER(DB_Colleges!AA312)),IF($X$4&gt;=DB_Colleges!AA312,1,IF($X$4&lt;DB_Colleges!Z312,-1,0)),"")</f>
        <v/>
      </c>
      <c r="V318" s="1" t="str">
        <f aca="false">IF(AND(ISNUMBER($Y$4),ISNUMBER(DB_Colleges!AD312)),IF($Y$4&gt;=DB_Colleges!AD312+0.15,1,IF($Y$4&lt;DB_Colleges!AD312-0.2,-1,0)),"")</f>
        <v/>
      </c>
      <c r="W318" s="1" t="n">
        <f aca="false">IF(COUNT(U318:V318)=0,0,MIN(U318:V318))</f>
        <v>0</v>
      </c>
    </row>
    <row r="319" customFormat="false" ht="15" hidden="false" customHeight="true" outlineLevel="0" collapsed="false">
      <c r="A319" s="26" t="str">
        <f aca="false">IF(B319="","",IF(COUNTIF('My Colleges'!$B$8:$B$27,B319)&gt;0,"On list",""))</f>
        <v/>
      </c>
      <c r="B319" s="27" t="str">
        <f aca="false">IF(DB_Colleges!A313="","",DB_Colleges!A313)</f>
        <v/>
      </c>
      <c r="C319" s="26" t="str">
        <f aca="false">IF(B319="","",DB_Colleges!B313)</f>
        <v/>
      </c>
      <c r="D319" s="26" t="str">
        <f aca="false">IF(B319="","",DB_Colleges!C313&amp;", "&amp;DB_Colleges!D313)</f>
        <v/>
      </c>
      <c r="E319" s="26" t="str">
        <f aca="false">IF(B319="","",IF(AND(NOT(ISNUMBER($X$4)),NOT(ISNUMBER($Y$4))),"Add scores",IF(NOT(ISNUMBER(DB_Colleges!Y313)),IF(OR(C319="Ivy League",C319="Highly Selective"),"Reach",IF(COUNT(U319:V319)=0,"No data",CHOOSE(W319+2,"Reach","Target","Likely"))),IF(DB_Colleges!Y313&lt;0.15,"Reach",IF(DB_Colleges!Y313&gt;=0.75,IF(W319&gt;=0,"Likely","Target"),IF(DB_Colleges!Y313&gt;=0.4,CHOOSE(W319+2,"Reach","Target","Likely"),IF(W319=1,"Target","Reach")))))))</f>
        <v/>
      </c>
      <c r="F319" s="28" t="str">
        <f aca="false">IF(OR(B319="",NOT(ISNUMBER(DB_Colleges!Y313))),"",DB_Colleges!Y313)</f>
        <v/>
      </c>
      <c r="G319" s="26" t="str">
        <f aca="false">IF(OR(B319="",NOT(ISNUMBER(DB_Colleges!Z313))),"",DB_Colleges!Z313&amp;"-"&amp;DB_Colleges!AA313)</f>
        <v/>
      </c>
      <c r="H319" s="26" t="str">
        <f aca="false">IF(OR(B319="",NOT(ISNUMBER(DB_Colleges!AD313))),"",DB_Colleges!AD313)</f>
        <v/>
      </c>
      <c r="I319" s="29" t="str">
        <f aca="false">IF(B319="","",IF(COUNT(DB_Colleges!I313:O313)=0,IF(DB_Colleges!P313="Yes","Rolling","Check site"),MIN(DB_Colleges!I313:O313)))</f>
        <v/>
      </c>
      <c r="J319" s="26" t="str">
        <f aca="false">IF(OR(B319="",COUNT(DB_Colleges!I313:O313)=0),"",INDEX({"ED","ED II","EA","EA II","REA","RD","Priority"},MATCH(MIN(DB_Colleges!I313:O313),DB_Colleges!I313:O313,0)))</f>
        <v/>
      </c>
      <c r="K319" s="29" t="str">
        <f aca="false">IF(OR(B319="",NOT(ISNUMBER(DB_Colleges!N313))),"",DB_Colleges!N313)</f>
        <v/>
      </c>
      <c r="L319" s="26" t="str">
        <f aca="false">IF(B319="","",DB_Colleges!G313&amp;"")</f>
        <v/>
      </c>
      <c r="M319" s="30" t="str">
        <f aca="false">IF(OR(B319="",NOT(ISNUMBER(DB_Colleges!S313))),"",DB_Colleges!S313)</f>
        <v/>
      </c>
      <c r="N319" s="26" t="str">
        <f aca="false">IF(B319="","",DB_Colleges!U313&amp;"")</f>
        <v/>
      </c>
      <c r="O319" s="26" t="str">
        <f aca="false">IF(B319="","",IF(ISNUMBER(DB_Colleges!AH313),DB_Colleges!AH313,"Check"))</f>
        <v/>
      </c>
      <c r="P319" s="26" t="str">
        <f aca="false">IF(B319="","",DB_Colleges!W313&amp;"")</f>
        <v/>
      </c>
      <c r="Q319" s="30" t="str">
        <f aca="false">IF(OR(B319="",NOT(ISNUMBER(DB_Colleges!AF313))),"",DB_Colleges!AF313)</f>
        <v/>
      </c>
      <c r="R319" s="28" t="str">
        <f aca="false">IF(OR(B319="",NOT(ISNUMBER(DB_Colleges!AG313))),"",DB_Colleges!AG313)</f>
        <v/>
      </c>
      <c r="S319" s="26" t="str">
        <f aca="false">IF(B319="","",DB_Colleges!AK313&amp;"")</f>
        <v/>
      </c>
      <c r="T319" s="26" t="str">
        <f aca="false">IF(B319="","",DB_Colleges!AI313&amp;"")</f>
        <v/>
      </c>
      <c r="U319" s="1" t="str">
        <f aca="false">IF(AND(ISNUMBER($X$4),ISNUMBER(DB_Colleges!Z313),ISNUMBER(DB_Colleges!AA313)),IF($X$4&gt;=DB_Colleges!AA313,1,IF($X$4&lt;DB_Colleges!Z313,-1,0)),"")</f>
        <v/>
      </c>
      <c r="V319" s="1" t="str">
        <f aca="false">IF(AND(ISNUMBER($Y$4),ISNUMBER(DB_Colleges!AD313)),IF($Y$4&gt;=DB_Colleges!AD313+0.15,1,IF($Y$4&lt;DB_Colleges!AD313-0.2,-1,0)),"")</f>
        <v/>
      </c>
      <c r="W319" s="1" t="n">
        <f aca="false">IF(COUNT(U319:V319)=0,0,MIN(U319:V319))</f>
        <v>0</v>
      </c>
    </row>
    <row r="320" customFormat="false" ht="15" hidden="false" customHeight="true" outlineLevel="0" collapsed="false">
      <c r="A320" s="26" t="str">
        <f aca="false">IF(B320="","",IF(COUNTIF('My Colleges'!$B$8:$B$27,B320)&gt;0,"On list",""))</f>
        <v/>
      </c>
      <c r="B320" s="27" t="str">
        <f aca="false">IF(DB_Colleges!A314="","",DB_Colleges!A314)</f>
        <v/>
      </c>
      <c r="C320" s="26" t="str">
        <f aca="false">IF(B320="","",DB_Colleges!B314)</f>
        <v/>
      </c>
      <c r="D320" s="26" t="str">
        <f aca="false">IF(B320="","",DB_Colleges!C314&amp;", "&amp;DB_Colleges!D314)</f>
        <v/>
      </c>
      <c r="E320" s="26" t="str">
        <f aca="false">IF(B320="","",IF(AND(NOT(ISNUMBER($X$4)),NOT(ISNUMBER($Y$4))),"Add scores",IF(NOT(ISNUMBER(DB_Colleges!Y314)),IF(OR(C320="Ivy League",C320="Highly Selective"),"Reach",IF(COUNT(U320:V320)=0,"No data",CHOOSE(W320+2,"Reach","Target","Likely"))),IF(DB_Colleges!Y314&lt;0.15,"Reach",IF(DB_Colleges!Y314&gt;=0.75,IF(W320&gt;=0,"Likely","Target"),IF(DB_Colleges!Y314&gt;=0.4,CHOOSE(W320+2,"Reach","Target","Likely"),IF(W320=1,"Target","Reach")))))))</f>
        <v/>
      </c>
      <c r="F320" s="28" t="str">
        <f aca="false">IF(OR(B320="",NOT(ISNUMBER(DB_Colleges!Y314))),"",DB_Colleges!Y314)</f>
        <v/>
      </c>
      <c r="G320" s="26" t="str">
        <f aca="false">IF(OR(B320="",NOT(ISNUMBER(DB_Colleges!Z314))),"",DB_Colleges!Z314&amp;"-"&amp;DB_Colleges!AA314)</f>
        <v/>
      </c>
      <c r="H320" s="26" t="str">
        <f aca="false">IF(OR(B320="",NOT(ISNUMBER(DB_Colleges!AD314))),"",DB_Colleges!AD314)</f>
        <v/>
      </c>
      <c r="I320" s="29" t="str">
        <f aca="false">IF(B320="","",IF(COUNT(DB_Colleges!I314:O314)=0,IF(DB_Colleges!P314="Yes","Rolling","Check site"),MIN(DB_Colleges!I314:O314)))</f>
        <v/>
      </c>
      <c r="J320" s="26" t="str">
        <f aca="false">IF(OR(B320="",COUNT(DB_Colleges!I314:O314)=0),"",INDEX({"ED","ED II","EA","EA II","REA","RD","Priority"},MATCH(MIN(DB_Colleges!I314:O314),DB_Colleges!I314:O314,0)))</f>
        <v/>
      </c>
      <c r="K320" s="29" t="str">
        <f aca="false">IF(OR(B320="",NOT(ISNUMBER(DB_Colleges!N314))),"",DB_Colleges!N314)</f>
        <v/>
      </c>
      <c r="L320" s="26" t="str">
        <f aca="false">IF(B320="","",DB_Colleges!G314&amp;"")</f>
        <v/>
      </c>
      <c r="M320" s="30" t="str">
        <f aca="false">IF(OR(B320="",NOT(ISNUMBER(DB_Colleges!S314))),"",DB_Colleges!S314)</f>
        <v/>
      </c>
      <c r="N320" s="26" t="str">
        <f aca="false">IF(B320="","",DB_Colleges!U314&amp;"")</f>
        <v/>
      </c>
      <c r="O320" s="26" t="str">
        <f aca="false">IF(B320="","",IF(ISNUMBER(DB_Colleges!AH314),DB_Colleges!AH314,"Check"))</f>
        <v/>
      </c>
      <c r="P320" s="26" t="str">
        <f aca="false">IF(B320="","",DB_Colleges!W314&amp;"")</f>
        <v/>
      </c>
      <c r="Q320" s="30" t="str">
        <f aca="false">IF(OR(B320="",NOT(ISNUMBER(DB_Colleges!AF314))),"",DB_Colleges!AF314)</f>
        <v/>
      </c>
      <c r="R320" s="28" t="str">
        <f aca="false">IF(OR(B320="",NOT(ISNUMBER(DB_Colleges!AG314))),"",DB_Colleges!AG314)</f>
        <v/>
      </c>
      <c r="S320" s="26" t="str">
        <f aca="false">IF(B320="","",DB_Colleges!AK314&amp;"")</f>
        <v/>
      </c>
      <c r="T320" s="26" t="str">
        <f aca="false">IF(B320="","",DB_Colleges!AI314&amp;"")</f>
        <v/>
      </c>
      <c r="U320" s="1" t="str">
        <f aca="false">IF(AND(ISNUMBER($X$4),ISNUMBER(DB_Colleges!Z314),ISNUMBER(DB_Colleges!AA314)),IF($X$4&gt;=DB_Colleges!AA314,1,IF($X$4&lt;DB_Colleges!Z314,-1,0)),"")</f>
        <v/>
      </c>
      <c r="V320" s="1" t="str">
        <f aca="false">IF(AND(ISNUMBER($Y$4),ISNUMBER(DB_Colleges!AD314)),IF($Y$4&gt;=DB_Colleges!AD314+0.15,1,IF($Y$4&lt;DB_Colleges!AD314-0.2,-1,0)),"")</f>
        <v/>
      </c>
      <c r="W320" s="1" t="n">
        <f aca="false">IF(COUNT(U320:V320)=0,0,MIN(U320:V320))</f>
        <v>0</v>
      </c>
    </row>
    <row r="321" customFormat="false" ht="15" hidden="false" customHeight="true" outlineLevel="0" collapsed="false">
      <c r="A321" s="26" t="str">
        <f aca="false">IF(B321="","",IF(COUNTIF('My Colleges'!$B$8:$B$27,B321)&gt;0,"On list",""))</f>
        <v/>
      </c>
      <c r="B321" s="27" t="str">
        <f aca="false">IF(DB_Colleges!A315="","",DB_Colleges!A315)</f>
        <v/>
      </c>
      <c r="C321" s="26" t="str">
        <f aca="false">IF(B321="","",DB_Colleges!B315)</f>
        <v/>
      </c>
      <c r="D321" s="26" t="str">
        <f aca="false">IF(B321="","",DB_Colleges!C315&amp;", "&amp;DB_Colleges!D315)</f>
        <v/>
      </c>
      <c r="E321" s="26" t="str">
        <f aca="false">IF(B321="","",IF(AND(NOT(ISNUMBER($X$4)),NOT(ISNUMBER($Y$4))),"Add scores",IF(NOT(ISNUMBER(DB_Colleges!Y315)),IF(OR(C321="Ivy League",C321="Highly Selective"),"Reach",IF(COUNT(U321:V321)=0,"No data",CHOOSE(W321+2,"Reach","Target","Likely"))),IF(DB_Colleges!Y315&lt;0.15,"Reach",IF(DB_Colleges!Y315&gt;=0.75,IF(W321&gt;=0,"Likely","Target"),IF(DB_Colleges!Y315&gt;=0.4,CHOOSE(W321+2,"Reach","Target","Likely"),IF(W321=1,"Target","Reach")))))))</f>
        <v/>
      </c>
      <c r="F321" s="28" t="str">
        <f aca="false">IF(OR(B321="",NOT(ISNUMBER(DB_Colleges!Y315))),"",DB_Colleges!Y315)</f>
        <v/>
      </c>
      <c r="G321" s="26" t="str">
        <f aca="false">IF(OR(B321="",NOT(ISNUMBER(DB_Colleges!Z315))),"",DB_Colleges!Z315&amp;"-"&amp;DB_Colleges!AA315)</f>
        <v/>
      </c>
      <c r="H321" s="26" t="str">
        <f aca="false">IF(OR(B321="",NOT(ISNUMBER(DB_Colleges!AD315))),"",DB_Colleges!AD315)</f>
        <v/>
      </c>
      <c r="I321" s="29" t="str">
        <f aca="false">IF(B321="","",IF(COUNT(DB_Colleges!I315:O315)=0,IF(DB_Colleges!P315="Yes","Rolling","Check site"),MIN(DB_Colleges!I315:O315)))</f>
        <v/>
      </c>
      <c r="J321" s="26" t="str">
        <f aca="false">IF(OR(B321="",COUNT(DB_Colleges!I315:O315)=0),"",INDEX({"ED","ED II","EA","EA II","REA","RD","Priority"},MATCH(MIN(DB_Colleges!I315:O315),DB_Colleges!I315:O315,0)))</f>
        <v/>
      </c>
      <c r="K321" s="29" t="str">
        <f aca="false">IF(OR(B321="",NOT(ISNUMBER(DB_Colleges!N315))),"",DB_Colleges!N315)</f>
        <v/>
      </c>
      <c r="L321" s="26" t="str">
        <f aca="false">IF(B321="","",DB_Colleges!G315&amp;"")</f>
        <v/>
      </c>
      <c r="M321" s="30" t="str">
        <f aca="false">IF(OR(B321="",NOT(ISNUMBER(DB_Colleges!S315))),"",DB_Colleges!S315)</f>
        <v/>
      </c>
      <c r="N321" s="26" t="str">
        <f aca="false">IF(B321="","",DB_Colleges!U315&amp;"")</f>
        <v/>
      </c>
      <c r="O321" s="26" t="str">
        <f aca="false">IF(B321="","",IF(ISNUMBER(DB_Colleges!AH315),DB_Colleges!AH315,"Check"))</f>
        <v/>
      </c>
      <c r="P321" s="26" t="str">
        <f aca="false">IF(B321="","",DB_Colleges!W315&amp;"")</f>
        <v/>
      </c>
      <c r="Q321" s="30" t="str">
        <f aca="false">IF(OR(B321="",NOT(ISNUMBER(DB_Colleges!AF315))),"",DB_Colleges!AF315)</f>
        <v/>
      </c>
      <c r="R321" s="28" t="str">
        <f aca="false">IF(OR(B321="",NOT(ISNUMBER(DB_Colleges!AG315))),"",DB_Colleges!AG315)</f>
        <v/>
      </c>
      <c r="S321" s="26" t="str">
        <f aca="false">IF(B321="","",DB_Colleges!AK315&amp;"")</f>
        <v/>
      </c>
      <c r="T321" s="26" t="str">
        <f aca="false">IF(B321="","",DB_Colleges!AI315&amp;"")</f>
        <v/>
      </c>
      <c r="U321" s="1" t="str">
        <f aca="false">IF(AND(ISNUMBER($X$4),ISNUMBER(DB_Colleges!Z315),ISNUMBER(DB_Colleges!AA315)),IF($X$4&gt;=DB_Colleges!AA315,1,IF($X$4&lt;DB_Colleges!Z315,-1,0)),"")</f>
        <v/>
      </c>
      <c r="V321" s="1" t="str">
        <f aca="false">IF(AND(ISNUMBER($Y$4),ISNUMBER(DB_Colleges!AD315)),IF($Y$4&gt;=DB_Colleges!AD315+0.15,1,IF($Y$4&lt;DB_Colleges!AD315-0.2,-1,0)),"")</f>
        <v/>
      </c>
      <c r="W321" s="1" t="n">
        <f aca="false">IF(COUNT(U321:V321)=0,0,MIN(U321:V321))</f>
        <v>0</v>
      </c>
    </row>
    <row r="322" customFormat="false" ht="15" hidden="false" customHeight="true" outlineLevel="0" collapsed="false">
      <c r="A322" s="26" t="str">
        <f aca="false">IF(B322="","",IF(COUNTIF('My Colleges'!$B$8:$B$27,B322)&gt;0,"On list",""))</f>
        <v/>
      </c>
      <c r="B322" s="27" t="str">
        <f aca="false">IF(DB_Colleges!A316="","",DB_Colleges!A316)</f>
        <v/>
      </c>
      <c r="C322" s="26" t="str">
        <f aca="false">IF(B322="","",DB_Colleges!B316)</f>
        <v/>
      </c>
      <c r="D322" s="26" t="str">
        <f aca="false">IF(B322="","",DB_Colleges!C316&amp;", "&amp;DB_Colleges!D316)</f>
        <v/>
      </c>
      <c r="E322" s="26" t="str">
        <f aca="false">IF(B322="","",IF(AND(NOT(ISNUMBER($X$4)),NOT(ISNUMBER($Y$4))),"Add scores",IF(NOT(ISNUMBER(DB_Colleges!Y316)),IF(OR(C322="Ivy League",C322="Highly Selective"),"Reach",IF(COUNT(U322:V322)=0,"No data",CHOOSE(W322+2,"Reach","Target","Likely"))),IF(DB_Colleges!Y316&lt;0.15,"Reach",IF(DB_Colleges!Y316&gt;=0.75,IF(W322&gt;=0,"Likely","Target"),IF(DB_Colleges!Y316&gt;=0.4,CHOOSE(W322+2,"Reach","Target","Likely"),IF(W322=1,"Target","Reach")))))))</f>
        <v/>
      </c>
      <c r="F322" s="28" t="str">
        <f aca="false">IF(OR(B322="",NOT(ISNUMBER(DB_Colleges!Y316))),"",DB_Colleges!Y316)</f>
        <v/>
      </c>
      <c r="G322" s="26" t="str">
        <f aca="false">IF(OR(B322="",NOT(ISNUMBER(DB_Colleges!Z316))),"",DB_Colleges!Z316&amp;"-"&amp;DB_Colleges!AA316)</f>
        <v/>
      </c>
      <c r="H322" s="26" t="str">
        <f aca="false">IF(OR(B322="",NOT(ISNUMBER(DB_Colleges!AD316))),"",DB_Colleges!AD316)</f>
        <v/>
      </c>
      <c r="I322" s="29" t="str">
        <f aca="false">IF(B322="","",IF(COUNT(DB_Colleges!I316:O316)=0,IF(DB_Colleges!P316="Yes","Rolling","Check site"),MIN(DB_Colleges!I316:O316)))</f>
        <v/>
      </c>
      <c r="J322" s="26" t="str">
        <f aca="false">IF(OR(B322="",COUNT(DB_Colleges!I316:O316)=0),"",INDEX({"ED","ED II","EA","EA II","REA","RD","Priority"},MATCH(MIN(DB_Colleges!I316:O316),DB_Colleges!I316:O316,0)))</f>
        <v/>
      </c>
      <c r="K322" s="29" t="str">
        <f aca="false">IF(OR(B322="",NOT(ISNUMBER(DB_Colleges!N316))),"",DB_Colleges!N316)</f>
        <v/>
      </c>
      <c r="L322" s="26" t="str">
        <f aca="false">IF(B322="","",DB_Colleges!G316&amp;"")</f>
        <v/>
      </c>
      <c r="M322" s="30" t="str">
        <f aca="false">IF(OR(B322="",NOT(ISNUMBER(DB_Colleges!S316))),"",DB_Colleges!S316)</f>
        <v/>
      </c>
      <c r="N322" s="26" t="str">
        <f aca="false">IF(B322="","",DB_Colleges!U316&amp;"")</f>
        <v/>
      </c>
      <c r="O322" s="26" t="str">
        <f aca="false">IF(B322="","",IF(ISNUMBER(DB_Colleges!AH316),DB_Colleges!AH316,"Check"))</f>
        <v/>
      </c>
      <c r="P322" s="26" t="str">
        <f aca="false">IF(B322="","",DB_Colleges!W316&amp;"")</f>
        <v/>
      </c>
      <c r="Q322" s="30" t="str">
        <f aca="false">IF(OR(B322="",NOT(ISNUMBER(DB_Colleges!AF316))),"",DB_Colleges!AF316)</f>
        <v/>
      </c>
      <c r="R322" s="28" t="str">
        <f aca="false">IF(OR(B322="",NOT(ISNUMBER(DB_Colleges!AG316))),"",DB_Colleges!AG316)</f>
        <v/>
      </c>
      <c r="S322" s="26" t="str">
        <f aca="false">IF(B322="","",DB_Colleges!AK316&amp;"")</f>
        <v/>
      </c>
      <c r="T322" s="26" t="str">
        <f aca="false">IF(B322="","",DB_Colleges!AI316&amp;"")</f>
        <v/>
      </c>
      <c r="U322" s="1" t="str">
        <f aca="false">IF(AND(ISNUMBER($X$4),ISNUMBER(DB_Colleges!Z316),ISNUMBER(DB_Colleges!AA316)),IF($X$4&gt;=DB_Colleges!AA316,1,IF($X$4&lt;DB_Colleges!Z316,-1,0)),"")</f>
        <v/>
      </c>
      <c r="V322" s="1" t="str">
        <f aca="false">IF(AND(ISNUMBER($Y$4),ISNUMBER(DB_Colleges!AD316)),IF($Y$4&gt;=DB_Colleges!AD316+0.15,1,IF($Y$4&lt;DB_Colleges!AD316-0.2,-1,0)),"")</f>
        <v/>
      </c>
      <c r="W322" s="1" t="n">
        <f aca="false">IF(COUNT(U322:V322)=0,0,MIN(U322:V322))</f>
        <v>0</v>
      </c>
    </row>
    <row r="323" customFormat="false" ht="15" hidden="false" customHeight="true" outlineLevel="0" collapsed="false">
      <c r="A323" s="26" t="str">
        <f aca="false">IF(B323="","",IF(COUNTIF('My Colleges'!$B$8:$B$27,B323)&gt;0,"On list",""))</f>
        <v/>
      </c>
      <c r="B323" s="27" t="str">
        <f aca="false">IF(DB_Colleges!A317="","",DB_Colleges!A317)</f>
        <v/>
      </c>
      <c r="C323" s="26" t="str">
        <f aca="false">IF(B323="","",DB_Colleges!B317)</f>
        <v/>
      </c>
      <c r="D323" s="26" t="str">
        <f aca="false">IF(B323="","",DB_Colleges!C317&amp;", "&amp;DB_Colleges!D317)</f>
        <v/>
      </c>
      <c r="E323" s="26" t="str">
        <f aca="false">IF(B323="","",IF(AND(NOT(ISNUMBER($X$4)),NOT(ISNUMBER($Y$4))),"Add scores",IF(NOT(ISNUMBER(DB_Colleges!Y317)),IF(OR(C323="Ivy League",C323="Highly Selective"),"Reach",IF(COUNT(U323:V323)=0,"No data",CHOOSE(W323+2,"Reach","Target","Likely"))),IF(DB_Colleges!Y317&lt;0.15,"Reach",IF(DB_Colleges!Y317&gt;=0.75,IF(W323&gt;=0,"Likely","Target"),IF(DB_Colleges!Y317&gt;=0.4,CHOOSE(W323+2,"Reach","Target","Likely"),IF(W323=1,"Target","Reach")))))))</f>
        <v/>
      </c>
      <c r="F323" s="28" t="str">
        <f aca="false">IF(OR(B323="",NOT(ISNUMBER(DB_Colleges!Y317))),"",DB_Colleges!Y317)</f>
        <v/>
      </c>
      <c r="G323" s="26" t="str">
        <f aca="false">IF(OR(B323="",NOT(ISNUMBER(DB_Colleges!Z317))),"",DB_Colleges!Z317&amp;"-"&amp;DB_Colleges!AA317)</f>
        <v/>
      </c>
      <c r="H323" s="26" t="str">
        <f aca="false">IF(OR(B323="",NOT(ISNUMBER(DB_Colleges!AD317))),"",DB_Colleges!AD317)</f>
        <v/>
      </c>
      <c r="I323" s="29" t="str">
        <f aca="false">IF(B323="","",IF(COUNT(DB_Colleges!I317:O317)=0,IF(DB_Colleges!P317="Yes","Rolling","Check site"),MIN(DB_Colleges!I317:O317)))</f>
        <v/>
      </c>
      <c r="J323" s="26" t="str">
        <f aca="false">IF(OR(B323="",COUNT(DB_Colleges!I317:O317)=0),"",INDEX({"ED","ED II","EA","EA II","REA","RD","Priority"},MATCH(MIN(DB_Colleges!I317:O317),DB_Colleges!I317:O317,0)))</f>
        <v/>
      </c>
      <c r="K323" s="29" t="str">
        <f aca="false">IF(OR(B323="",NOT(ISNUMBER(DB_Colleges!N317))),"",DB_Colleges!N317)</f>
        <v/>
      </c>
      <c r="L323" s="26" t="str">
        <f aca="false">IF(B323="","",DB_Colleges!G317&amp;"")</f>
        <v/>
      </c>
      <c r="M323" s="30" t="str">
        <f aca="false">IF(OR(B323="",NOT(ISNUMBER(DB_Colleges!S317))),"",DB_Colleges!S317)</f>
        <v/>
      </c>
      <c r="N323" s="26" t="str">
        <f aca="false">IF(B323="","",DB_Colleges!U317&amp;"")</f>
        <v/>
      </c>
      <c r="O323" s="26" t="str">
        <f aca="false">IF(B323="","",IF(ISNUMBER(DB_Colleges!AH317),DB_Colleges!AH317,"Check"))</f>
        <v/>
      </c>
      <c r="P323" s="26" t="str">
        <f aca="false">IF(B323="","",DB_Colleges!W317&amp;"")</f>
        <v/>
      </c>
      <c r="Q323" s="30" t="str">
        <f aca="false">IF(OR(B323="",NOT(ISNUMBER(DB_Colleges!AF317))),"",DB_Colleges!AF317)</f>
        <v/>
      </c>
      <c r="R323" s="28" t="str">
        <f aca="false">IF(OR(B323="",NOT(ISNUMBER(DB_Colleges!AG317))),"",DB_Colleges!AG317)</f>
        <v/>
      </c>
      <c r="S323" s="26" t="str">
        <f aca="false">IF(B323="","",DB_Colleges!AK317&amp;"")</f>
        <v/>
      </c>
      <c r="T323" s="26" t="str">
        <f aca="false">IF(B323="","",DB_Colleges!AI317&amp;"")</f>
        <v/>
      </c>
      <c r="U323" s="1" t="str">
        <f aca="false">IF(AND(ISNUMBER($X$4),ISNUMBER(DB_Colleges!Z317),ISNUMBER(DB_Colleges!AA317)),IF($X$4&gt;=DB_Colleges!AA317,1,IF($X$4&lt;DB_Colleges!Z317,-1,0)),"")</f>
        <v/>
      </c>
      <c r="V323" s="1" t="str">
        <f aca="false">IF(AND(ISNUMBER($Y$4),ISNUMBER(DB_Colleges!AD317)),IF($Y$4&gt;=DB_Colleges!AD317+0.15,1,IF($Y$4&lt;DB_Colleges!AD317-0.2,-1,0)),"")</f>
        <v/>
      </c>
      <c r="W323" s="1" t="n">
        <f aca="false">IF(COUNT(U323:V323)=0,0,MIN(U323:V323))</f>
        <v>0</v>
      </c>
    </row>
    <row r="324" customFormat="false" ht="15" hidden="false" customHeight="true" outlineLevel="0" collapsed="false">
      <c r="A324" s="26" t="str">
        <f aca="false">IF(B324="","",IF(COUNTIF('My Colleges'!$B$8:$B$27,B324)&gt;0,"On list",""))</f>
        <v/>
      </c>
      <c r="B324" s="27" t="str">
        <f aca="false">IF(DB_Colleges!A318="","",DB_Colleges!A318)</f>
        <v/>
      </c>
      <c r="C324" s="26" t="str">
        <f aca="false">IF(B324="","",DB_Colleges!B318)</f>
        <v/>
      </c>
      <c r="D324" s="26" t="str">
        <f aca="false">IF(B324="","",DB_Colleges!C318&amp;", "&amp;DB_Colleges!D318)</f>
        <v/>
      </c>
      <c r="E324" s="26" t="str">
        <f aca="false">IF(B324="","",IF(AND(NOT(ISNUMBER($X$4)),NOT(ISNUMBER($Y$4))),"Add scores",IF(NOT(ISNUMBER(DB_Colleges!Y318)),IF(OR(C324="Ivy League",C324="Highly Selective"),"Reach",IF(COUNT(U324:V324)=0,"No data",CHOOSE(W324+2,"Reach","Target","Likely"))),IF(DB_Colleges!Y318&lt;0.15,"Reach",IF(DB_Colleges!Y318&gt;=0.75,IF(W324&gt;=0,"Likely","Target"),IF(DB_Colleges!Y318&gt;=0.4,CHOOSE(W324+2,"Reach","Target","Likely"),IF(W324=1,"Target","Reach")))))))</f>
        <v/>
      </c>
      <c r="F324" s="28" t="str">
        <f aca="false">IF(OR(B324="",NOT(ISNUMBER(DB_Colleges!Y318))),"",DB_Colleges!Y318)</f>
        <v/>
      </c>
      <c r="G324" s="26" t="str">
        <f aca="false">IF(OR(B324="",NOT(ISNUMBER(DB_Colleges!Z318))),"",DB_Colleges!Z318&amp;"-"&amp;DB_Colleges!AA318)</f>
        <v/>
      </c>
      <c r="H324" s="26" t="str">
        <f aca="false">IF(OR(B324="",NOT(ISNUMBER(DB_Colleges!AD318))),"",DB_Colleges!AD318)</f>
        <v/>
      </c>
      <c r="I324" s="29" t="str">
        <f aca="false">IF(B324="","",IF(COUNT(DB_Colleges!I318:O318)=0,IF(DB_Colleges!P318="Yes","Rolling","Check site"),MIN(DB_Colleges!I318:O318)))</f>
        <v/>
      </c>
      <c r="J324" s="26" t="str">
        <f aca="false">IF(OR(B324="",COUNT(DB_Colleges!I318:O318)=0),"",INDEX({"ED","ED II","EA","EA II","REA","RD","Priority"},MATCH(MIN(DB_Colleges!I318:O318),DB_Colleges!I318:O318,0)))</f>
        <v/>
      </c>
      <c r="K324" s="29" t="str">
        <f aca="false">IF(OR(B324="",NOT(ISNUMBER(DB_Colleges!N318))),"",DB_Colleges!N318)</f>
        <v/>
      </c>
      <c r="L324" s="26" t="str">
        <f aca="false">IF(B324="","",DB_Colleges!G318&amp;"")</f>
        <v/>
      </c>
      <c r="M324" s="30" t="str">
        <f aca="false">IF(OR(B324="",NOT(ISNUMBER(DB_Colleges!S318))),"",DB_Colleges!S318)</f>
        <v/>
      </c>
      <c r="N324" s="26" t="str">
        <f aca="false">IF(B324="","",DB_Colleges!U318&amp;"")</f>
        <v/>
      </c>
      <c r="O324" s="26" t="str">
        <f aca="false">IF(B324="","",IF(ISNUMBER(DB_Colleges!AH318),DB_Colleges!AH318,"Check"))</f>
        <v/>
      </c>
      <c r="P324" s="26" t="str">
        <f aca="false">IF(B324="","",DB_Colleges!W318&amp;"")</f>
        <v/>
      </c>
      <c r="Q324" s="30" t="str">
        <f aca="false">IF(OR(B324="",NOT(ISNUMBER(DB_Colleges!AF318))),"",DB_Colleges!AF318)</f>
        <v/>
      </c>
      <c r="R324" s="28" t="str">
        <f aca="false">IF(OR(B324="",NOT(ISNUMBER(DB_Colleges!AG318))),"",DB_Colleges!AG318)</f>
        <v/>
      </c>
      <c r="S324" s="26" t="str">
        <f aca="false">IF(B324="","",DB_Colleges!AK318&amp;"")</f>
        <v/>
      </c>
      <c r="T324" s="26" t="str">
        <f aca="false">IF(B324="","",DB_Colleges!AI318&amp;"")</f>
        <v/>
      </c>
      <c r="U324" s="1" t="str">
        <f aca="false">IF(AND(ISNUMBER($X$4),ISNUMBER(DB_Colleges!Z318),ISNUMBER(DB_Colleges!AA318)),IF($X$4&gt;=DB_Colleges!AA318,1,IF($X$4&lt;DB_Colleges!Z318,-1,0)),"")</f>
        <v/>
      </c>
      <c r="V324" s="1" t="str">
        <f aca="false">IF(AND(ISNUMBER($Y$4),ISNUMBER(DB_Colleges!AD318)),IF($Y$4&gt;=DB_Colleges!AD318+0.15,1,IF($Y$4&lt;DB_Colleges!AD318-0.2,-1,0)),"")</f>
        <v/>
      </c>
      <c r="W324" s="1" t="n">
        <f aca="false">IF(COUNT(U324:V324)=0,0,MIN(U324:V324))</f>
        <v>0</v>
      </c>
    </row>
    <row r="325" customFormat="false" ht="15" hidden="false" customHeight="true" outlineLevel="0" collapsed="false">
      <c r="A325" s="26" t="str">
        <f aca="false">IF(B325="","",IF(COUNTIF('My Colleges'!$B$8:$B$27,B325)&gt;0,"On list",""))</f>
        <v/>
      </c>
      <c r="B325" s="27" t="str">
        <f aca="false">IF(DB_Colleges!A319="","",DB_Colleges!A319)</f>
        <v/>
      </c>
      <c r="C325" s="26" t="str">
        <f aca="false">IF(B325="","",DB_Colleges!B319)</f>
        <v/>
      </c>
      <c r="D325" s="26" t="str">
        <f aca="false">IF(B325="","",DB_Colleges!C319&amp;", "&amp;DB_Colleges!D319)</f>
        <v/>
      </c>
      <c r="E325" s="26" t="str">
        <f aca="false">IF(B325="","",IF(AND(NOT(ISNUMBER($X$4)),NOT(ISNUMBER($Y$4))),"Add scores",IF(NOT(ISNUMBER(DB_Colleges!Y319)),IF(OR(C325="Ivy League",C325="Highly Selective"),"Reach",IF(COUNT(U325:V325)=0,"No data",CHOOSE(W325+2,"Reach","Target","Likely"))),IF(DB_Colleges!Y319&lt;0.15,"Reach",IF(DB_Colleges!Y319&gt;=0.75,IF(W325&gt;=0,"Likely","Target"),IF(DB_Colleges!Y319&gt;=0.4,CHOOSE(W325+2,"Reach","Target","Likely"),IF(W325=1,"Target","Reach")))))))</f>
        <v/>
      </c>
      <c r="F325" s="28" t="str">
        <f aca="false">IF(OR(B325="",NOT(ISNUMBER(DB_Colleges!Y319))),"",DB_Colleges!Y319)</f>
        <v/>
      </c>
      <c r="G325" s="26" t="str">
        <f aca="false">IF(OR(B325="",NOT(ISNUMBER(DB_Colleges!Z319))),"",DB_Colleges!Z319&amp;"-"&amp;DB_Colleges!AA319)</f>
        <v/>
      </c>
      <c r="H325" s="26" t="str">
        <f aca="false">IF(OR(B325="",NOT(ISNUMBER(DB_Colleges!AD319))),"",DB_Colleges!AD319)</f>
        <v/>
      </c>
      <c r="I325" s="29" t="str">
        <f aca="false">IF(B325="","",IF(COUNT(DB_Colleges!I319:O319)=0,IF(DB_Colleges!P319="Yes","Rolling","Check site"),MIN(DB_Colleges!I319:O319)))</f>
        <v/>
      </c>
      <c r="J325" s="26" t="str">
        <f aca="false">IF(OR(B325="",COUNT(DB_Colleges!I319:O319)=0),"",INDEX({"ED","ED II","EA","EA II","REA","RD","Priority"},MATCH(MIN(DB_Colleges!I319:O319),DB_Colleges!I319:O319,0)))</f>
        <v/>
      </c>
      <c r="K325" s="29" t="str">
        <f aca="false">IF(OR(B325="",NOT(ISNUMBER(DB_Colleges!N319))),"",DB_Colleges!N319)</f>
        <v/>
      </c>
      <c r="L325" s="26" t="str">
        <f aca="false">IF(B325="","",DB_Colleges!G319&amp;"")</f>
        <v/>
      </c>
      <c r="M325" s="30" t="str">
        <f aca="false">IF(OR(B325="",NOT(ISNUMBER(DB_Colleges!S319))),"",DB_Colleges!S319)</f>
        <v/>
      </c>
      <c r="N325" s="26" t="str">
        <f aca="false">IF(B325="","",DB_Colleges!U319&amp;"")</f>
        <v/>
      </c>
      <c r="O325" s="26" t="str">
        <f aca="false">IF(B325="","",IF(ISNUMBER(DB_Colleges!AH319),DB_Colleges!AH319,"Check"))</f>
        <v/>
      </c>
      <c r="P325" s="26" t="str">
        <f aca="false">IF(B325="","",DB_Colleges!W319&amp;"")</f>
        <v/>
      </c>
      <c r="Q325" s="30" t="str">
        <f aca="false">IF(OR(B325="",NOT(ISNUMBER(DB_Colleges!AF319))),"",DB_Colleges!AF319)</f>
        <v/>
      </c>
      <c r="R325" s="28" t="str">
        <f aca="false">IF(OR(B325="",NOT(ISNUMBER(DB_Colleges!AG319))),"",DB_Colleges!AG319)</f>
        <v/>
      </c>
      <c r="S325" s="26" t="str">
        <f aca="false">IF(B325="","",DB_Colleges!AK319&amp;"")</f>
        <v/>
      </c>
      <c r="T325" s="26" t="str">
        <f aca="false">IF(B325="","",DB_Colleges!AI319&amp;"")</f>
        <v/>
      </c>
      <c r="U325" s="1" t="str">
        <f aca="false">IF(AND(ISNUMBER($X$4),ISNUMBER(DB_Colleges!Z319),ISNUMBER(DB_Colleges!AA319)),IF($X$4&gt;=DB_Colleges!AA319,1,IF($X$4&lt;DB_Colleges!Z319,-1,0)),"")</f>
        <v/>
      </c>
      <c r="V325" s="1" t="str">
        <f aca="false">IF(AND(ISNUMBER($Y$4),ISNUMBER(DB_Colleges!AD319)),IF($Y$4&gt;=DB_Colleges!AD319+0.15,1,IF($Y$4&lt;DB_Colleges!AD319-0.2,-1,0)),"")</f>
        <v/>
      </c>
      <c r="W325" s="1" t="n">
        <f aca="false">IF(COUNT(U325:V325)=0,0,MIN(U325:V325))</f>
        <v>0</v>
      </c>
    </row>
    <row r="326" customFormat="false" ht="15" hidden="false" customHeight="true" outlineLevel="0" collapsed="false">
      <c r="A326" s="26" t="str">
        <f aca="false">IF(B326="","",IF(COUNTIF('My Colleges'!$B$8:$B$27,B326)&gt;0,"On list",""))</f>
        <v/>
      </c>
      <c r="B326" s="27" t="str">
        <f aca="false">IF(DB_Colleges!A320="","",DB_Colleges!A320)</f>
        <v/>
      </c>
      <c r="C326" s="26" t="str">
        <f aca="false">IF(B326="","",DB_Colleges!B320)</f>
        <v/>
      </c>
      <c r="D326" s="26" t="str">
        <f aca="false">IF(B326="","",DB_Colleges!C320&amp;", "&amp;DB_Colleges!D320)</f>
        <v/>
      </c>
      <c r="E326" s="26" t="str">
        <f aca="false">IF(B326="","",IF(AND(NOT(ISNUMBER($X$4)),NOT(ISNUMBER($Y$4))),"Add scores",IF(NOT(ISNUMBER(DB_Colleges!Y320)),IF(OR(C326="Ivy League",C326="Highly Selective"),"Reach",IF(COUNT(U326:V326)=0,"No data",CHOOSE(W326+2,"Reach","Target","Likely"))),IF(DB_Colleges!Y320&lt;0.15,"Reach",IF(DB_Colleges!Y320&gt;=0.75,IF(W326&gt;=0,"Likely","Target"),IF(DB_Colleges!Y320&gt;=0.4,CHOOSE(W326+2,"Reach","Target","Likely"),IF(W326=1,"Target","Reach")))))))</f>
        <v/>
      </c>
      <c r="F326" s="28" t="str">
        <f aca="false">IF(OR(B326="",NOT(ISNUMBER(DB_Colleges!Y320))),"",DB_Colleges!Y320)</f>
        <v/>
      </c>
      <c r="G326" s="26" t="str">
        <f aca="false">IF(OR(B326="",NOT(ISNUMBER(DB_Colleges!Z320))),"",DB_Colleges!Z320&amp;"-"&amp;DB_Colleges!AA320)</f>
        <v/>
      </c>
      <c r="H326" s="26" t="str">
        <f aca="false">IF(OR(B326="",NOT(ISNUMBER(DB_Colleges!AD320))),"",DB_Colleges!AD320)</f>
        <v/>
      </c>
      <c r="I326" s="29" t="str">
        <f aca="false">IF(B326="","",IF(COUNT(DB_Colleges!I320:O320)=0,IF(DB_Colleges!P320="Yes","Rolling","Check site"),MIN(DB_Colleges!I320:O320)))</f>
        <v/>
      </c>
      <c r="J326" s="26" t="str">
        <f aca="false">IF(OR(B326="",COUNT(DB_Colleges!I320:O320)=0),"",INDEX({"ED","ED II","EA","EA II","REA","RD","Priority"},MATCH(MIN(DB_Colleges!I320:O320),DB_Colleges!I320:O320,0)))</f>
        <v/>
      </c>
      <c r="K326" s="29" t="str">
        <f aca="false">IF(OR(B326="",NOT(ISNUMBER(DB_Colleges!N320))),"",DB_Colleges!N320)</f>
        <v/>
      </c>
      <c r="L326" s="26" t="str">
        <f aca="false">IF(B326="","",DB_Colleges!G320&amp;"")</f>
        <v/>
      </c>
      <c r="M326" s="30" t="str">
        <f aca="false">IF(OR(B326="",NOT(ISNUMBER(DB_Colleges!S320))),"",DB_Colleges!S320)</f>
        <v/>
      </c>
      <c r="N326" s="26" t="str">
        <f aca="false">IF(B326="","",DB_Colleges!U320&amp;"")</f>
        <v/>
      </c>
      <c r="O326" s="26" t="str">
        <f aca="false">IF(B326="","",IF(ISNUMBER(DB_Colleges!AH320),DB_Colleges!AH320,"Check"))</f>
        <v/>
      </c>
      <c r="P326" s="26" t="str">
        <f aca="false">IF(B326="","",DB_Colleges!W320&amp;"")</f>
        <v/>
      </c>
      <c r="Q326" s="30" t="str">
        <f aca="false">IF(OR(B326="",NOT(ISNUMBER(DB_Colleges!AF320))),"",DB_Colleges!AF320)</f>
        <v/>
      </c>
      <c r="R326" s="28" t="str">
        <f aca="false">IF(OR(B326="",NOT(ISNUMBER(DB_Colleges!AG320))),"",DB_Colleges!AG320)</f>
        <v/>
      </c>
      <c r="S326" s="26" t="str">
        <f aca="false">IF(B326="","",DB_Colleges!AK320&amp;"")</f>
        <v/>
      </c>
      <c r="T326" s="26" t="str">
        <f aca="false">IF(B326="","",DB_Colleges!AI320&amp;"")</f>
        <v/>
      </c>
      <c r="U326" s="1" t="str">
        <f aca="false">IF(AND(ISNUMBER($X$4),ISNUMBER(DB_Colleges!Z320),ISNUMBER(DB_Colleges!AA320)),IF($X$4&gt;=DB_Colleges!AA320,1,IF($X$4&lt;DB_Colleges!Z320,-1,0)),"")</f>
        <v/>
      </c>
      <c r="V326" s="1" t="str">
        <f aca="false">IF(AND(ISNUMBER($Y$4),ISNUMBER(DB_Colleges!AD320)),IF($Y$4&gt;=DB_Colleges!AD320+0.15,1,IF($Y$4&lt;DB_Colleges!AD320-0.2,-1,0)),"")</f>
        <v/>
      </c>
      <c r="W326" s="1" t="n">
        <f aca="false">IF(COUNT(U326:V326)=0,0,MIN(U326:V326))</f>
        <v>0</v>
      </c>
    </row>
    <row r="327" customFormat="false" ht="15" hidden="false" customHeight="true" outlineLevel="0" collapsed="false">
      <c r="A327" s="26" t="str">
        <f aca="false">IF(B327="","",IF(COUNTIF('My Colleges'!$B$8:$B$27,B327)&gt;0,"On list",""))</f>
        <v/>
      </c>
      <c r="B327" s="27" t="str">
        <f aca="false">IF(DB_Colleges!A321="","",DB_Colleges!A321)</f>
        <v/>
      </c>
      <c r="C327" s="26" t="str">
        <f aca="false">IF(B327="","",DB_Colleges!B321)</f>
        <v/>
      </c>
      <c r="D327" s="26" t="str">
        <f aca="false">IF(B327="","",DB_Colleges!C321&amp;", "&amp;DB_Colleges!D321)</f>
        <v/>
      </c>
      <c r="E327" s="26" t="str">
        <f aca="false">IF(B327="","",IF(AND(NOT(ISNUMBER($X$4)),NOT(ISNUMBER($Y$4))),"Add scores",IF(NOT(ISNUMBER(DB_Colleges!Y321)),IF(OR(C327="Ivy League",C327="Highly Selective"),"Reach",IF(COUNT(U327:V327)=0,"No data",CHOOSE(W327+2,"Reach","Target","Likely"))),IF(DB_Colleges!Y321&lt;0.15,"Reach",IF(DB_Colleges!Y321&gt;=0.75,IF(W327&gt;=0,"Likely","Target"),IF(DB_Colleges!Y321&gt;=0.4,CHOOSE(W327+2,"Reach","Target","Likely"),IF(W327=1,"Target","Reach")))))))</f>
        <v/>
      </c>
      <c r="F327" s="28" t="str">
        <f aca="false">IF(OR(B327="",NOT(ISNUMBER(DB_Colleges!Y321))),"",DB_Colleges!Y321)</f>
        <v/>
      </c>
      <c r="G327" s="26" t="str">
        <f aca="false">IF(OR(B327="",NOT(ISNUMBER(DB_Colleges!Z321))),"",DB_Colleges!Z321&amp;"-"&amp;DB_Colleges!AA321)</f>
        <v/>
      </c>
      <c r="H327" s="26" t="str">
        <f aca="false">IF(OR(B327="",NOT(ISNUMBER(DB_Colleges!AD321))),"",DB_Colleges!AD321)</f>
        <v/>
      </c>
      <c r="I327" s="29" t="str">
        <f aca="false">IF(B327="","",IF(COUNT(DB_Colleges!I321:O321)=0,IF(DB_Colleges!P321="Yes","Rolling","Check site"),MIN(DB_Colleges!I321:O321)))</f>
        <v/>
      </c>
      <c r="J327" s="26" t="str">
        <f aca="false">IF(OR(B327="",COUNT(DB_Colleges!I321:O321)=0),"",INDEX({"ED","ED II","EA","EA II","REA","RD","Priority"},MATCH(MIN(DB_Colleges!I321:O321),DB_Colleges!I321:O321,0)))</f>
        <v/>
      </c>
      <c r="K327" s="29" t="str">
        <f aca="false">IF(OR(B327="",NOT(ISNUMBER(DB_Colleges!N321))),"",DB_Colleges!N321)</f>
        <v/>
      </c>
      <c r="L327" s="26" t="str">
        <f aca="false">IF(B327="","",DB_Colleges!G321&amp;"")</f>
        <v/>
      </c>
      <c r="M327" s="30" t="str">
        <f aca="false">IF(OR(B327="",NOT(ISNUMBER(DB_Colleges!S321))),"",DB_Colleges!S321)</f>
        <v/>
      </c>
      <c r="N327" s="26" t="str">
        <f aca="false">IF(B327="","",DB_Colleges!U321&amp;"")</f>
        <v/>
      </c>
      <c r="O327" s="26" t="str">
        <f aca="false">IF(B327="","",IF(ISNUMBER(DB_Colleges!AH321),DB_Colleges!AH321,"Check"))</f>
        <v/>
      </c>
      <c r="P327" s="26" t="str">
        <f aca="false">IF(B327="","",DB_Colleges!W321&amp;"")</f>
        <v/>
      </c>
      <c r="Q327" s="30" t="str">
        <f aca="false">IF(OR(B327="",NOT(ISNUMBER(DB_Colleges!AF321))),"",DB_Colleges!AF321)</f>
        <v/>
      </c>
      <c r="R327" s="28" t="str">
        <f aca="false">IF(OR(B327="",NOT(ISNUMBER(DB_Colleges!AG321))),"",DB_Colleges!AG321)</f>
        <v/>
      </c>
      <c r="S327" s="26" t="str">
        <f aca="false">IF(B327="","",DB_Colleges!AK321&amp;"")</f>
        <v/>
      </c>
      <c r="T327" s="26" t="str">
        <f aca="false">IF(B327="","",DB_Colleges!AI321&amp;"")</f>
        <v/>
      </c>
      <c r="U327" s="1" t="str">
        <f aca="false">IF(AND(ISNUMBER($X$4),ISNUMBER(DB_Colleges!Z321),ISNUMBER(DB_Colleges!AA321)),IF($X$4&gt;=DB_Colleges!AA321,1,IF($X$4&lt;DB_Colleges!Z321,-1,0)),"")</f>
        <v/>
      </c>
      <c r="V327" s="1" t="str">
        <f aca="false">IF(AND(ISNUMBER($Y$4),ISNUMBER(DB_Colleges!AD321)),IF($Y$4&gt;=DB_Colleges!AD321+0.15,1,IF($Y$4&lt;DB_Colleges!AD321-0.2,-1,0)),"")</f>
        <v/>
      </c>
      <c r="W327" s="1" t="n">
        <f aca="false">IF(COUNT(U327:V327)=0,0,MIN(U327:V327))</f>
        <v>0</v>
      </c>
    </row>
    <row r="328" customFormat="false" ht="15" hidden="false" customHeight="true" outlineLevel="0" collapsed="false">
      <c r="A328" s="26" t="str">
        <f aca="false">IF(B328="","",IF(COUNTIF('My Colleges'!$B$8:$B$27,B328)&gt;0,"On list",""))</f>
        <v/>
      </c>
      <c r="B328" s="27" t="str">
        <f aca="false">IF(DB_Colleges!A322="","",DB_Colleges!A322)</f>
        <v/>
      </c>
      <c r="C328" s="26" t="str">
        <f aca="false">IF(B328="","",DB_Colleges!B322)</f>
        <v/>
      </c>
      <c r="D328" s="26" t="str">
        <f aca="false">IF(B328="","",DB_Colleges!C322&amp;", "&amp;DB_Colleges!D322)</f>
        <v/>
      </c>
      <c r="E328" s="26" t="str">
        <f aca="false">IF(B328="","",IF(AND(NOT(ISNUMBER($X$4)),NOT(ISNUMBER($Y$4))),"Add scores",IF(NOT(ISNUMBER(DB_Colleges!Y322)),IF(OR(C328="Ivy League",C328="Highly Selective"),"Reach",IF(COUNT(U328:V328)=0,"No data",CHOOSE(W328+2,"Reach","Target","Likely"))),IF(DB_Colleges!Y322&lt;0.15,"Reach",IF(DB_Colleges!Y322&gt;=0.75,IF(W328&gt;=0,"Likely","Target"),IF(DB_Colleges!Y322&gt;=0.4,CHOOSE(W328+2,"Reach","Target","Likely"),IF(W328=1,"Target","Reach")))))))</f>
        <v/>
      </c>
      <c r="F328" s="28" t="str">
        <f aca="false">IF(OR(B328="",NOT(ISNUMBER(DB_Colleges!Y322))),"",DB_Colleges!Y322)</f>
        <v/>
      </c>
      <c r="G328" s="26" t="str">
        <f aca="false">IF(OR(B328="",NOT(ISNUMBER(DB_Colleges!Z322))),"",DB_Colleges!Z322&amp;"-"&amp;DB_Colleges!AA322)</f>
        <v/>
      </c>
      <c r="H328" s="26" t="str">
        <f aca="false">IF(OR(B328="",NOT(ISNUMBER(DB_Colleges!AD322))),"",DB_Colleges!AD322)</f>
        <v/>
      </c>
      <c r="I328" s="29" t="str">
        <f aca="false">IF(B328="","",IF(COUNT(DB_Colleges!I322:O322)=0,IF(DB_Colleges!P322="Yes","Rolling","Check site"),MIN(DB_Colleges!I322:O322)))</f>
        <v/>
      </c>
      <c r="J328" s="26" t="str">
        <f aca="false">IF(OR(B328="",COUNT(DB_Colleges!I322:O322)=0),"",INDEX({"ED","ED II","EA","EA II","REA","RD","Priority"},MATCH(MIN(DB_Colleges!I322:O322),DB_Colleges!I322:O322,0)))</f>
        <v/>
      </c>
      <c r="K328" s="29" t="str">
        <f aca="false">IF(OR(B328="",NOT(ISNUMBER(DB_Colleges!N322))),"",DB_Colleges!N322)</f>
        <v/>
      </c>
      <c r="L328" s="26" t="str">
        <f aca="false">IF(B328="","",DB_Colleges!G322&amp;"")</f>
        <v/>
      </c>
      <c r="M328" s="30" t="str">
        <f aca="false">IF(OR(B328="",NOT(ISNUMBER(DB_Colleges!S322))),"",DB_Colleges!S322)</f>
        <v/>
      </c>
      <c r="N328" s="26" t="str">
        <f aca="false">IF(B328="","",DB_Colleges!U322&amp;"")</f>
        <v/>
      </c>
      <c r="O328" s="26" t="str">
        <f aca="false">IF(B328="","",IF(ISNUMBER(DB_Colleges!AH322),DB_Colleges!AH322,"Check"))</f>
        <v/>
      </c>
      <c r="P328" s="26" t="str">
        <f aca="false">IF(B328="","",DB_Colleges!W322&amp;"")</f>
        <v/>
      </c>
      <c r="Q328" s="30" t="str">
        <f aca="false">IF(OR(B328="",NOT(ISNUMBER(DB_Colleges!AF322))),"",DB_Colleges!AF322)</f>
        <v/>
      </c>
      <c r="R328" s="28" t="str">
        <f aca="false">IF(OR(B328="",NOT(ISNUMBER(DB_Colleges!AG322))),"",DB_Colleges!AG322)</f>
        <v/>
      </c>
      <c r="S328" s="26" t="str">
        <f aca="false">IF(B328="","",DB_Colleges!AK322&amp;"")</f>
        <v/>
      </c>
      <c r="T328" s="26" t="str">
        <f aca="false">IF(B328="","",DB_Colleges!AI322&amp;"")</f>
        <v/>
      </c>
      <c r="U328" s="1" t="str">
        <f aca="false">IF(AND(ISNUMBER($X$4),ISNUMBER(DB_Colleges!Z322),ISNUMBER(DB_Colleges!AA322)),IF($X$4&gt;=DB_Colleges!AA322,1,IF($X$4&lt;DB_Colleges!Z322,-1,0)),"")</f>
        <v/>
      </c>
      <c r="V328" s="1" t="str">
        <f aca="false">IF(AND(ISNUMBER($Y$4),ISNUMBER(DB_Colleges!AD322)),IF($Y$4&gt;=DB_Colleges!AD322+0.15,1,IF($Y$4&lt;DB_Colleges!AD322-0.2,-1,0)),"")</f>
        <v/>
      </c>
      <c r="W328" s="1" t="n">
        <f aca="false">IF(COUNT(U328:V328)=0,0,MIN(U328:V328))</f>
        <v>0</v>
      </c>
    </row>
    <row r="329" customFormat="false" ht="15" hidden="false" customHeight="true" outlineLevel="0" collapsed="false">
      <c r="A329" s="26" t="str">
        <f aca="false">IF(B329="","",IF(COUNTIF('My Colleges'!$B$8:$B$27,B329)&gt;0,"On list",""))</f>
        <v/>
      </c>
      <c r="B329" s="27" t="str">
        <f aca="false">IF(DB_Colleges!A323="","",DB_Colleges!A323)</f>
        <v/>
      </c>
      <c r="C329" s="26" t="str">
        <f aca="false">IF(B329="","",DB_Colleges!B323)</f>
        <v/>
      </c>
      <c r="D329" s="26" t="str">
        <f aca="false">IF(B329="","",DB_Colleges!C323&amp;", "&amp;DB_Colleges!D323)</f>
        <v/>
      </c>
      <c r="E329" s="26" t="str">
        <f aca="false">IF(B329="","",IF(AND(NOT(ISNUMBER($X$4)),NOT(ISNUMBER($Y$4))),"Add scores",IF(NOT(ISNUMBER(DB_Colleges!Y323)),IF(OR(C329="Ivy League",C329="Highly Selective"),"Reach",IF(COUNT(U329:V329)=0,"No data",CHOOSE(W329+2,"Reach","Target","Likely"))),IF(DB_Colleges!Y323&lt;0.15,"Reach",IF(DB_Colleges!Y323&gt;=0.75,IF(W329&gt;=0,"Likely","Target"),IF(DB_Colleges!Y323&gt;=0.4,CHOOSE(W329+2,"Reach","Target","Likely"),IF(W329=1,"Target","Reach")))))))</f>
        <v/>
      </c>
      <c r="F329" s="28" t="str">
        <f aca="false">IF(OR(B329="",NOT(ISNUMBER(DB_Colleges!Y323))),"",DB_Colleges!Y323)</f>
        <v/>
      </c>
      <c r="G329" s="26" t="str">
        <f aca="false">IF(OR(B329="",NOT(ISNUMBER(DB_Colleges!Z323))),"",DB_Colleges!Z323&amp;"-"&amp;DB_Colleges!AA323)</f>
        <v/>
      </c>
      <c r="H329" s="26" t="str">
        <f aca="false">IF(OR(B329="",NOT(ISNUMBER(DB_Colleges!AD323))),"",DB_Colleges!AD323)</f>
        <v/>
      </c>
      <c r="I329" s="29" t="str">
        <f aca="false">IF(B329="","",IF(COUNT(DB_Colleges!I323:O323)=0,IF(DB_Colleges!P323="Yes","Rolling","Check site"),MIN(DB_Colleges!I323:O323)))</f>
        <v/>
      </c>
      <c r="J329" s="26" t="str">
        <f aca="false">IF(OR(B329="",COUNT(DB_Colleges!I323:O323)=0),"",INDEX({"ED","ED II","EA","EA II","REA","RD","Priority"},MATCH(MIN(DB_Colleges!I323:O323),DB_Colleges!I323:O323,0)))</f>
        <v/>
      </c>
      <c r="K329" s="29" t="str">
        <f aca="false">IF(OR(B329="",NOT(ISNUMBER(DB_Colleges!N323))),"",DB_Colleges!N323)</f>
        <v/>
      </c>
      <c r="L329" s="26" t="str">
        <f aca="false">IF(B329="","",DB_Colleges!G323&amp;"")</f>
        <v/>
      </c>
      <c r="M329" s="30" t="str">
        <f aca="false">IF(OR(B329="",NOT(ISNUMBER(DB_Colleges!S323))),"",DB_Colleges!S323)</f>
        <v/>
      </c>
      <c r="N329" s="26" t="str">
        <f aca="false">IF(B329="","",DB_Colleges!U323&amp;"")</f>
        <v/>
      </c>
      <c r="O329" s="26" t="str">
        <f aca="false">IF(B329="","",IF(ISNUMBER(DB_Colleges!AH323),DB_Colleges!AH323,"Check"))</f>
        <v/>
      </c>
      <c r="P329" s="26" t="str">
        <f aca="false">IF(B329="","",DB_Colleges!W323&amp;"")</f>
        <v/>
      </c>
      <c r="Q329" s="30" t="str">
        <f aca="false">IF(OR(B329="",NOT(ISNUMBER(DB_Colleges!AF323))),"",DB_Colleges!AF323)</f>
        <v/>
      </c>
      <c r="R329" s="28" t="str">
        <f aca="false">IF(OR(B329="",NOT(ISNUMBER(DB_Colleges!AG323))),"",DB_Colleges!AG323)</f>
        <v/>
      </c>
      <c r="S329" s="26" t="str">
        <f aca="false">IF(B329="","",DB_Colleges!AK323&amp;"")</f>
        <v/>
      </c>
      <c r="T329" s="26" t="str">
        <f aca="false">IF(B329="","",DB_Colleges!AI323&amp;"")</f>
        <v/>
      </c>
      <c r="U329" s="1" t="str">
        <f aca="false">IF(AND(ISNUMBER($X$4),ISNUMBER(DB_Colleges!Z323),ISNUMBER(DB_Colleges!AA323)),IF($X$4&gt;=DB_Colleges!AA323,1,IF($X$4&lt;DB_Colleges!Z323,-1,0)),"")</f>
        <v/>
      </c>
      <c r="V329" s="1" t="str">
        <f aca="false">IF(AND(ISNUMBER($Y$4),ISNUMBER(DB_Colleges!AD323)),IF($Y$4&gt;=DB_Colleges!AD323+0.15,1,IF($Y$4&lt;DB_Colleges!AD323-0.2,-1,0)),"")</f>
        <v/>
      </c>
      <c r="W329" s="1" t="n">
        <f aca="false">IF(COUNT(U329:V329)=0,0,MIN(U329:V329))</f>
        <v>0</v>
      </c>
    </row>
    <row r="330" customFormat="false" ht="15" hidden="false" customHeight="true" outlineLevel="0" collapsed="false">
      <c r="A330" s="26" t="str">
        <f aca="false">IF(B330="","",IF(COUNTIF('My Colleges'!$B$8:$B$27,B330)&gt;0,"On list",""))</f>
        <v/>
      </c>
      <c r="B330" s="27" t="str">
        <f aca="false">IF(DB_Colleges!A324="","",DB_Colleges!A324)</f>
        <v/>
      </c>
      <c r="C330" s="26" t="str">
        <f aca="false">IF(B330="","",DB_Colleges!B324)</f>
        <v/>
      </c>
      <c r="D330" s="26" t="str">
        <f aca="false">IF(B330="","",DB_Colleges!C324&amp;", "&amp;DB_Colleges!D324)</f>
        <v/>
      </c>
      <c r="E330" s="26" t="str">
        <f aca="false">IF(B330="","",IF(AND(NOT(ISNUMBER($X$4)),NOT(ISNUMBER($Y$4))),"Add scores",IF(NOT(ISNUMBER(DB_Colleges!Y324)),IF(OR(C330="Ivy League",C330="Highly Selective"),"Reach",IF(COUNT(U330:V330)=0,"No data",CHOOSE(W330+2,"Reach","Target","Likely"))),IF(DB_Colleges!Y324&lt;0.15,"Reach",IF(DB_Colleges!Y324&gt;=0.75,IF(W330&gt;=0,"Likely","Target"),IF(DB_Colleges!Y324&gt;=0.4,CHOOSE(W330+2,"Reach","Target","Likely"),IF(W330=1,"Target","Reach")))))))</f>
        <v/>
      </c>
      <c r="F330" s="28" t="str">
        <f aca="false">IF(OR(B330="",NOT(ISNUMBER(DB_Colleges!Y324))),"",DB_Colleges!Y324)</f>
        <v/>
      </c>
      <c r="G330" s="26" t="str">
        <f aca="false">IF(OR(B330="",NOT(ISNUMBER(DB_Colleges!Z324))),"",DB_Colleges!Z324&amp;"-"&amp;DB_Colleges!AA324)</f>
        <v/>
      </c>
      <c r="H330" s="26" t="str">
        <f aca="false">IF(OR(B330="",NOT(ISNUMBER(DB_Colleges!AD324))),"",DB_Colleges!AD324)</f>
        <v/>
      </c>
      <c r="I330" s="29" t="str">
        <f aca="false">IF(B330="","",IF(COUNT(DB_Colleges!I324:O324)=0,IF(DB_Colleges!P324="Yes","Rolling","Check site"),MIN(DB_Colleges!I324:O324)))</f>
        <v/>
      </c>
      <c r="J330" s="26" t="str">
        <f aca="false">IF(OR(B330="",COUNT(DB_Colleges!I324:O324)=0),"",INDEX({"ED","ED II","EA","EA II","REA","RD","Priority"},MATCH(MIN(DB_Colleges!I324:O324),DB_Colleges!I324:O324,0)))</f>
        <v/>
      </c>
      <c r="K330" s="29" t="str">
        <f aca="false">IF(OR(B330="",NOT(ISNUMBER(DB_Colleges!N324))),"",DB_Colleges!N324)</f>
        <v/>
      </c>
      <c r="L330" s="26" t="str">
        <f aca="false">IF(B330="","",DB_Colleges!G324&amp;"")</f>
        <v/>
      </c>
      <c r="M330" s="30" t="str">
        <f aca="false">IF(OR(B330="",NOT(ISNUMBER(DB_Colleges!S324))),"",DB_Colleges!S324)</f>
        <v/>
      </c>
      <c r="N330" s="26" t="str">
        <f aca="false">IF(B330="","",DB_Colleges!U324&amp;"")</f>
        <v/>
      </c>
      <c r="O330" s="26" t="str">
        <f aca="false">IF(B330="","",IF(ISNUMBER(DB_Colleges!AH324),DB_Colleges!AH324,"Check"))</f>
        <v/>
      </c>
      <c r="P330" s="26" t="str">
        <f aca="false">IF(B330="","",DB_Colleges!W324&amp;"")</f>
        <v/>
      </c>
      <c r="Q330" s="30" t="str">
        <f aca="false">IF(OR(B330="",NOT(ISNUMBER(DB_Colleges!AF324))),"",DB_Colleges!AF324)</f>
        <v/>
      </c>
      <c r="R330" s="28" t="str">
        <f aca="false">IF(OR(B330="",NOT(ISNUMBER(DB_Colleges!AG324))),"",DB_Colleges!AG324)</f>
        <v/>
      </c>
      <c r="S330" s="26" t="str">
        <f aca="false">IF(B330="","",DB_Colleges!AK324&amp;"")</f>
        <v/>
      </c>
      <c r="T330" s="26" t="str">
        <f aca="false">IF(B330="","",DB_Colleges!AI324&amp;"")</f>
        <v/>
      </c>
      <c r="U330" s="1" t="str">
        <f aca="false">IF(AND(ISNUMBER($X$4),ISNUMBER(DB_Colleges!Z324),ISNUMBER(DB_Colleges!AA324)),IF($X$4&gt;=DB_Colleges!AA324,1,IF($X$4&lt;DB_Colleges!Z324,-1,0)),"")</f>
        <v/>
      </c>
      <c r="V330" s="1" t="str">
        <f aca="false">IF(AND(ISNUMBER($Y$4),ISNUMBER(DB_Colleges!AD324)),IF($Y$4&gt;=DB_Colleges!AD324+0.15,1,IF($Y$4&lt;DB_Colleges!AD324-0.2,-1,0)),"")</f>
        <v/>
      </c>
      <c r="W330" s="1" t="n">
        <f aca="false">IF(COUNT(U330:V330)=0,0,MIN(U330:V330))</f>
        <v>0</v>
      </c>
    </row>
    <row r="331" customFormat="false" ht="15" hidden="false" customHeight="true" outlineLevel="0" collapsed="false">
      <c r="A331" s="26" t="str">
        <f aca="false">IF(B331="","",IF(COUNTIF('My Colleges'!$B$8:$B$27,B331)&gt;0,"On list",""))</f>
        <v/>
      </c>
      <c r="B331" s="27" t="str">
        <f aca="false">IF(DB_Colleges!A325="","",DB_Colleges!A325)</f>
        <v/>
      </c>
      <c r="C331" s="26" t="str">
        <f aca="false">IF(B331="","",DB_Colleges!B325)</f>
        <v/>
      </c>
      <c r="D331" s="26" t="str">
        <f aca="false">IF(B331="","",DB_Colleges!C325&amp;", "&amp;DB_Colleges!D325)</f>
        <v/>
      </c>
      <c r="E331" s="26" t="str">
        <f aca="false">IF(B331="","",IF(AND(NOT(ISNUMBER($X$4)),NOT(ISNUMBER($Y$4))),"Add scores",IF(NOT(ISNUMBER(DB_Colleges!Y325)),IF(OR(C331="Ivy League",C331="Highly Selective"),"Reach",IF(COUNT(U331:V331)=0,"No data",CHOOSE(W331+2,"Reach","Target","Likely"))),IF(DB_Colleges!Y325&lt;0.15,"Reach",IF(DB_Colleges!Y325&gt;=0.75,IF(W331&gt;=0,"Likely","Target"),IF(DB_Colleges!Y325&gt;=0.4,CHOOSE(W331+2,"Reach","Target","Likely"),IF(W331=1,"Target","Reach")))))))</f>
        <v/>
      </c>
      <c r="F331" s="28" t="str">
        <f aca="false">IF(OR(B331="",NOT(ISNUMBER(DB_Colleges!Y325))),"",DB_Colleges!Y325)</f>
        <v/>
      </c>
      <c r="G331" s="26" t="str">
        <f aca="false">IF(OR(B331="",NOT(ISNUMBER(DB_Colleges!Z325))),"",DB_Colleges!Z325&amp;"-"&amp;DB_Colleges!AA325)</f>
        <v/>
      </c>
      <c r="H331" s="26" t="str">
        <f aca="false">IF(OR(B331="",NOT(ISNUMBER(DB_Colleges!AD325))),"",DB_Colleges!AD325)</f>
        <v/>
      </c>
      <c r="I331" s="29" t="str">
        <f aca="false">IF(B331="","",IF(COUNT(DB_Colleges!I325:O325)=0,IF(DB_Colleges!P325="Yes","Rolling","Check site"),MIN(DB_Colleges!I325:O325)))</f>
        <v/>
      </c>
      <c r="J331" s="26" t="str">
        <f aca="false">IF(OR(B331="",COUNT(DB_Colleges!I325:O325)=0),"",INDEX({"ED","ED II","EA","EA II","REA","RD","Priority"},MATCH(MIN(DB_Colleges!I325:O325),DB_Colleges!I325:O325,0)))</f>
        <v/>
      </c>
      <c r="K331" s="29" t="str">
        <f aca="false">IF(OR(B331="",NOT(ISNUMBER(DB_Colleges!N325))),"",DB_Colleges!N325)</f>
        <v/>
      </c>
      <c r="L331" s="26" t="str">
        <f aca="false">IF(B331="","",DB_Colleges!G325&amp;"")</f>
        <v/>
      </c>
      <c r="M331" s="30" t="str">
        <f aca="false">IF(OR(B331="",NOT(ISNUMBER(DB_Colleges!S325))),"",DB_Colleges!S325)</f>
        <v/>
      </c>
      <c r="N331" s="26" t="str">
        <f aca="false">IF(B331="","",DB_Colleges!U325&amp;"")</f>
        <v/>
      </c>
      <c r="O331" s="26" t="str">
        <f aca="false">IF(B331="","",IF(ISNUMBER(DB_Colleges!AH325),DB_Colleges!AH325,"Check"))</f>
        <v/>
      </c>
      <c r="P331" s="26" t="str">
        <f aca="false">IF(B331="","",DB_Colleges!W325&amp;"")</f>
        <v/>
      </c>
      <c r="Q331" s="30" t="str">
        <f aca="false">IF(OR(B331="",NOT(ISNUMBER(DB_Colleges!AF325))),"",DB_Colleges!AF325)</f>
        <v/>
      </c>
      <c r="R331" s="28" t="str">
        <f aca="false">IF(OR(B331="",NOT(ISNUMBER(DB_Colleges!AG325))),"",DB_Colleges!AG325)</f>
        <v/>
      </c>
      <c r="S331" s="26" t="str">
        <f aca="false">IF(B331="","",DB_Colleges!AK325&amp;"")</f>
        <v/>
      </c>
      <c r="T331" s="26" t="str">
        <f aca="false">IF(B331="","",DB_Colleges!AI325&amp;"")</f>
        <v/>
      </c>
      <c r="U331" s="1" t="str">
        <f aca="false">IF(AND(ISNUMBER($X$4),ISNUMBER(DB_Colleges!Z325),ISNUMBER(DB_Colleges!AA325)),IF($X$4&gt;=DB_Colleges!AA325,1,IF($X$4&lt;DB_Colleges!Z325,-1,0)),"")</f>
        <v/>
      </c>
      <c r="V331" s="1" t="str">
        <f aca="false">IF(AND(ISNUMBER($Y$4),ISNUMBER(DB_Colleges!AD325)),IF($Y$4&gt;=DB_Colleges!AD325+0.15,1,IF($Y$4&lt;DB_Colleges!AD325-0.2,-1,0)),"")</f>
        <v/>
      </c>
      <c r="W331" s="1" t="n">
        <f aca="false">IF(COUNT(U331:V331)=0,0,MIN(U331:V331))</f>
        <v>0</v>
      </c>
    </row>
    <row r="332" customFormat="false" ht="15" hidden="false" customHeight="true" outlineLevel="0" collapsed="false">
      <c r="A332" s="26" t="str">
        <f aca="false">IF(B332="","",IF(COUNTIF('My Colleges'!$B$8:$B$27,B332)&gt;0,"On list",""))</f>
        <v/>
      </c>
      <c r="B332" s="27" t="str">
        <f aca="false">IF(DB_Colleges!A326="","",DB_Colleges!A326)</f>
        <v/>
      </c>
      <c r="C332" s="26" t="str">
        <f aca="false">IF(B332="","",DB_Colleges!B326)</f>
        <v/>
      </c>
      <c r="D332" s="26" t="str">
        <f aca="false">IF(B332="","",DB_Colleges!C326&amp;", "&amp;DB_Colleges!D326)</f>
        <v/>
      </c>
      <c r="E332" s="26" t="str">
        <f aca="false">IF(B332="","",IF(AND(NOT(ISNUMBER($X$4)),NOT(ISNUMBER($Y$4))),"Add scores",IF(NOT(ISNUMBER(DB_Colleges!Y326)),IF(OR(C332="Ivy League",C332="Highly Selective"),"Reach",IF(COUNT(U332:V332)=0,"No data",CHOOSE(W332+2,"Reach","Target","Likely"))),IF(DB_Colleges!Y326&lt;0.15,"Reach",IF(DB_Colleges!Y326&gt;=0.75,IF(W332&gt;=0,"Likely","Target"),IF(DB_Colleges!Y326&gt;=0.4,CHOOSE(W332+2,"Reach","Target","Likely"),IF(W332=1,"Target","Reach")))))))</f>
        <v/>
      </c>
      <c r="F332" s="28" t="str">
        <f aca="false">IF(OR(B332="",NOT(ISNUMBER(DB_Colleges!Y326))),"",DB_Colleges!Y326)</f>
        <v/>
      </c>
      <c r="G332" s="26" t="str">
        <f aca="false">IF(OR(B332="",NOT(ISNUMBER(DB_Colleges!Z326))),"",DB_Colleges!Z326&amp;"-"&amp;DB_Colleges!AA326)</f>
        <v/>
      </c>
      <c r="H332" s="26" t="str">
        <f aca="false">IF(OR(B332="",NOT(ISNUMBER(DB_Colleges!AD326))),"",DB_Colleges!AD326)</f>
        <v/>
      </c>
      <c r="I332" s="29" t="str">
        <f aca="false">IF(B332="","",IF(COUNT(DB_Colleges!I326:O326)=0,IF(DB_Colleges!P326="Yes","Rolling","Check site"),MIN(DB_Colleges!I326:O326)))</f>
        <v/>
      </c>
      <c r="J332" s="26" t="str">
        <f aca="false">IF(OR(B332="",COUNT(DB_Colleges!I326:O326)=0),"",INDEX({"ED","ED II","EA","EA II","REA","RD","Priority"},MATCH(MIN(DB_Colleges!I326:O326),DB_Colleges!I326:O326,0)))</f>
        <v/>
      </c>
      <c r="K332" s="29" t="str">
        <f aca="false">IF(OR(B332="",NOT(ISNUMBER(DB_Colleges!N326))),"",DB_Colleges!N326)</f>
        <v/>
      </c>
      <c r="L332" s="26" t="str">
        <f aca="false">IF(B332="","",DB_Colleges!G326&amp;"")</f>
        <v/>
      </c>
      <c r="M332" s="30" t="str">
        <f aca="false">IF(OR(B332="",NOT(ISNUMBER(DB_Colleges!S326))),"",DB_Colleges!S326)</f>
        <v/>
      </c>
      <c r="N332" s="26" t="str">
        <f aca="false">IF(B332="","",DB_Colleges!U326&amp;"")</f>
        <v/>
      </c>
      <c r="O332" s="26" t="str">
        <f aca="false">IF(B332="","",IF(ISNUMBER(DB_Colleges!AH326),DB_Colleges!AH326,"Check"))</f>
        <v/>
      </c>
      <c r="P332" s="26" t="str">
        <f aca="false">IF(B332="","",DB_Colleges!W326&amp;"")</f>
        <v/>
      </c>
      <c r="Q332" s="30" t="str">
        <f aca="false">IF(OR(B332="",NOT(ISNUMBER(DB_Colleges!AF326))),"",DB_Colleges!AF326)</f>
        <v/>
      </c>
      <c r="R332" s="28" t="str">
        <f aca="false">IF(OR(B332="",NOT(ISNUMBER(DB_Colleges!AG326))),"",DB_Colleges!AG326)</f>
        <v/>
      </c>
      <c r="S332" s="26" t="str">
        <f aca="false">IF(B332="","",DB_Colleges!AK326&amp;"")</f>
        <v/>
      </c>
      <c r="T332" s="26" t="str">
        <f aca="false">IF(B332="","",DB_Colleges!AI326&amp;"")</f>
        <v/>
      </c>
      <c r="U332" s="1" t="str">
        <f aca="false">IF(AND(ISNUMBER($X$4),ISNUMBER(DB_Colleges!Z326),ISNUMBER(DB_Colleges!AA326)),IF($X$4&gt;=DB_Colleges!AA326,1,IF($X$4&lt;DB_Colleges!Z326,-1,0)),"")</f>
        <v/>
      </c>
      <c r="V332" s="1" t="str">
        <f aca="false">IF(AND(ISNUMBER($Y$4),ISNUMBER(DB_Colleges!AD326)),IF($Y$4&gt;=DB_Colleges!AD326+0.15,1,IF($Y$4&lt;DB_Colleges!AD326-0.2,-1,0)),"")</f>
        <v/>
      </c>
      <c r="W332" s="1" t="n">
        <f aca="false">IF(COUNT(U332:V332)=0,0,MIN(U332:V332))</f>
        <v>0</v>
      </c>
    </row>
    <row r="333" customFormat="false" ht="15" hidden="false" customHeight="true" outlineLevel="0" collapsed="false">
      <c r="A333" s="26" t="str">
        <f aca="false">IF(B333="","",IF(COUNTIF('My Colleges'!$B$8:$B$27,B333)&gt;0,"On list",""))</f>
        <v/>
      </c>
      <c r="B333" s="27" t="str">
        <f aca="false">IF(DB_Colleges!A327="","",DB_Colleges!A327)</f>
        <v/>
      </c>
      <c r="C333" s="26" t="str">
        <f aca="false">IF(B333="","",DB_Colleges!B327)</f>
        <v/>
      </c>
      <c r="D333" s="26" t="str">
        <f aca="false">IF(B333="","",DB_Colleges!C327&amp;", "&amp;DB_Colleges!D327)</f>
        <v/>
      </c>
      <c r="E333" s="26" t="str">
        <f aca="false">IF(B333="","",IF(AND(NOT(ISNUMBER($X$4)),NOT(ISNUMBER($Y$4))),"Add scores",IF(NOT(ISNUMBER(DB_Colleges!Y327)),IF(OR(C333="Ivy League",C333="Highly Selective"),"Reach",IF(COUNT(U333:V333)=0,"No data",CHOOSE(W333+2,"Reach","Target","Likely"))),IF(DB_Colleges!Y327&lt;0.15,"Reach",IF(DB_Colleges!Y327&gt;=0.75,IF(W333&gt;=0,"Likely","Target"),IF(DB_Colleges!Y327&gt;=0.4,CHOOSE(W333+2,"Reach","Target","Likely"),IF(W333=1,"Target","Reach")))))))</f>
        <v/>
      </c>
      <c r="F333" s="28" t="str">
        <f aca="false">IF(OR(B333="",NOT(ISNUMBER(DB_Colleges!Y327))),"",DB_Colleges!Y327)</f>
        <v/>
      </c>
      <c r="G333" s="26" t="str">
        <f aca="false">IF(OR(B333="",NOT(ISNUMBER(DB_Colleges!Z327))),"",DB_Colleges!Z327&amp;"-"&amp;DB_Colleges!AA327)</f>
        <v/>
      </c>
      <c r="H333" s="26" t="str">
        <f aca="false">IF(OR(B333="",NOT(ISNUMBER(DB_Colleges!AD327))),"",DB_Colleges!AD327)</f>
        <v/>
      </c>
      <c r="I333" s="29" t="str">
        <f aca="false">IF(B333="","",IF(COUNT(DB_Colleges!I327:O327)=0,IF(DB_Colleges!P327="Yes","Rolling","Check site"),MIN(DB_Colleges!I327:O327)))</f>
        <v/>
      </c>
      <c r="J333" s="26" t="str">
        <f aca="false">IF(OR(B333="",COUNT(DB_Colleges!I327:O327)=0),"",INDEX({"ED","ED II","EA","EA II","REA","RD","Priority"},MATCH(MIN(DB_Colleges!I327:O327),DB_Colleges!I327:O327,0)))</f>
        <v/>
      </c>
      <c r="K333" s="29" t="str">
        <f aca="false">IF(OR(B333="",NOT(ISNUMBER(DB_Colleges!N327))),"",DB_Colleges!N327)</f>
        <v/>
      </c>
      <c r="L333" s="26" t="str">
        <f aca="false">IF(B333="","",DB_Colleges!G327&amp;"")</f>
        <v/>
      </c>
      <c r="M333" s="30" t="str">
        <f aca="false">IF(OR(B333="",NOT(ISNUMBER(DB_Colleges!S327))),"",DB_Colleges!S327)</f>
        <v/>
      </c>
      <c r="N333" s="26" t="str">
        <f aca="false">IF(B333="","",DB_Colleges!U327&amp;"")</f>
        <v/>
      </c>
      <c r="O333" s="26" t="str">
        <f aca="false">IF(B333="","",IF(ISNUMBER(DB_Colleges!AH327),DB_Colleges!AH327,"Check"))</f>
        <v/>
      </c>
      <c r="P333" s="26" t="str">
        <f aca="false">IF(B333="","",DB_Colleges!W327&amp;"")</f>
        <v/>
      </c>
      <c r="Q333" s="30" t="str">
        <f aca="false">IF(OR(B333="",NOT(ISNUMBER(DB_Colleges!AF327))),"",DB_Colleges!AF327)</f>
        <v/>
      </c>
      <c r="R333" s="28" t="str">
        <f aca="false">IF(OR(B333="",NOT(ISNUMBER(DB_Colleges!AG327))),"",DB_Colleges!AG327)</f>
        <v/>
      </c>
      <c r="S333" s="26" t="str">
        <f aca="false">IF(B333="","",DB_Colleges!AK327&amp;"")</f>
        <v/>
      </c>
      <c r="T333" s="26" t="str">
        <f aca="false">IF(B333="","",DB_Colleges!AI327&amp;"")</f>
        <v/>
      </c>
      <c r="U333" s="1" t="str">
        <f aca="false">IF(AND(ISNUMBER($X$4),ISNUMBER(DB_Colleges!Z327),ISNUMBER(DB_Colleges!AA327)),IF($X$4&gt;=DB_Colleges!AA327,1,IF($X$4&lt;DB_Colleges!Z327,-1,0)),"")</f>
        <v/>
      </c>
      <c r="V333" s="1" t="str">
        <f aca="false">IF(AND(ISNUMBER($Y$4),ISNUMBER(DB_Colleges!AD327)),IF($Y$4&gt;=DB_Colleges!AD327+0.15,1,IF($Y$4&lt;DB_Colleges!AD327-0.2,-1,0)),"")</f>
        <v/>
      </c>
      <c r="W333" s="1" t="n">
        <f aca="false">IF(COUNT(U333:V333)=0,0,MIN(U333:V333))</f>
        <v>0</v>
      </c>
    </row>
    <row r="334" customFormat="false" ht="15" hidden="false" customHeight="true" outlineLevel="0" collapsed="false">
      <c r="A334" s="26" t="str">
        <f aca="false">IF(B334="","",IF(COUNTIF('My Colleges'!$B$8:$B$27,B334)&gt;0,"On list",""))</f>
        <v/>
      </c>
      <c r="B334" s="27" t="str">
        <f aca="false">IF(DB_Colleges!A328="","",DB_Colleges!A328)</f>
        <v/>
      </c>
      <c r="C334" s="26" t="str">
        <f aca="false">IF(B334="","",DB_Colleges!B328)</f>
        <v/>
      </c>
      <c r="D334" s="26" t="str">
        <f aca="false">IF(B334="","",DB_Colleges!C328&amp;", "&amp;DB_Colleges!D328)</f>
        <v/>
      </c>
      <c r="E334" s="26" t="str">
        <f aca="false">IF(B334="","",IF(AND(NOT(ISNUMBER($X$4)),NOT(ISNUMBER($Y$4))),"Add scores",IF(NOT(ISNUMBER(DB_Colleges!Y328)),IF(OR(C334="Ivy League",C334="Highly Selective"),"Reach",IF(COUNT(U334:V334)=0,"No data",CHOOSE(W334+2,"Reach","Target","Likely"))),IF(DB_Colleges!Y328&lt;0.15,"Reach",IF(DB_Colleges!Y328&gt;=0.75,IF(W334&gt;=0,"Likely","Target"),IF(DB_Colleges!Y328&gt;=0.4,CHOOSE(W334+2,"Reach","Target","Likely"),IF(W334=1,"Target","Reach")))))))</f>
        <v/>
      </c>
      <c r="F334" s="28" t="str">
        <f aca="false">IF(OR(B334="",NOT(ISNUMBER(DB_Colleges!Y328))),"",DB_Colleges!Y328)</f>
        <v/>
      </c>
      <c r="G334" s="26" t="str">
        <f aca="false">IF(OR(B334="",NOT(ISNUMBER(DB_Colleges!Z328))),"",DB_Colleges!Z328&amp;"-"&amp;DB_Colleges!AA328)</f>
        <v/>
      </c>
      <c r="H334" s="26" t="str">
        <f aca="false">IF(OR(B334="",NOT(ISNUMBER(DB_Colleges!AD328))),"",DB_Colleges!AD328)</f>
        <v/>
      </c>
      <c r="I334" s="29" t="str">
        <f aca="false">IF(B334="","",IF(COUNT(DB_Colleges!I328:O328)=0,IF(DB_Colleges!P328="Yes","Rolling","Check site"),MIN(DB_Colleges!I328:O328)))</f>
        <v/>
      </c>
      <c r="J334" s="26" t="str">
        <f aca="false">IF(OR(B334="",COUNT(DB_Colleges!I328:O328)=0),"",INDEX({"ED","ED II","EA","EA II","REA","RD","Priority"},MATCH(MIN(DB_Colleges!I328:O328),DB_Colleges!I328:O328,0)))</f>
        <v/>
      </c>
      <c r="K334" s="29" t="str">
        <f aca="false">IF(OR(B334="",NOT(ISNUMBER(DB_Colleges!N328))),"",DB_Colleges!N328)</f>
        <v/>
      </c>
      <c r="L334" s="26" t="str">
        <f aca="false">IF(B334="","",DB_Colleges!G328&amp;"")</f>
        <v/>
      </c>
      <c r="M334" s="30" t="str">
        <f aca="false">IF(OR(B334="",NOT(ISNUMBER(DB_Colleges!S328))),"",DB_Colleges!S328)</f>
        <v/>
      </c>
      <c r="N334" s="26" t="str">
        <f aca="false">IF(B334="","",DB_Colleges!U328&amp;"")</f>
        <v/>
      </c>
      <c r="O334" s="26" t="str">
        <f aca="false">IF(B334="","",IF(ISNUMBER(DB_Colleges!AH328),DB_Colleges!AH328,"Check"))</f>
        <v/>
      </c>
      <c r="P334" s="26" t="str">
        <f aca="false">IF(B334="","",DB_Colleges!W328&amp;"")</f>
        <v/>
      </c>
      <c r="Q334" s="30" t="str">
        <f aca="false">IF(OR(B334="",NOT(ISNUMBER(DB_Colleges!AF328))),"",DB_Colleges!AF328)</f>
        <v/>
      </c>
      <c r="R334" s="28" t="str">
        <f aca="false">IF(OR(B334="",NOT(ISNUMBER(DB_Colleges!AG328))),"",DB_Colleges!AG328)</f>
        <v/>
      </c>
      <c r="S334" s="26" t="str">
        <f aca="false">IF(B334="","",DB_Colleges!AK328&amp;"")</f>
        <v/>
      </c>
      <c r="T334" s="26" t="str">
        <f aca="false">IF(B334="","",DB_Colleges!AI328&amp;"")</f>
        <v/>
      </c>
      <c r="U334" s="1" t="str">
        <f aca="false">IF(AND(ISNUMBER($X$4),ISNUMBER(DB_Colleges!Z328),ISNUMBER(DB_Colleges!AA328)),IF($X$4&gt;=DB_Colleges!AA328,1,IF($X$4&lt;DB_Colleges!Z328,-1,0)),"")</f>
        <v/>
      </c>
      <c r="V334" s="1" t="str">
        <f aca="false">IF(AND(ISNUMBER($Y$4),ISNUMBER(DB_Colleges!AD328)),IF($Y$4&gt;=DB_Colleges!AD328+0.15,1,IF($Y$4&lt;DB_Colleges!AD328-0.2,-1,0)),"")</f>
        <v/>
      </c>
      <c r="W334" s="1" t="n">
        <f aca="false">IF(COUNT(U334:V334)=0,0,MIN(U334:V334))</f>
        <v>0</v>
      </c>
    </row>
    <row r="335" customFormat="false" ht="15" hidden="false" customHeight="true" outlineLevel="0" collapsed="false">
      <c r="A335" s="26" t="str">
        <f aca="false">IF(B335="","",IF(COUNTIF('My Colleges'!$B$8:$B$27,B335)&gt;0,"On list",""))</f>
        <v/>
      </c>
      <c r="B335" s="27" t="str">
        <f aca="false">IF(DB_Colleges!A329="","",DB_Colleges!A329)</f>
        <v/>
      </c>
      <c r="C335" s="26" t="str">
        <f aca="false">IF(B335="","",DB_Colleges!B329)</f>
        <v/>
      </c>
      <c r="D335" s="26" t="str">
        <f aca="false">IF(B335="","",DB_Colleges!C329&amp;", "&amp;DB_Colleges!D329)</f>
        <v/>
      </c>
      <c r="E335" s="26" t="str">
        <f aca="false">IF(B335="","",IF(AND(NOT(ISNUMBER($X$4)),NOT(ISNUMBER($Y$4))),"Add scores",IF(NOT(ISNUMBER(DB_Colleges!Y329)),IF(OR(C335="Ivy League",C335="Highly Selective"),"Reach",IF(COUNT(U335:V335)=0,"No data",CHOOSE(W335+2,"Reach","Target","Likely"))),IF(DB_Colleges!Y329&lt;0.15,"Reach",IF(DB_Colleges!Y329&gt;=0.75,IF(W335&gt;=0,"Likely","Target"),IF(DB_Colleges!Y329&gt;=0.4,CHOOSE(W335+2,"Reach","Target","Likely"),IF(W335=1,"Target","Reach")))))))</f>
        <v/>
      </c>
      <c r="F335" s="28" t="str">
        <f aca="false">IF(OR(B335="",NOT(ISNUMBER(DB_Colleges!Y329))),"",DB_Colleges!Y329)</f>
        <v/>
      </c>
      <c r="G335" s="26" t="str">
        <f aca="false">IF(OR(B335="",NOT(ISNUMBER(DB_Colleges!Z329))),"",DB_Colleges!Z329&amp;"-"&amp;DB_Colleges!AA329)</f>
        <v/>
      </c>
      <c r="H335" s="26" t="str">
        <f aca="false">IF(OR(B335="",NOT(ISNUMBER(DB_Colleges!AD329))),"",DB_Colleges!AD329)</f>
        <v/>
      </c>
      <c r="I335" s="29" t="str">
        <f aca="false">IF(B335="","",IF(COUNT(DB_Colleges!I329:O329)=0,IF(DB_Colleges!P329="Yes","Rolling","Check site"),MIN(DB_Colleges!I329:O329)))</f>
        <v/>
      </c>
      <c r="J335" s="26" t="str">
        <f aca="false">IF(OR(B335="",COUNT(DB_Colleges!I329:O329)=0),"",INDEX({"ED","ED II","EA","EA II","REA","RD","Priority"},MATCH(MIN(DB_Colleges!I329:O329),DB_Colleges!I329:O329,0)))</f>
        <v/>
      </c>
      <c r="K335" s="29" t="str">
        <f aca="false">IF(OR(B335="",NOT(ISNUMBER(DB_Colleges!N329))),"",DB_Colleges!N329)</f>
        <v/>
      </c>
      <c r="L335" s="26" t="str">
        <f aca="false">IF(B335="","",DB_Colleges!G329&amp;"")</f>
        <v/>
      </c>
      <c r="M335" s="30" t="str">
        <f aca="false">IF(OR(B335="",NOT(ISNUMBER(DB_Colleges!S329))),"",DB_Colleges!S329)</f>
        <v/>
      </c>
      <c r="N335" s="26" t="str">
        <f aca="false">IF(B335="","",DB_Colleges!U329&amp;"")</f>
        <v/>
      </c>
      <c r="O335" s="26" t="str">
        <f aca="false">IF(B335="","",IF(ISNUMBER(DB_Colleges!AH329),DB_Colleges!AH329,"Check"))</f>
        <v/>
      </c>
      <c r="P335" s="26" t="str">
        <f aca="false">IF(B335="","",DB_Colleges!W329&amp;"")</f>
        <v/>
      </c>
      <c r="Q335" s="30" t="str">
        <f aca="false">IF(OR(B335="",NOT(ISNUMBER(DB_Colleges!AF329))),"",DB_Colleges!AF329)</f>
        <v/>
      </c>
      <c r="R335" s="28" t="str">
        <f aca="false">IF(OR(B335="",NOT(ISNUMBER(DB_Colleges!AG329))),"",DB_Colleges!AG329)</f>
        <v/>
      </c>
      <c r="S335" s="26" t="str">
        <f aca="false">IF(B335="","",DB_Colleges!AK329&amp;"")</f>
        <v/>
      </c>
      <c r="T335" s="26" t="str">
        <f aca="false">IF(B335="","",DB_Colleges!AI329&amp;"")</f>
        <v/>
      </c>
      <c r="U335" s="1" t="str">
        <f aca="false">IF(AND(ISNUMBER($X$4),ISNUMBER(DB_Colleges!Z329),ISNUMBER(DB_Colleges!AA329)),IF($X$4&gt;=DB_Colleges!AA329,1,IF($X$4&lt;DB_Colleges!Z329,-1,0)),"")</f>
        <v/>
      </c>
      <c r="V335" s="1" t="str">
        <f aca="false">IF(AND(ISNUMBER($Y$4),ISNUMBER(DB_Colleges!AD329)),IF($Y$4&gt;=DB_Colleges!AD329+0.15,1,IF($Y$4&lt;DB_Colleges!AD329-0.2,-1,0)),"")</f>
        <v/>
      </c>
      <c r="W335" s="1" t="n">
        <f aca="false">IF(COUNT(U335:V335)=0,0,MIN(U335:V335))</f>
        <v>0</v>
      </c>
    </row>
    <row r="336" customFormat="false" ht="15" hidden="false" customHeight="true" outlineLevel="0" collapsed="false">
      <c r="A336" s="26" t="str">
        <f aca="false">IF(B336="","",IF(COUNTIF('My Colleges'!$B$8:$B$27,B336)&gt;0,"On list",""))</f>
        <v/>
      </c>
      <c r="B336" s="27" t="str">
        <f aca="false">IF(DB_Colleges!A330="","",DB_Colleges!A330)</f>
        <v/>
      </c>
      <c r="C336" s="26" t="str">
        <f aca="false">IF(B336="","",DB_Colleges!B330)</f>
        <v/>
      </c>
      <c r="D336" s="26" t="str">
        <f aca="false">IF(B336="","",DB_Colleges!C330&amp;", "&amp;DB_Colleges!D330)</f>
        <v/>
      </c>
      <c r="E336" s="26" t="str">
        <f aca="false">IF(B336="","",IF(AND(NOT(ISNUMBER($X$4)),NOT(ISNUMBER($Y$4))),"Add scores",IF(NOT(ISNUMBER(DB_Colleges!Y330)),IF(OR(C336="Ivy League",C336="Highly Selective"),"Reach",IF(COUNT(U336:V336)=0,"No data",CHOOSE(W336+2,"Reach","Target","Likely"))),IF(DB_Colleges!Y330&lt;0.15,"Reach",IF(DB_Colleges!Y330&gt;=0.75,IF(W336&gt;=0,"Likely","Target"),IF(DB_Colleges!Y330&gt;=0.4,CHOOSE(W336+2,"Reach","Target","Likely"),IF(W336=1,"Target","Reach")))))))</f>
        <v/>
      </c>
      <c r="F336" s="28" t="str">
        <f aca="false">IF(OR(B336="",NOT(ISNUMBER(DB_Colleges!Y330))),"",DB_Colleges!Y330)</f>
        <v/>
      </c>
      <c r="G336" s="26" t="str">
        <f aca="false">IF(OR(B336="",NOT(ISNUMBER(DB_Colleges!Z330))),"",DB_Colleges!Z330&amp;"-"&amp;DB_Colleges!AA330)</f>
        <v/>
      </c>
      <c r="H336" s="26" t="str">
        <f aca="false">IF(OR(B336="",NOT(ISNUMBER(DB_Colleges!AD330))),"",DB_Colleges!AD330)</f>
        <v/>
      </c>
      <c r="I336" s="29" t="str">
        <f aca="false">IF(B336="","",IF(COUNT(DB_Colleges!I330:O330)=0,IF(DB_Colleges!P330="Yes","Rolling","Check site"),MIN(DB_Colleges!I330:O330)))</f>
        <v/>
      </c>
      <c r="J336" s="26" t="str">
        <f aca="false">IF(OR(B336="",COUNT(DB_Colleges!I330:O330)=0),"",INDEX({"ED","ED II","EA","EA II","REA","RD","Priority"},MATCH(MIN(DB_Colleges!I330:O330),DB_Colleges!I330:O330,0)))</f>
        <v/>
      </c>
      <c r="K336" s="29" t="str">
        <f aca="false">IF(OR(B336="",NOT(ISNUMBER(DB_Colleges!N330))),"",DB_Colleges!N330)</f>
        <v/>
      </c>
      <c r="L336" s="26" t="str">
        <f aca="false">IF(B336="","",DB_Colleges!G330&amp;"")</f>
        <v/>
      </c>
      <c r="M336" s="30" t="str">
        <f aca="false">IF(OR(B336="",NOT(ISNUMBER(DB_Colleges!S330))),"",DB_Colleges!S330)</f>
        <v/>
      </c>
      <c r="N336" s="26" t="str">
        <f aca="false">IF(B336="","",DB_Colleges!U330&amp;"")</f>
        <v/>
      </c>
      <c r="O336" s="26" t="str">
        <f aca="false">IF(B336="","",IF(ISNUMBER(DB_Colleges!AH330),DB_Colleges!AH330,"Check"))</f>
        <v/>
      </c>
      <c r="P336" s="26" t="str">
        <f aca="false">IF(B336="","",DB_Colleges!W330&amp;"")</f>
        <v/>
      </c>
      <c r="Q336" s="30" t="str">
        <f aca="false">IF(OR(B336="",NOT(ISNUMBER(DB_Colleges!AF330))),"",DB_Colleges!AF330)</f>
        <v/>
      </c>
      <c r="R336" s="28" t="str">
        <f aca="false">IF(OR(B336="",NOT(ISNUMBER(DB_Colleges!AG330))),"",DB_Colleges!AG330)</f>
        <v/>
      </c>
      <c r="S336" s="26" t="str">
        <f aca="false">IF(B336="","",DB_Colleges!AK330&amp;"")</f>
        <v/>
      </c>
      <c r="T336" s="26" t="str">
        <f aca="false">IF(B336="","",DB_Colleges!AI330&amp;"")</f>
        <v/>
      </c>
      <c r="U336" s="1" t="str">
        <f aca="false">IF(AND(ISNUMBER($X$4),ISNUMBER(DB_Colleges!Z330),ISNUMBER(DB_Colleges!AA330)),IF($X$4&gt;=DB_Colleges!AA330,1,IF($X$4&lt;DB_Colleges!Z330,-1,0)),"")</f>
        <v/>
      </c>
      <c r="V336" s="1" t="str">
        <f aca="false">IF(AND(ISNUMBER($Y$4),ISNUMBER(DB_Colleges!AD330)),IF($Y$4&gt;=DB_Colleges!AD330+0.15,1,IF($Y$4&lt;DB_Colleges!AD330-0.2,-1,0)),"")</f>
        <v/>
      </c>
      <c r="W336" s="1" t="n">
        <f aca="false">IF(COUNT(U336:V336)=0,0,MIN(U336:V336))</f>
        <v>0</v>
      </c>
    </row>
    <row r="337" customFormat="false" ht="15" hidden="false" customHeight="true" outlineLevel="0" collapsed="false">
      <c r="A337" s="26" t="str">
        <f aca="false">IF(B337="","",IF(COUNTIF('My Colleges'!$B$8:$B$27,B337)&gt;0,"On list",""))</f>
        <v/>
      </c>
      <c r="B337" s="27" t="str">
        <f aca="false">IF(DB_Colleges!A331="","",DB_Colleges!A331)</f>
        <v/>
      </c>
      <c r="C337" s="26" t="str">
        <f aca="false">IF(B337="","",DB_Colleges!B331)</f>
        <v/>
      </c>
      <c r="D337" s="26" t="str">
        <f aca="false">IF(B337="","",DB_Colleges!C331&amp;", "&amp;DB_Colleges!D331)</f>
        <v/>
      </c>
      <c r="E337" s="26" t="str">
        <f aca="false">IF(B337="","",IF(AND(NOT(ISNUMBER($X$4)),NOT(ISNUMBER($Y$4))),"Add scores",IF(NOT(ISNUMBER(DB_Colleges!Y331)),IF(OR(C337="Ivy League",C337="Highly Selective"),"Reach",IF(COUNT(U337:V337)=0,"No data",CHOOSE(W337+2,"Reach","Target","Likely"))),IF(DB_Colleges!Y331&lt;0.15,"Reach",IF(DB_Colleges!Y331&gt;=0.75,IF(W337&gt;=0,"Likely","Target"),IF(DB_Colleges!Y331&gt;=0.4,CHOOSE(W337+2,"Reach","Target","Likely"),IF(W337=1,"Target","Reach")))))))</f>
        <v/>
      </c>
      <c r="F337" s="28" t="str">
        <f aca="false">IF(OR(B337="",NOT(ISNUMBER(DB_Colleges!Y331))),"",DB_Colleges!Y331)</f>
        <v/>
      </c>
      <c r="G337" s="26" t="str">
        <f aca="false">IF(OR(B337="",NOT(ISNUMBER(DB_Colleges!Z331))),"",DB_Colleges!Z331&amp;"-"&amp;DB_Colleges!AA331)</f>
        <v/>
      </c>
      <c r="H337" s="26" t="str">
        <f aca="false">IF(OR(B337="",NOT(ISNUMBER(DB_Colleges!AD331))),"",DB_Colleges!AD331)</f>
        <v/>
      </c>
      <c r="I337" s="29" t="str">
        <f aca="false">IF(B337="","",IF(COUNT(DB_Colleges!I331:O331)=0,IF(DB_Colleges!P331="Yes","Rolling","Check site"),MIN(DB_Colleges!I331:O331)))</f>
        <v/>
      </c>
      <c r="J337" s="26" t="str">
        <f aca="false">IF(OR(B337="",COUNT(DB_Colleges!I331:O331)=0),"",INDEX({"ED","ED II","EA","EA II","REA","RD","Priority"},MATCH(MIN(DB_Colleges!I331:O331),DB_Colleges!I331:O331,0)))</f>
        <v/>
      </c>
      <c r="K337" s="29" t="str">
        <f aca="false">IF(OR(B337="",NOT(ISNUMBER(DB_Colleges!N331))),"",DB_Colleges!N331)</f>
        <v/>
      </c>
      <c r="L337" s="26" t="str">
        <f aca="false">IF(B337="","",DB_Colleges!G331&amp;"")</f>
        <v/>
      </c>
      <c r="M337" s="30" t="str">
        <f aca="false">IF(OR(B337="",NOT(ISNUMBER(DB_Colleges!S331))),"",DB_Colleges!S331)</f>
        <v/>
      </c>
      <c r="N337" s="26" t="str">
        <f aca="false">IF(B337="","",DB_Colleges!U331&amp;"")</f>
        <v/>
      </c>
      <c r="O337" s="26" t="str">
        <f aca="false">IF(B337="","",IF(ISNUMBER(DB_Colleges!AH331),DB_Colleges!AH331,"Check"))</f>
        <v/>
      </c>
      <c r="P337" s="26" t="str">
        <f aca="false">IF(B337="","",DB_Colleges!W331&amp;"")</f>
        <v/>
      </c>
      <c r="Q337" s="30" t="str">
        <f aca="false">IF(OR(B337="",NOT(ISNUMBER(DB_Colleges!AF331))),"",DB_Colleges!AF331)</f>
        <v/>
      </c>
      <c r="R337" s="28" t="str">
        <f aca="false">IF(OR(B337="",NOT(ISNUMBER(DB_Colleges!AG331))),"",DB_Colleges!AG331)</f>
        <v/>
      </c>
      <c r="S337" s="26" t="str">
        <f aca="false">IF(B337="","",DB_Colleges!AK331&amp;"")</f>
        <v/>
      </c>
      <c r="T337" s="26" t="str">
        <f aca="false">IF(B337="","",DB_Colleges!AI331&amp;"")</f>
        <v/>
      </c>
      <c r="U337" s="1" t="str">
        <f aca="false">IF(AND(ISNUMBER($X$4),ISNUMBER(DB_Colleges!Z331),ISNUMBER(DB_Colleges!AA331)),IF($X$4&gt;=DB_Colleges!AA331,1,IF($X$4&lt;DB_Colleges!Z331,-1,0)),"")</f>
        <v/>
      </c>
      <c r="V337" s="1" t="str">
        <f aca="false">IF(AND(ISNUMBER($Y$4),ISNUMBER(DB_Colleges!AD331)),IF($Y$4&gt;=DB_Colleges!AD331+0.15,1,IF($Y$4&lt;DB_Colleges!AD331-0.2,-1,0)),"")</f>
        <v/>
      </c>
      <c r="W337" s="1" t="n">
        <f aca="false">IF(COUNT(U337:V337)=0,0,MIN(U337:V337))</f>
        <v>0</v>
      </c>
    </row>
    <row r="338" customFormat="false" ht="15" hidden="false" customHeight="true" outlineLevel="0" collapsed="false">
      <c r="A338" s="26" t="str">
        <f aca="false">IF(B338="","",IF(COUNTIF('My Colleges'!$B$8:$B$27,B338)&gt;0,"On list",""))</f>
        <v/>
      </c>
      <c r="B338" s="27" t="str">
        <f aca="false">IF(DB_Colleges!A332="","",DB_Colleges!A332)</f>
        <v/>
      </c>
      <c r="C338" s="26" t="str">
        <f aca="false">IF(B338="","",DB_Colleges!B332)</f>
        <v/>
      </c>
      <c r="D338" s="26" t="str">
        <f aca="false">IF(B338="","",DB_Colleges!C332&amp;", "&amp;DB_Colleges!D332)</f>
        <v/>
      </c>
      <c r="E338" s="26" t="str">
        <f aca="false">IF(B338="","",IF(AND(NOT(ISNUMBER($X$4)),NOT(ISNUMBER($Y$4))),"Add scores",IF(NOT(ISNUMBER(DB_Colleges!Y332)),IF(OR(C338="Ivy League",C338="Highly Selective"),"Reach",IF(COUNT(U338:V338)=0,"No data",CHOOSE(W338+2,"Reach","Target","Likely"))),IF(DB_Colleges!Y332&lt;0.15,"Reach",IF(DB_Colleges!Y332&gt;=0.75,IF(W338&gt;=0,"Likely","Target"),IF(DB_Colleges!Y332&gt;=0.4,CHOOSE(W338+2,"Reach","Target","Likely"),IF(W338=1,"Target","Reach")))))))</f>
        <v/>
      </c>
      <c r="F338" s="28" t="str">
        <f aca="false">IF(OR(B338="",NOT(ISNUMBER(DB_Colleges!Y332))),"",DB_Colleges!Y332)</f>
        <v/>
      </c>
      <c r="G338" s="26" t="str">
        <f aca="false">IF(OR(B338="",NOT(ISNUMBER(DB_Colleges!Z332))),"",DB_Colleges!Z332&amp;"-"&amp;DB_Colleges!AA332)</f>
        <v/>
      </c>
      <c r="H338" s="26" t="str">
        <f aca="false">IF(OR(B338="",NOT(ISNUMBER(DB_Colleges!AD332))),"",DB_Colleges!AD332)</f>
        <v/>
      </c>
      <c r="I338" s="29" t="str">
        <f aca="false">IF(B338="","",IF(COUNT(DB_Colleges!I332:O332)=0,IF(DB_Colleges!P332="Yes","Rolling","Check site"),MIN(DB_Colleges!I332:O332)))</f>
        <v/>
      </c>
      <c r="J338" s="26" t="str">
        <f aca="false">IF(OR(B338="",COUNT(DB_Colleges!I332:O332)=0),"",INDEX({"ED","ED II","EA","EA II","REA","RD","Priority"},MATCH(MIN(DB_Colleges!I332:O332),DB_Colleges!I332:O332,0)))</f>
        <v/>
      </c>
      <c r="K338" s="29" t="str">
        <f aca="false">IF(OR(B338="",NOT(ISNUMBER(DB_Colleges!N332))),"",DB_Colleges!N332)</f>
        <v/>
      </c>
      <c r="L338" s="26" t="str">
        <f aca="false">IF(B338="","",DB_Colleges!G332&amp;"")</f>
        <v/>
      </c>
      <c r="M338" s="30" t="str">
        <f aca="false">IF(OR(B338="",NOT(ISNUMBER(DB_Colleges!S332))),"",DB_Colleges!S332)</f>
        <v/>
      </c>
      <c r="N338" s="26" t="str">
        <f aca="false">IF(B338="","",DB_Colleges!U332&amp;"")</f>
        <v/>
      </c>
      <c r="O338" s="26" t="str">
        <f aca="false">IF(B338="","",IF(ISNUMBER(DB_Colleges!AH332),DB_Colleges!AH332,"Check"))</f>
        <v/>
      </c>
      <c r="P338" s="26" t="str">
        <f aca="false">IF(B338="","",DB_Colleges!W332&amp;"")</f>
        <v/>
      </c>
      <c r="Q338" s="30" t="str">
        <f aca="false">IF(OR(B338="",NOT(ISNUMBER(DB_Colleges!AF332))),"",DB_Colleges!AF332)</f>
        <v/>
      </c>
      <c r="R338" s="28" t="str">
        <f aca="false">IF(OR(B338="",NOT(ISNUMBER(DB_Colleges!AG332))),"",DB_Colleges!AG332)</f>
        <v/>
      </c>
      <c r="S338" s="26" t="str">
        <f aca="false">IF(B338="","",DB_Colleges!AK332&amp;"")</f>
        <v/>
      </c>
      <c r="T338" s="26" t="str">
        <f aca="false">IF(B338="","",DB_Colleges!AI332&amp;"")</f>
        <v/>
      </c>
      <c r="U338" s="1" t="str">
        <f aca="false">IF(AND(ISNUMBER($X$4),ISNUMBER(DB_Colleges!Z332),ISNUMBER(DB_Colleges!AA332)),IF($X$4&gt;=DB_Colleges!AA332,1,IF($X$4&lt;DB_Colleges!Z332,-1,0)),"")</f>
        <v/>
      </c>
      <c r="V338" s="1" t="str">
        <f aca="false">IF(AND(ISNUMBER($Y$4),ISNUMBER(DB_Colleges!AD332)),IF($Y$4&gt;=DB_Colleges!AD332+0.15,1,IF($Y$4&lt;DB_Colleges!AD332-0.2,-1,0)),"")</f>
        <v/>
      </c>
      <c r="W338" s="1" t="n">
        <f aca="false">IF(COUNT(U338:V338)=0,0,MIN(U338:V338))</f>
        <v>0</v>
      </c>
    </row>
    <row r="339" customFormat="false" ht="15" hidden="false" customHeight="true" outlineLevel="0" collapsed="false">
      <c r="A339" s="26" t="str">
        <f aca="false">IF(B339="","",IF(COUNTIF('My Colleges'!$B$8:$B$27,B339)&gt;0,"On list",""))</f>
        <v/>
      </c>
      <c r="B339" s="27" t="str">
        <f aca="false">IF(DB_Colleges!A333="","",DB_Colleges!A333)</f>
        <v/>
      </c>
      <c r="C339" s="26" t="str">
        <f aca="false">IF(B339="","",DB_Colleges!B333)</f>
        <v/>
      </c>
      <c r="D339" s="26" t="str">
        <f aca="false">IF(B339="","",DB_Colleges!C333&amp;", "&amp;DB_Colleges!D333)</f>
        <v/>
      </c>
      <c r="E339" s="26" t="str">
        <f aca="false">IF(B339="","",IF(AND(NOT(ISNUMBER($X$4)),NOT(ISNUMBER($Y$4))),"Add scores",IF(NOT(ISNUMBER(DB_Colleges!Y333)),IF(OR(C339="Ivy League",C339="Highly Selective"),"Reach",IF(COUNT(U339:V339)=0,"No data",CHOOSE(W339+2,"Reach","Target","Likely"))),IF(DB_Colleges!Y333&lt;0.15,"Reach",IF(DB_Colleges!Y333&gt;=0.75,IF(W339&gt;=0,"Likely","Target"),IF(DB_Colleges!Y333&gt;=0.4,CHOOSE(W339+2,"Reach","Target","Likely"),IF(W339=1,"Target","Reach")))))))</f>
        <v/>
      </c>
      <c r="F339" s="28" t="str">
        <f aca="false">IF(OR(B339="",NOT(ISNUMBER(DB_Colleges!Y333))),"",DB_Colleges!Y333)</f>
        <v/>
      </c>
      <c r="G339" s="26" t="str">
        <f aca="false">IF(OR(B339="",NOT(ISNUMBER(DB_Colleges!Z333))),"",DB_Colleges!Z333&amp;"-"&amp;DB_Colleges!AA333)</f>
        <v/>
      </c>
      <c r="H339" s="26" t="str">
        <f aca="false">IF(OR(B339="",NOT(ISNUMBER(DB_Colleges!AD333))),"",DB_Colleges!AD333)</f>
        <v/>
      </c>
      <c r="I339" s="29" t="str">
        <f aca="false">IF(B339="","",IF(COUNT(DB_Colleges!I333:O333)=0,IF(DB_Colleges!P333="Yes","Rolling","Check site"),MIN(DB_Colleges!I333:O333)))</f>
        <v/>
      </c>
      <c r="J339" s="26" t="str">
        <f aca="false">IF(OR(B339="",COUNT(DB_Colleges!I333:O333)=0),"",INDEX({"ED","ED II","EA","EA II","REA","RD","Priority"},MATCH(MIN(DB_Colleges!I333:O333),DB_Colleges!I333:O333,0)))</f>
        <v/>
      </c>
      <c r="K339" s="29" t="str">
        <f aca="false">IF(OR(B339="",NOT(ISNUMBER(DB_Colleges!N333))),"",DB_Colleges!N333)</f>
        <v/>
      </c>
      <c r="L339" s="26" t="str">
        <f aca="false">IF(B339="","",DB_Colleges!G333&amp;"")</f>
        <v/>
      </c>
      <c r="M339" s="30" t="str">
        <f aca="false">IF(OR(B339="",NOT(ISNUMBER(DB_Colleges!S333))),"",DB_Colleges!S333)</f>
        <v/>
      </c>
      <c r="N339" s="26" t="str">
        <f aca="false">IF(B339="","",DB_Colleges!U333&amp;"")</f>
        <v/>
      </c>
      <c r="O339" s="26" t="str">
        <f aca="false">IF(B339="","",IF(ISNUMBER(DB_Colleges!AH333),DB_Colleges!AH333,"Check"))</f>
        <v/>
      </c>
      <c r="P339" s="26" t="str">
        <f aca="false">IF(B339="","",DB_Colleges!W333&amp;"")</f>
        <v/>
      </c>
      <c r="Q339" s="30" t="str">
        <f aca="false">IF(OR(B339="",NOT(ISNUMBER(DB_Colleges!AF333))),"",DB_Colleges!AF333)</f>
        <v/>
      </c>
      <c r="R339" s="28" t="str">
        <f aca="false">IF(OR(B339="",NOT(ISNUMBER(DB_Colleges!AG333))),"",DB_Colleges!AG333)</f>
        <v/>
      </c>
      <c r="S339" s="26" t="str">
        <f aca="false">IF(B339="","",DB_Colleges!AK333&amp;"")</f>
        <v/>
      </c>
      <c r="T339" s="26" t="str">
        <f aca="false">IF(B339="","",DB_Colleges!AI333&amp;"")</f>
        <v/>
      </c>
      <c r="U339" s="1" t="str">
        <f aca="false">IF(AND(ISNUMBER($X$4),ISNUMBER(DB_Colleges!Z333),ISNUMBER(DB_Colleges!AA333)),IF($X$4&gt;=DB_Colleges!AA333,1,IF($X$4&lt;DB_Colleges!Z333,-1,0)),"")</f>
        <v/>
      </c>
      <c r="V339" s="1" t="str">
        <f aca="false">IF(AND(ISNUMBER($Y$4),ISNUMBER(DB_Colleges!AD333)),IF($Y$4&gt;=DB_Colleges!AD333+0.15,1,IF($Y$4&lt;DB_Colleges!AD333-0.2,-1,0)),"")</f>
        <v/>
      </c>
      <c r="W339" s="1" t="n">
        <f aca="false">IF(COUNT(U339:V339)=0,0,MIN(U339:V339))</f>
        <v>0</v>
      </c>
    </row>
    <row r="340" customFormat="false" ht="15" hidden="false" customHeight="true" outlineLevel="0" collapsed="false">
      <c r="A340" s="26" t="str">
        <f aca="false">IF(B340="","",IF(COUNTIF('My Colleges'!$B$8:$B$27,B340)&gt;0,"On list",""))</f>
        <v/>
      </c>
      <c r="B340" s="27" t="str">
        <f aca="false">IF(DB_Colleges!A334="","",DB_Colleges!A334)</f>
        <v/>
      </c>
      <c r="C340" s="26" t="str">
        <f aca="false">IF(B340="","",DB_Colleges!B334)</f>
        <v/>
      </c>
      <c r="D340" s="26" t="str">
        <f aca="false">IF(B340="","",DB_Colleges!C334&amp;", "&amp;DB_Colleges!D334)</f>
        <v/>
      </c>
      <c r="E340" s="26" t="str">
        <f aca="false">IF(B340="","",IF(AND(NOT(ISNUMBER($X$4)),NOT(ISNUMBER($Y$4))),"Add scores",IF(NOT(ISNUMBER(DB_Colleges!Y334)),IF(OR(C340="Ivy League",C340="Highly Selective"),"Reach",IF(COUNT(U340:V340)=0,"No data",CHOOSE(W340+2,"Reach","Target","Likely"))),IF(DB_Colleges!Y334&lt;0.15,"Reach",IF(DB_Colleges!Y334&gt;=0.75,IF(W340&gt;=0,"Likely","Target"),IF(DB_Colleges!Y334&gt;=0.4,CHOOSE(W340+2,"Reach","Target","Likely"),IF(W340=1,"Target","Reach")))))))</f>
        <v/>
      </c>
      <c r="F340" s="28" t="str">
        <f aca="false">IF(OR(B340="",NOT(ISNUMBER(DB_Colleges!Y334))),"",DB_Colleges!Y334)</f>
        <v/>
      </c>
      <c r="G340" s="26" t="str">
        <f aca="false">IF(OR(B340="",NOT(ISNUMBER(DB_Colleges!Z334))),"",DB_Colleges!Z334&amp;"-"&amp;DB_Colleges!AA334)</f>
        <v/>
      </c>
      <c r="H340" s="26" t="str">
        <f aca="false">IF(OR(B340="",NOT(ISNUMBER(DB_Colleges!AD334))),"",DB_Colleges!AD334)</f>
        <v/>
      </c>
      <c r="I340" s="29" t="str">
        <f aca="false">IF(B340="","",IF(COUNT(DB_Colleges!I334:O334)=0,IF(DB_Colleges!P334="Yes","Rolling","Check site"),MIN(DB_Colleges!I334:O334)))</f>
        <v/>
      </c>
      <c r="J340" s="26" t="str">
        <f aca="false">IF(OR(B340="",COUNT(DB_Colleges!I334:O334)=0),"",INDEX({"ED","ED II","EA","EA II","REA","RD","Priority"},MATCH(MIN(DB_Colleges!I334:O334),DB_Colleges!I334:O334,0)))</f>
        <v/>
      </c>
      <c r="K340" s="29" t="str">
        <f aca="false">IF(OR(B340="",NOT(ISNUMBER(DB_Colleges!N334))),"",DB_Colleges!N334)</f>
        <v/>
      </c>
      <c r="L340" s="26" t="str">
        <f aca="false">IF(B340="","",DB_Colleges!G334&amp;"")</f>
        <v/>
      </c>
      <c r="M340" s="30" t="str">
        <f aca="false">IF(OR(B340="",NOT(ISNUMBER(DB_Colleges!S334))),"",DB_Colleges!S334)</f>
        <v/>
      </c>
      <c r="N340" s="26" t="str">
        <f aca="false">IF(B340="","",DB_Colleges!U334&amp;"")</f>
        <v/>
      </c>
      <c r="O340" s="26" t="str">
        <f aca="false">IF(B340="","",IF(ISNUMBER(DB_Colleges!AH334),DB_Colleges!AH334,"Check"))</f>
        <v/>
      </c>
      <c r="P340" s="26" t="str">
        <f aca="false">IF(B340="","",DB_Colleges!W334&amp;"")</f>
        <v/>
      </c>
      <c r="Q340" s="30" t="str">
        <f aca="false">IF(OR(B340="",NOT(ISNUMBER(DB_Colleges!AF334))),"",DB_Colleges!AF334)</f>
        <v/>
      </c>
      <c r="R340" s="28" t="str">
        <f aca="false">IF(OR(B340="",NOT(ISNUMBER(DB_Colleges!AG334))),"",DB_Colleges!AG334)</f>
        <v/>
      </c>
      <c r="S340" s="26" t="str">
        <f aca="false">IF(B340="","",DB_Colleges!AK334&amp;"")</f>
        <v/>
      </c>
      <c r="T340" s="26" t="str">
        <f aca="false">IF(B340="","",DB_Colleges!AI334&amp;"")</f>
        <v/>
      </c>
      <c r="U340" s="1" t="str">
        <f aca="false">IF(AND(ISNUMBER($X$4),ISNUMBER(DB_Colleges!Z334),ISNUMBER(DB_Colleges!AA334)),IF($X$4&gt;=DB_Colleges!AA334,1,IF($X$4&lt;DB_Colleges!Z334,-1,0)),"")</f>
        <v/>
      </c>
      <c r="V340" s="1" t="str">
        <f aca="false">IF(AND(ISNUMBER($Y$4),ISNUMBER(DB_Colleges!AD334)),IF($Y$4&gt;=DB_Colleges!AD334+0.15,1,IF($Y$4&lt;DB_Colleges!AD334-0.2,-1,0)),"")</f>
        <v/>
      </c>
      <c r="W340" s="1" t="n">
        <f aca="false">IF(COUNT(U340:V340)=0,0,MIN(U340:V340))</f>
        <v>0</v>
      </c>
    </row>
    <row r="341" customFormat="false" ht="15" hidden="false" customHeight="true" outlineLevel="0" collapsed="false">
      <c r="A341" s="26" t="str">
        <f aca="false">IF(B341="","",IF(COUNTIF('My Colleges'!$B$8:$B$27,B341)&gt;0,"On list",""))</f>
        <v/>
      </c>
      <c r="B341" s="27" t="str">
        <f aca="false">IF(DB_Colleges!A335="","",DB_Colleges!A335)</f>
        <v/>
      </c>
      <c r="C341" s="26" t="str">
        <f aca="false">IF(B341="","",DB_Colleges!B335)</f>
        <v/>
      </c>
      <c r="D341" s="26" t="str">
        <f aca="false">IF(B341="","",DB_Colleges!C335&amp;", "&amp;DB_Colleges!D335)</f>
        <v/>
      </c>
      <c r="E341" s="26" t="str">
        <f aca="false">IF(B341="","",IF(AND(NOT(ISNUMBER($X$4)),NOT(ISNUMBER($Y$4))),"Add scores",IF(NOT(ISNUMBER(DB_Colleges!Y335)),IF(OR(C341="Ivy League",C341="Highly Selective"),"Reach",IF(COUNT(U341:V341)=0,"No data",CHOOSE(W341+2,"Reach","Target","Likely"))),IF(DB_Colleges!Y335&lt;0.15,"Reach",IF(DB_Colleges!Y335&gt;=0.75,IF(W341&gt;=0,"Likely","Target"),IF(DB_Colleges!Y335&gt;=0.4,CHOOSE(W341+2,"Reach","Target","Likely"),IF(W341=1,"Target","Reach")))))))</f>
        <v/>
      </c>
      <c r="F341" s="28" t="str">
        <f aca="false">IF(OR(B341="",NOT(ISNUMBER(DB_Colleges!Y335))),"",DB_Colleges!Y335)</f>
        <v/>
      </c>
      <c r="G341" s="26" t="str">
        <f aca="false">IF(OR(B341="",NOT(ISNUMBER(DB_Colleges!Z335))),"",DB_Colleges!Z335&amp;"-"&amp;DB_Colleges!AA335)</f>
        <v/>
      </c>
      <c r="H341" s="26" t="str">
        <f aca="false">IF(OR(B341="",NOT(ISNUMBER(DB_Colleges!AD335))),"",DB_Colleges!AD335)</f>
        <v/>
      </c>
      <c r="I341" s="29" t="str">
        <f aca="false">IF(B341="","",IF(COUNT(DB_Colleges!I335:O335)=0,IF(DB_Colleges!P335="Yes","Rolling","Check site"),MIN(DB_Colleges!I335:O335)))</f>
        <v/>
      </c>
      <c r="J341" s="26" t="str">
        <f aca="false">IF(OR(B341="",COUNT(DB_Colleges!I335:O335)=0),"",INDEX({"ED","ED II","EA","EA II","REA","RD","Priority"},MATCH(MIN(DB_Colleges!I335:O335),DB_Colleges!I335:O335,0)))</f>
        <v/>
      </c>
      <c r="K341" s="29" t="str">
        <f aca="false">IF(OR(B341="",NOT(ISNUMBER(DB_Colleges!N335))),"",DB_Colleges!N335)</f>
        <v/>
      </c>
      <c r="L341" s="26" t="str">
        <f aca="false">IF(B341="","",DB_Colleges!G335&amp;"")</f>
        <v/>
      </c>
      <c r="M341" s="30" t="str">
        <f aca="false">IF(OR(B341="",NOT(ISNUMBER(DB_Colleges!S335))),"",DB_Colleges!S335)</f>
        <v/>
      </c>
      <c r="N341" s="26" t="str">
        <f aca="false">IF(B341="","",DB_Colleges!U335&amp;"")</f>
        <v/>
      </c>
      <c r="O341" s="26" t="str">
        <f aca="false">IF(B341="","",IF(ISNUMBER(DB_Colleges!AH335),DB_Colleges!AH335,"Check"))</f>
        <v/>
      </c>
      <c r="P341" s="26" t="str">
        <f aca="false">IF(B341="","",DB_Colleges!W335&amp;"")</f>
        <v/>
      </c>
      <c r="Q341" s="30" t="str">
        <f aca="false">IF(OR(B341="",NOT(ISNUMBER(DB_Colleges!AF335))),"",DB_Colleges!AF335)</f>
        <v/>
      </c>
      <c r="R341" s="28" t="str">
        <f aca="false">IF(OR(B341="",NOT(ISNUMBER(DB_Colleges!AG335))),"",DB_Colleges!AG335)</f>
        <v/>
      </c>
      <c r="S341" s="26" t="str">
        <f aca="false">IF(B341="","",DB_Colleges!AK335&amp;"")</f>
        <v/>
      </c>
      <c r="T341" s="26" t="str">
        <f aca="false">IF(B341="","",DB_Colleges!AI335&amp;"")</f>
        <v/>
      </c>
      <c r="U341" s="1" t="str">
        <f aca="false">IF(AND(ISNUMBER($X$4),ISNUMBER(DB_Colleges!Z335),ISNUMBER(DB_Colleges!AA335)),IF($X$4&gt;=DB_Colleges!AA335,1,IF($X$4&lt;DB_Colleges!Z335,-1,0)),"")</f>
        <v/>
      </c>
      <c r="V341" s="1" t="str">
        <f aca="false">IF(AND(ISNUMBER($Y$4),ISNUMBER(DB_Colleges!AD335)),IF($Y$4&gt;=DB_Colleges!AD335+0.15,1,IF($Y$4&lt;DB_Colleges!AD335-0.2,-1,0)),"")</f>
        <v/>
      </c>
      <c r="W341" s="1" t="n">
        <f aca="false">IF(COUNT(U341:V341)=0,0,MIN(U341:V341))</f>
        <v>0</v>
      </c>
    </row>
    <row r="342" customFormat="false" ht="15" hidden="false" customHeight="true" outlineLevel="0" collapsed="false">
      <c r="A342" s="26" t="str">
        <f aca="false">IF(B342="","",IF(COUNTIF('My Colleges'!$B$8:$B$27,B342)&gt;0,"On list",""))</f>
        <v/>
      </c>
      <c r="B342" s="27" t="str">
        <f aca="false">IF(DB_Colleges!A336="","",DB_Colleges!A336)</f>
        <v/>
      </c>
      <c r="C342" s="26" t="str">
        <f aca="false">IF(B342="","",DB_Colleges!B336)</f>
        <v/>
      </c>
      <c r="D342" s="26" t="str">
        <f aca="false">IF(B342="","",DB_Colleges!C336&amp;", "&amp;DB_Colleges!D336)</f>
        <v/>
      </c>
      <c r="E342" s="26" t="str">
        <f aca="false">IF(B342="","",IF(AND(NOT(ISNUMBER($X$4)),NOT(ISNUMBER($Y$4))),"Add scores",IF(NOT(ISNUMBER(DB_Colleges!Y336)),IF(OR(C342="Ivy League",C342="Highly Selective"),"Reach",IF(COUNT(U342:V342)=0,"No data",CHOOSE(W342+2,"Reach","Target","Likely"))),IF(DB_Colleges!Y336&lt;0.15,"Reach",IF(DB_Colleges!Y336&gt;=0.75,IF(W342&gt;=0,"Likely","Target"),IF(DB_Colleges!Y336&gt;=0.4,CHOOSE(W342+2,"Reach","Target","Likely"),IF(W342=1,"Target","Reach")))))))</f>
        <v/>
      </c>
      <c r="F342" s="28" t="str">
        <f aca="false">IF(OR(B342="",NOT(ISNUMBER(DB_Colleges!Y336))),"",DB_Colleges!Y336)</f>
        <v/>
      </c>
      <c r="G342" s="26" t="str">
        <f aca="false">IF(OR(B342="",NOT(ISNUMBER(DB_Colleges!Z336))),"",DB_Colleges!Z336&amp;"-"&amp;DB_Colleges!AA336)</f>
        <v/>
      </c>
      <c r="H342" s="26" t="str">
        <f aca="false">IF(OR(B342="",NOT(ISNUMBER(DB_Colleges!AD336))),"",DB_Colleges!AD336)</f>
        <v/>
      </c>
      <c r="I342" s="29" t="str">
        <f aca="false">IF(B342="","",IF(COUNT(DB_Colleges!I336:O336)=0,IF(DB_Colleges!P336="Yes","Rolling","Check site"),MIN(DB_Colleges!I336:O336)))</f>
        <v/>
      </c>
      <c r="J342" s="26" t="str">
        <f aca="false">IF(OR(B342="",COUNT(DB_Colleges!I336:O336)=0),"",INDEX({"ED","ED II","EA","EA II","REA","RD","Priority"},MATCH(MIN(DB_Colleges!I336:O336),DB_Colleges!I336:O336,0)))</f>
        <v/>
      </c>
      <c r="K342" s="29" t="str">
        <f aca="false">IF(OR(B342="",NOT(ISNUMBER(DB_Colleges!N336))),"",DB_Colleges!N336)</f>
        <v/>
      </c>
      <c r="L342" s="26" t="str">
        <f aca="false">IF(B342="","",DB_Colleges!G336&amp;"")</f>
        <v/>
      </c>
      <c r="M342" s="30" t="str">
        <f aca="false">IF(OR(B342="",NOT(ISNUMBER(DB_Colleges!S336))),"",DB_Colleges!S336)</f>
        <v/>
      </c>
      <c r="N342" s="26" t="str">
        <f aca="false">IF(B342="","",DB_Colleges!U336&amp;"")</f>
        <v/>
      </c>
      <c r="O342" s="26" t="str">
        <f aca="false">IF(B342="","",IF(ISNUMBER(DB_Colleges!AH336),DB_Colleges!AH336,"Check"))</f>
        <v/>
      </c>
      <c r="P342" s="26" t="str">
        <f aca="false">IF(B342="","",DB_Colleges!W336&amp;"")</f>
        <v/>
      </c>
      <c r="Q342" s="30" t="str">
        <f aca="false">IF(OR(B342="",NOT(ISNUMBER(DB_Colleges!AF336))),"",DB_Colleges!AF336)</f>
        <v/>
      </c>
      <c r="R342" s="28" t="str">
        <f aca="false">IF(OR(B342="",NOT(ISNUMBER(DB_Colleges!AG336))),"",DB_Colleges!AG336)</f>
        <v/>
      </c>
      <c r="S342" s="26" t="str">
        <f aca="false">IF(B342="","",DB_Colleges!AK336&amp;"")</f>
        <v/>
      </c>
      <c r="T342" s="26" t="str">
        <f aca="false">IF(B342="","",DB_Colleges!AI336&amp;"")</f>
        <v/>
      </c>
      <c r="U342" s="1" t="str">
        <f aca="false">IF(AND(ISNUMBER($X$4),ISNUMBER(DB_Colleges!Z336),ISNUMBER(DB_Colleges!AA336)),IF($X$4&gt;=DB_Colleges!AA336,1,IF($X$4&lt;DB_Colleges!Z336,-1,0)),"")</f>
        <v/>
      </c>
      <c r="V342" s="1" t="str">
        <f aca="false">IF(AND(ISNUMBER($Y$4),ISNUMBER(DB_Colleges!AD336)),IF($Y$4&gt;=DB_Colleges!AD336+0.15,1,IF($Y$4&lt;DB_Colleges!AD336-0.2,-1,0)),"")</f>
        <v/>
      </c>
      <c r="W342" s="1" t="n">
        <f aca="false">IF(COUNT(U342:V342)=0,0,MIN(U342:V342))</f>
        <v>0</v>
      </c>
    </row>
    <row r="343" customFormat="false" ht="15" hidden="false" customHeight="true" outlineLevel="0" collapsed="false">
      <c r="A343" s="26" t="str">
        <f aca="false">IF(B343="","",IF(COUNTIF('My Colleges'!$B$8:$B$27,B343)&gt;0,"On list",""))</f>
        <v/>
      </c>
      <c r="B343" s="27" t="str">
        <f aca="false">IF(DB_Colleges!A337="","",DB_Colleges!A337)</f>
        <v/>
      </c>
      <c r="C343" s="26" t="str">
        <f aca="false">IF(B343="","",DB_Colleges!B337)</f>
        <v/>
      </c>
      <c r="D343" s="26" t="str">
        <f aca="false">IF(B343="","",DB_Colleges!C337&amp;", "&amp;DB_Colleges!D337)</f>
        <v/>
      </c>
      <c r="E343" s="26" t="str">
        <f aca="false">IF(B343="","",IF(AND(NOT(ISNUMBER($X$4)),NOT(ISNUMBER($Y$4))),"Add scores",IF(NOT(ISNUMBER(DB_Colleges!Y337)),IF(OR(C343="Ivy League",C343="Highly Selective"),"Reach",IF(COUNT(U343:V343)=0,"No data",CHOOSE(W343+2,"Reach","Target","Likely"))),IF(DB_Colleges!Y337&lt;0.15,"Reach",IF(DB_Colleges!Y337&gt;=0.75,IF(W343&gt;=0,"Likely","Target"),IF(DB_Colleges!Y337&gt;=0.4,CHOOSE(W343+2,"Reach","Target","Likely"),IF(W343=1,"Target","Reach")))))))</f>
        <v/>
      </c>
      <c r="F343" s="28" t="str">
        <f aca="false">IF(OR(B343="",NOT(ISNUMBER(DB_Colleges!Y337))),"",DB_Colleges!Y337)</f>
        <v/>
      </c>
      <c r="G343" s="26" t="str">
        <f aca="false">IF(OR(B343="",NOT(ISNUMBER(DB_Colleges!Z337))),"",DB_Colleges!Z337&amp;"-"&amp;DB_Colleges!AA337)</f>
        <v/>
      </c>
      <c r="H343" s="26" t="str">
        <f aca="false">IF(OR(B343="",NOT(ISNUMBER(DB_Colleges!AD337))),"",DB_Colleges!AD337)</f>
        <v/>
      </c>
      <c r="I343" s="29" t="str">
        <f aca="false">IF(B343="","",IF(COUNT(DB_Colleges!I337:O337)=0,IF(DB_Colleges!P337="Yes","Rolling","Check site"),MIN(DB_Colleges!I337:O337)))</f>
        <v/>
      </c>
      <c r="J343" s="26" t="str">
        <f aca="false">IF(OR(B343="",COUNT(DB_Colleges!I337:O337)=0),"",INDEX({"ED","ED II","EA","EA II","REA","RD","Priority"},MATCH(MIN(DB_Colleges!I337:O337),DB_Colleges!I337:O337,0)))</f>
        <v/>
      </c>
      <c r="K343" s="29" t="str">
        <f aca="false">IF(OR(B343="",NOT(ISNUMBER(DB_Colleges!N337))),"",DB_Colleges!N337)</f>
        <v/>
      </c>
      <c r="L343" s="26" t="str">
        <f aca="false">IF(B343="","",DB_Colleges!G337&amp;"")</f>
        <v/>
      </c>
      <c r="M343" s="30" t="str">
        <f aca="false">IF(OR(B343="",NOT(ISNUMBER(DB_Colleges!S337))),"",DB_Colleges!S337)</f>
        <v/>
      </c>
      <c r="N343" s="26" t="str">
        <f aca="false">IF(B343="","",DB_Colleges!U337&amp;"")</f>
        <v/>
      </c>
      <c r="O343" s="26" t="str">
        <f aca="false">IF(B343="","",IF(ISNUMBER(DB_Colleges!AH337),DB_Colleges!AH337,"Check"))</f>
        <v/>
      </c>
      <c r="P343" s="26" t="str">
        <f aca="false">IF(B343="","",DB_Colleges!W337&amp;"")</f>
        <v/>
      </c>
      <c r="Q343" s="30" t="str">
        <f aca="false">IF(OR(B343="",NOT(ISNUMBER(DB_Colleges!AF337))),"",DB_Colleges!AF337)</f>
        <v/>
      </c>
      <c r="R343" s="28" t="str">
        <f aca="false">IF(OR(B343="",NOT(ISNUMBER(DB_Colleges!AG337))),"",DB_Colleges!AG337)</f>
        <v/>
      </c>
      <c r="S343" s="26" t="str">
        <f aca="false">IF(B343="","",DB_Colleges!AK337&amp;"")</f>
        <v/>
      </c>
      <c r="T343" s="26" t="str">
        <f aca="false">IF(B343="","",DB_Colleges!AI337&amp;"")</f>
        <v/>
      </c>
      <c r="U343" s="1" t="str">
        <f aca="false">IF(AND(ISNUMBER($X$4),ISNUMBER(DB_Colleges!Z337),ISNUMBER(DB_Colleges!AA337)),IF($X$4&gt;=DB_Colleges!AA337,1,IF($X$4&lt;DB_Colleges!Z337,-1,0)),"")</f>
        <v/>
      </c>
      <c r="V343" s="1" t="str">
        <f aca="false">IF(AND(ISNUMBER($Y$4),ISNUMBER(DB_Colleges!AD337)),IF($Y$4&gt;=DB_Colleges!AD337+0.15,1,IF($Y$4&lt;DB_Colleges!AD337-0.2,-1,0)),"")</f>
        <v/>
      </c>
      <c r="W343" s="1" t="n">
        <f aca="false">IF(COUNT(U343:V343)=0,0,MIN(U343:V343))</f>
        <v>0</v>
      </c>
    </row>
    <row r="344" customFormat="false" ht="15" hidden="false" customHeight="true" outlineLevel="0" collapsed="false">
      <c r="A344" s="26" t="str">
        <f aca="false">IF(B344="","",IF(COUNTIF('My Colleges'!$B$8:$B$27,B344)&gt;0,"On list",""))</f>
        <v/>
      </c>
      <c r="B344" s="27" t="str">
        <f aca="false">IF(DB_Colleges!A338="","",DB_Colleges!A338)</f>
        <v/>
      </c>
      <c r="C344" s="26" t="str">
        <f aca="false">IF(B344="","",DB_Colleges!B338)</f>
        <v/>
      </c>
      <c r="D344" s="26" t="str">
        <f aca="false">IF(B344="","",DB_Colleges!C338&amp;", "&amp;DB_Colleges!D338)</f>
        <v/>
      </c>
      <c r="E344" s="26" t="str">
        <f aca="false">IF(B344="","",IF(AND(NOT(ISNUMBER($X$4)),NOT(ISNUMBER($Y$4))),"Add scores",IF(NOT(ISNUMBER(DB_Colleges!Y338)),IF(OR(C344="Ivy League",C344="Highly Selective"),"Reach",IF(COUNT(U344:V344)=0,"No data",CHOOSE(W344+2,"Reach","Target","Likely"))),IF(DB_Colleges!Y338&lt;0.15,"Reach",IF(DB_Colleges!Y338&gt;=0.75,IF(W344&gt;=0,"Likely","Target"),IF(DB_Colleges!Y338&gt;=0.4,CHOOSE(W344+2,"Reach","Target","Likely"),IF(W344=1,"Target","Reach")))))))</f>
        <v/>
      </c>
      <c r="F344" s="28" t="str">
        <f aca="false">IF(OR(B344="",NOT(ISNUMBER(DB_Colleges!Y338))),"",DB_Colleges!Y338)</f>
        <v/>
      </c>
      <c r="G344" s="26" t="str">
        <f aca="false">IF(OR(B344="",NOT(ISNUMBER(DB_Colleges!Z338))),"",DB_Colleges!Z338&amp;"-"&amp;DB_Colleges!AA338)</f>
        <v/>
      </c>
      <c r="H344" s="26" t="str">
        <f aca="false">IF(OR(B344="",NOT(ISNUMBER(DB_Colleges!AD338))),"",DB_Colleges!AD338)</f>
        <v/>
      </c>
      <c r="I344" s="29" t="str">
        <f aca="false">IF(B344="","",IF(COUNT(DB_Colleges!I338:O338)=0,IF(DB_Colleges!P338="Yes","Rolling","Check site"),MIN(DB_Colleges!I338:O338)))</f>
        <v/>
      </c>
      <c r="J344" s="26" t="str">
        <f aca="false">IF(OR(B344="",COUNT(DB_Colleges!I338:O338)=0),"",INDEX({"ED","ED II","EA","EA II","REA","RD","Priority"},MATCH(MIN(DB_Colleges!I338:O338),DB_Colleges!I338:O338,0)))</f>
        <v/>
      </c>
      <c r="K344" s="29" t="str">
        <f aca="false">IF(OR(B344="",NOT(ISNUMBER(DB_Colleges!N338))),"",DB_Colleges!N338)</f>
        <v/>
      </c>
      <c r="L344" s="26" t="str">
        <f aca="false">IF(B344="","",DB_Colleges!G338&amp;"")</f>
        <v/>
      </c>
      <c r="M344" s="30" t="str">
        <f aca="false">IF(OR(B344="",NOT(ISNUMBER(DB_Colleges!S338))),"",DB_Colleges!S338)</f>
        <v/>
      </c>
      <c r="N344" s="26" t="str">
        <f aca="false">IF(B344="","",DB_Colleges!U338&amp;"")</f>
        <v/>
      </c>
      <c r="O344" s="26" t="str">
        <f aca="false">IF(B344="","",IF(ISNUMBER(DB_Colleges!AH338),DB_Colleges!AH338,"Check"))</f>
        <v/>
      </c>
      <c r="P344" s="26" t="str">
        <f aca="false">IF(B344="","",DB_Colleges!W338&amp;"")</f>
        <v/>
      </c>
      <c r="Q344" s="30" t="str">
        <f aca="false">IF(OR(B344="",NOT(ISNUMBER(DB_Colleges!AF338))),"",DB_Colleges!AF338)</f>
        <v/>
      </c>
      <c r="R344" s="28" t="str">
        <f aca="false">IF(OR(B344="",NOT(ISNUMBER(DB_Colleges!AG338))),"",DB_Colleges!AG338)</f>
        <v/>
      </c>
      <c r="S344" s="26" t="str">
        <f aca="false">IF(B344="","",DB_Colleges!AK338&amp;"")</f>
        <v/>
      </c>
      <c r="T344" s="26" t="str">
        <f aca="false">IF(B344="","",DB_Colleges!AI338&amp;"")</f>
        <v/>
      </c>
      <c r="U344" s="1" t="str">
        <f aca="false">IF(AND(ISNUMBER($X$4),ISNUMBER(DB_Colleges!Z338),ISNUMBER(DB_Colleges!AA338)),IF($X$4&gt;=DB_Colleges!AA338,1,IF($X$4&lt;DB_Colleges!Z338,-1,0)),"")</f>
        <v/>
      </c>
      <c r="V344" s="1" t="str">
        <f aca="false">IF(AND(ISNUMBER($Y$4),ISNUMBER(DB_Colleges!AD338)),IF($Y$4&gt;=DB_Colleges!AD338+0.15,1,IF($Y$4&lt;DB_Colleges!AD338-0.2,-1,0)),"")</f>
        <v/>
      </c>
      <c r="W344" s="1" t="n">
        <f aca="false">IF(COUNT(U344:V344)=0,0,MIN(U344:V344))</f>
        <v>0</v>
      </c>
    </row>
    <row r="345" customFormat="false" ht="15" hidden="false" customHeight="true" outlineLevel="0" collapsed="false">
      <c r="A345" s="26" t="str">
        <f aca="false">IF(B345="","",IF(COUNTIF('My Colleges'!$B$8:$B$27,B345)&gt;0,"On list",""))</f>
        <v/>
      </c>
      <c r="B345" s="27" t="str">
        <f aca="false">IF(DB_Colleges!A339="","",DB_Colleges!A339)</f>
        <v/>
      </c>
      <c r="C345" s="26" t="str">
        <f aca="false">IF(B345="","",DB_Colleges!B339)</f>
        <v/>
      </c>
      <c r="D345" s="26" t="str">
        <f aca="false">IF(B345="","",DB_Colleges!C339&amp;", "&amp;DB_Colleges!D339)</f>
        <v/>
      </c>
      <c r="E345" s="26" t="str">
        <f aca="false">IF(B345="","",IF(AND(NOT(ISNUMBER($X$4)),NOT(ISNUMBER($Y$4))),"Add scores",IF(NOT(ISNUMBER(DB_Colleges!Y339)),IF(OR(C345="Ivy League",C345="Highly Selective"),"Reach",IF(COUNT(U345:V345)=0,"No data",CHOOSE(W345+2,"Reach","Target","Likely"))),IF(DB_Colleges!Y339&lt;0.15,"Reach",IF(DB_Colleges!Y339&gt;=0.75,IF(W345&gt;=0,"Likely","Target"),IF(DB_Colleges!Y339&gt;=0.4,CHOOSE(W345+2,"Reach","Target","Likely"),IF(W345=1,"Target","Reach")))))))</f>
        <v/>
      </c>
      <c r="F345" s="28" t="str">
        <f aca="false">IF(OR(B345="",NOT(ISNUMBER(DB_Colleges!Y339))),"",DB_Colleges!Y339)</f>
        <v/>
      </c>
      <c r="G345" s="26" t="str">
        <f aca="false">IF(OR(B345="",NOT(ISNUMBER(DB_Colleges!Z339))),"",DB_Colleges!Z339&amp;"-"&amp;DB_Colleges!AA339)</f>
        <v/>
      </c>
      <c r="H345" s="26" t="str">
        <f aca="false">IF(OR(B345="",NOT(ISNUMBER(DB_Colleges!AD339))),"",DB_Colleges!AD339)</f>
        <v/>
      </c>
      <c r="I345" s="29" t="str">
        <f aca="false">IF(B345="","",IF(COUNT(DB_Colleges!I339:O339)=0,IF(DB_Colleges!P339="Yes","Rolling","Check site"),MIN(DB_Colleges!I339:O339)))</f>
        <v/>
      </c>
      <c r="J345" s="26" t="str">
        <f aca="false">IF(OR(B345="",COUNT(DB_Colleges!I339:O339)=0),"",INDEX({"ED","ED II","EA","EA II","REA","RD","Priority"},MATCH(MIN(DB_Colleges!I339:O339),DB_Colleges!I339:O339,0)))</f>
        <v/>
      </c>
      <c r="K345" s="29" t="str">
        <f aca="false">IF(OR(B345="",NOT(ISNUMBER(DB_Colleges!N339))),"",DB_Colleges!N339)</f>
        <v/>
      </c>
      <c r="L345" s="26" t="str">
        <f aca="false">IF(B345="","",DB_Colleges!G339&amp;"")</f>
        <v/>
      </c>
      <c r="M345" s="30" t="str">
        <f aca="false">IF(OR(B345="",NOT(ISNUMBER(DB_Colleges!S339))),"",DB_Colleges!S339)</f>
        <v/>
      </c>
      <c r="N345" s="26" t="str">
        <f aca="false">IF(B345="","",DB_Colleges!U339&amp;"")</f>
        <v/>
      </c>
      <c r="O345" s="26" t="str">
        <f aca="false">IF(B345="","",IF(ISNUMBER(DB_Colleges!AH339),DB_Colleges!AH339,"Check"))</f>
        <v/>
      </c>
      <c r="P345" s="26" t="str">
        <f aca="false">IF(B345="","",DB_Colleges!W339&amp;"")</f>
        <v/>
      </c>
      <c r="Q345" s="30" t="str">
        <f aca="false">IF(OR(B345="",NOT(ISNUMBER(DB_Colleges!AF339))),"",DB_Colleges!AF339)</f>
        <v/>
      </c>
      <c r="R345" s="28" t="str">
        <f aca="false">IF(OR(B345="",NOT(ISNUMBER(DB_Colleges!AG339))),"",DB_Colleges!AG339)</f>
        <v/>
      </c>
      <c r="S345" s="26" t="str">
        <f aca="false">IF(B345="","",DB_Colleges!AK339&amp;"")</f>
        <v/>
      </c>
      <c r="T345" s="26" t="str">
        <f aca="false">IF(B345="","",DB_Colleges!AI339&amp;"")</f>
        <v/>
      </c>
      <c r="U345" s="1" t="str">
        <f aca="false">IF(AND(ISNUMBER($X$4),ISNUMBER(DB_Colleges!Z339),ISNUMBER(DB_Colleges!AA339)),IF($X$4&gt;=DB_Colleges!AA339,1,IF($X$4&lt;DB_Colleges!Z339,-1,0)),"")</f>
        <v/>
      </c>
      <c r="V345" s="1" t="str">
        <f aca="false">IF(AND(ISNUMBER($Y$4),ISNUMBER(DB_Colleges!AD339)),IF($Y$4&gt;=DB_Colleges!AD339+0.15,1,IF($Y$4&lt;DB_Colleges!AD339-0.2,-1,0)),"")</f>
        <v/>
      </c>
      <c r="W345" s="1" t="n">
        <f aca="false">IF(COUNT(U345:V345)=0,0,MIN(U345:V345))</f>
        <v>0</v>
      </c>
    </row>
    <row r="346" customFormat="false" ht="15" hidden="false" customHeight="true" outlineLevel="0" collapsed="false">
      <c r="A346" s="26" t="str">
        <f aca="false">IF(B346="","",IF(COUNTIF('My Colleges'!$B$8:$B$27,B346)&gt;0,"On list",""))</f>
        <v/>
      </c>
      <c r="B346" s="27" t="str">
        <f aca="false">IF(DB_Colleges!A340="","",DB_Colleges!A340)</f>
        <v/>
      </c>
      <c r="C346" s="26" t="str">
        <f aca="false">IF(B346="","",DB_Colleges!B340)</f>
        <v/>
      </c>
      <c r="D346" s="26" t="str">
        <f aca="false">IF(B346="","",DB_Colleges!C340&amp;", "&amp;DB_Colleges!D340)</f>
        <v/>
      </c>
      <c r="E346" s="26" t="str">
        <f aca="false">IF(B346="","",IF(AND(NOT(ISNUMBER($X$4)),NOT(ISNUMBER($Y$4))),"Add scores",IF(NOT(ISNUMBER(DB_Colleges!Y340)),IF(OR(C346="Ivy League",C346="Highly Selective"),"Reach",IF(COUNT(U346:V346)=0,"No data",CHOOSE(W346+2,"Reach","Target","Likely"))),IF(DB_Colleges!Y340&lt;0.15,"Reach",IF(DB_Colleges!Y340&gt;=0.75,IF(W346&gt;=0,"Likely","Target"),IF(DB_Colleges!Y340&gt;=0.4,CHOOSE(W346+2,"Reach","Target","Likely"),IF(W346=1,"Target","Reach")))))))</f>
        <v/>
      </c>
      <c r="F346" s="28" t="str">
        <f aca="false">IF(OR(B346="",NOT(ISNUMBER(DB_Colleges!Y340))),"",DB_Colleges!Y340)</f>
        <v/>
      </c>
      <c r="G346" s="26" t="str">
        <f aca="false">IF(OR(B346="",NOT(ISNUMBER(DB_Colleges!Z340))),"",DB_Colleges!Z340&amp;"-"&amp;DB_Colleges!AA340)</f>
        <v/>
      </c>
      <c r="H346" s="26" t="str">
        <f aca="false">IF(OR(B346="",NOT(ISNUMBER(DB_Colleges!AD340))),"",DB_Colleges!AD340)</f>
        <v/>
      </c>
      <c r="I346" s="29" t="str">
        <f aca="false">IF(B346="","",IF(COUNT(DB_Colleges!I340:O340)=0,IF(DB_Colleges!P340="Yes","Rolling","Check site"),MIN(DB_Colleges!I340:O340)))</f>
        <v/>
      </c>
      <c r="J346" s="26" t="str">
        <f aca="false">IF(OR(B346="",COUNT(DB_Colleges!I340:O340)=0),"",INDEX({"ED","ED II","EA","EA II","REA","RD","Priority"},MATCH(MIN(DB_Colleges!I340:O340),DB_Colleges!I340:O340,0)))</f>
        <v/>
      </c>
      <c r="K346" s="29" t="str">
        <f aca="false">IF(OR(B346="",NOT(ISNUMBER(DB_Colleges!N340))),"",DB_Colleges!N340)</f>
        <v/>
      </c>
      <c r="L346" s="26" t="str">
        <f aca="false">IF(B346="","",DB_Colleges!G340&amp;"")</f>
        <v/>
      </c>
      <c r="M346" s="30" t="str">
        <f aca="false">IF(OR(B346="",NOT(ISNUMBER(DB_Colleges!S340))),"",DB_Colleges!S340)</f>
        <v/>
      </c>
      <c r="N346" s="26" t="str">
        <f aca="false">IF(B346="","",DB_Colleges!U340&amp;"")</f>
        <v/>
      </c>
      <c r="O346" s="26" t="str">
        <f aca="false">IF(B346="","",IF(ISNUMBER(DB_Colleges!AH340),DB_Colleges!AH340,"Check"))</f>
        <v/>
      </c>
      <c r="P346" s="26" t="str">
        <f aca="false">IF(B346="","",DB_Colleges!W340&amp;"")</f>
        <v/>
      </c>
      <c r="Q346" s="30" t="str">
        <f aca="false">IF(OR(B346="",NOT(ISNUMBER(DB_Colleges!AF340))),"",DB_Colleges!AF340)</f>
        <v/>
      </c>
      <c r="R346" s="28" t="str">
        <f aca="false">IF(OR(B346="",NOT(ISNUMBER(DB_Colleges!AG340))),"",DB_Colleges!AG340)</f>
        <v/>
      </c>
      <c r="S346" s="26" t="str">
        <f aca="false">IF(B346="","",DB_Colleges!AK340&amp;"")</f>
        <v/>
      </c>
      <c r="T346" s="26" t="str">
        <f aca="false">IF(B346="","",DB_Colleges!AI340&amp;"")</f>
        <v/>
      </c>
      <c r="U346" s="1" t="str">
        <f aca="false">IF(AND(ISNUMBER($X$4),ISNUMBER(DB_Colleges!Z340),ISNUMBER(DB_Colleges!AA340)),IF($X$4&gt;=DB_Colleges!AA340,1,IF($X$4&lt;DB_Colleges!Z340,-1,0)),"")</f>
        <v/>
      </c>
      <c r="V346" s="1" t="str">
        <f aca="false">IF(AND(ISNUMBER($Y$4),ISNUMBER(DB_Colleges!AD340)),IF($Y$4&gt;=DB_Colleges!AD340+0.15,1,IF($Y$4&lt;DB_Colleges!AD340-0.2,-1,0)),"")</f>
        <v/>
      </c>
      <c r="W346" s="1" t="n">
        <f aca="false">IF(COUNT(U346:V346)=0,0,MIN(U346:V346))</f>
        <v>0</v>
      </c>
    </row>
    <row r="347" customFormat="false" ht="15" hidden="false" customHeight="true" outlineLevel="0" collapsed="false">
      <c r="A347" s="26" t="str">
        <f aca="false">IF(B347="","",IF(COUNTIF('My Colleges'!$B$8:$B$27,B347)&gt;0,"On list",""))</f>
        <v/>
      </c>
      <c r="B347" s="27" t="str">
        <f aca="false">IF(DB_Colleges!A341="","",DB_Colleges!A341)</f>
        <v/>
      </c>
      <c r="C347" s="26" t="str">
        <f aca="false">IF(B347="","",DB_Colleges!B341)</f>
        <v/>
      </c>
      <c r="D347" s="26" t="str">
        <f aca="false">IF(B347="","",DB_Colleges!C341&amp;", "&amp;DB_Colleges!D341)</f>
        <v/>
      </c>
      <c r="E347" s="26" t="str">
        <f aca="false">IF(B347="","",IF(AND(NOT(ISNUMBER($X$4)),NOT(ISNUMBER($Y$4))),"Add scores",IF(NOT(ISNUMBER(DB_Colleges!Y341)),IF(OR(C347="Ivy League",C347="Highly Selective"),"Reach",IF(COUNT(U347:V347)=0,"No data",CHOOSE(W347+2,"Reach","Target","Likely"))),IF(DB_Colleges!Y341&lt;0.15,"Reach",IF(DB_Colleges!Y341&gt;=0.75,IF(W347&gt;=0,"Likely","Target"),IF(DB_Colleges!Y341&gt;=0.4,CHOOSE(W347+2,"Reach","Target","Likely"),IF(W347=1,"Target","Reach")))))))</f>
        <v/>
      </c>
      <c r="F347" s="28" t="str">
        <f aca="false">IF(OR(B347="",NOT(ISNUMBER(DB_Colleges!Y341))),"",DB_Colleges!Y341)</f>
        <v/>
      </c>
      <c r="G347" s="26" t="str">
        <f aca="false">IF(OR(B347="",NOT(ISNUMBER(DB_Colleges!Z341))),"",DB_Colleges!Z341&amp;"-"&amp;DB_Colleges!AA341)</f>
        <v/>
      </c>
      <c r="H347" s="26" t="str">
        <f aca="false">IF(OR(B347="",NOT(ISNUMBER(DB_Colleges!AD341))),"",DB_Colleges!AD341)</f>
        <v/>
      </c>
      <c r="I347" s="29" t="str">
        <f aca="false">IF(B347="","",IF(COUNT(DB_Colleges!I341:O341)=0,IF(DB_Colleges!P341="Yes","Rolling","Check site"),MIN(DB_Colleges!I341:O341)))</f>
        <v/>
      </c>
      <c r="J347" s="26" t="str">
        <f aca="false">IF(OR(B347="",COUNT(DB_Colleges!I341:O341)=0),"",INDEX({"ED","ED II","EA","EA II","REA","RD","Priority"},MATCH(MIN(DB_Colleges!I341:O341),DB_Colleges!I341:O341,0)))</f>
        <v/>
      </c>
      <c r="K347" s="29" t="str">
        <f aca="false">IF(OR(B347="",NOT(ISNUMBER(DB_Colleges!N341))),"",DB_Colleges!N341)</f>
        <v/>
      </c>
      <c r="L347" s="26" t="str">
        <f aca="false">IF(B347="","",DB_Colleges!G341&amp;"")</f>
        <v/>
      </c>
      <c r="M347" s="30" t="str">
        <f aca="false">IF(OR(B347="",NOT(ISNUMBER(DB_Colleges!S341))),"",DB_Colleges!S341)</f>
        <v/>
      </c>
      <c r="N347" s="26" t="str">
        <f aca="false">IF(B347="","",DB_Colleges!U341&amp;"")</f>
        <v/>
      </c>
      <c r="O347" s="26" t="str">
        <f aca="false">IF(B347="","",IF(ISNUMBER(DB_Colleges!AH341),DB_Colleges!AH341,"Check"))</f>
        <v/>
      </c>
      <c r="P347" s="26" t="str">
        <f aca="false">IF(B347="","",DB_Colleges!W341&amp;"")</f>
        <v/>
      </c>
      <c r="Q347" s="30" t="str">
        <f aca="false">IF(OR(B347="",NOT(ISNUMBER(DB_Colleges!AF341))),"",DB_Colleges!AF341)</f>
        <v/>
      </c>
      <c r="R347" s="28" t="str">
        <f aca="false">IF(OR(B347="",NOT(ISNUMBER(DB_Colleges!AG341))),"",DB_Colleges!AG341)</f>
        <v/>
      </c>
      <c r="S347" s="26" t="str">
        <f aca="false">IF(B347="","",DB_Colleges!AK341&amp;"")</f>
        <v/>
      </c>
      <c r="T347" s="26" t="str">
        <f aca="false">IF(B347="","",DB_Colleges!AI341&amp;"")</f>
        <v/>
      </c>
      <c r="U347" s="1" t="str">
        <f aca="false">IF(AND(ISNUMBER($X$4),ISNUMBER(DB_Colleges!Z341),ISNUMBER(DB_Colleges!AA341)),IF($X$4&gt;=DB_Colleges!AA341,1,IF($X$4&lt;DB_Colleges!Z341,-1,0)),"")</f>
        <v/>
      </c>
      <c r="V347" s="1" t="str">
        <f aca="false">IF(AND(ISNUMBER($Y$4),ISNUMBER(DB_Colleges!AD341)),IF($Y$4&gt;=DB_Colleges!AD341+0.15,1,IF($Y$4&lt;DB_Colleges!AD341-0.2,-1,0)),"")</f>
        <v/>
      </c>
      <c r="W347" s="1" t="n">
        <f aca="false">IF(COUNT(U347:V347)=0,0,MIN(U347:V347))</f>
        <v>0</v>
      </c>
    </row>
    <row r="348" customFormat="false" ht="15" hidden="false" customHeight="true" outlineLevel="0" collapsed="false">
      <c r="A348" s="26" t="str">
        <f aca="false">IF(B348="","",IF(COUNTIF('My Colleges'!$B$8:$B$27,B348)&gt;0,"On list",""))</f>
        <v/>
      </c>
      <c r="B348" s="27" t="str">
        <f aca="false">IF(DB_Colleges!A342="","",DB_Colleges!A342)</f>
        <v/>
      </c>
      <c r="C348" s="26" t="str">
        <f aca="false">IF(B348="","",DB_Colleges!B342)</f>
        <v/>
      </c>
      <c r="D348" s="26" t="str">
        <f aca="false">IF(B348="","",DB_Colleges!C342&amp;", "&amp;DB_Colleges!D342)</f>
        <v/>
      </c>
      <c r="E348" s="26" t="str">
        <f aca="false">IF(B348="","",IF(AND(NOT(ISNUMBER($X$4)),NOT(ISNUMBER($Y$4))),"Add scores",IF(NOT(ISNUMBER(DB_Colleges!Y342)),IF(OR(C348="Ivy League",C348="Highly Selective"),"Reach",IF(COUNT(U348:V348)=0,"No data",CHOOSE(W348+2,"Reach","Target","Likely"))),IF(DB_Colleges!Y342&lt;0.15,"Reach",IF(DB_Colleges!Y342&gt;=0.75,IF(W348&gt;=0,"Likely","Target"),IF(DB_Colleges!Y342&gt;=0.4,CHOOSE(W348+2,"Reach","Target","Likely"),IF(W348=1,"Target","Reach")))))))</f>
        <v/>
      </c>
      <c r="F348" s="28" t="str">
        <f aca="false">IF(OR(B348="",NOT(ISNUMBER(DB_Colleges!Y342))),"",DB_Colleges!Y342)</f>
        <v/>
      </c>
      <c r="G348" s="26" t="str">
        <f aca="false">IF(OR(B348="",NOT(ISNUMBER(DB_Colleges!Z342))),"",DB_Colleges!Z342&amp;"-"&amp;DB_Colleges!AA342)</f>
        <v/>
      </c>
      <c r="H348" s="26" t="str">
        <f aca="false">IF(OR(B348="",NOT(ISNUMBER(DB_Colleges!AD342))),"",DB_Colleges!AD342)</f>
        <v/>
      </c>
      <c r="I348" s="29" t="str">
        <f aca="false">IF(B348="","",IF(COUNT(DB_Colleges!I342:O342)=0,IF(DB_Colleges!P342="Yes","Rolling","Check site"),MIN(DB_Colleges!I342:O342)))</f>
        <v/>
      </c>
      <c r="J348" s="26" t="str">
        <f aca="false">IF(OR(B348="",COUNT(DB_Colleges!I342:O342)=0),"",INDEX({"ED","ED II","EA","EA II","REA","RD","Priority"},MATCH(MIN(DB_Colleges!I342:O342),DB_Colleges!I342:O342,0)))</f>
        <v/>
      </c>
      <c r="K348" s="29" t="str">
        <f aca="false">IF(OR(B348="",NOT(ISNUMBER(DB_Colleges!N342))),"",DB_Colleges!N342)</f>
        <v/>
      </c>
      <c r="L348" s="26" t="str">
        <f aca="false">IF(B348="","",DB_Colleges!G342&amp;"")</f>
        <v/>
      </c>
      <c r="M348" s="30" t="str">
        <f aca="false">IF(OR(B348="",NOT(ISNUMBER(DB_Colleges!S342))),"",DB_Colleges!S342)</f>
        <v/>
      </c>
      <c r="N348" s="26" t="str">
        <f aca="false">IF(B348="","",DB_Colleges!U342&amp;"")</f>
        <v/>
      </c>
      <c r="O348" s="26" t="str">
        <f aca="false">IF(B348="","",IF(ISNUMBER(DB_Colleges!AH342),DB_Colleges!AH342,"Check"))</f>
        <v/>
      </c>
      <c r="P348" s="26" t="str">
        <f aca="false">IF(B348="","",DB_Colleges!W342&amp;"")</f>
        <v/>
      </c>
      <c r="Q348" s="30" t="str">
        <f aca="false">IF(OR(B348="",NOT(ISNUMBER(DB_Colleges!AF342))),"",DB_Colleges!AF342)</f>
        <v/>
      </c>
      <c r="R348" s="28" t="str">
        <f aca="false">IF(OR(B348="",NOT(ISNUMBER(DB_Colleges!AG342))),"",DB_Colleges!AG342)</f>
        <v/>
      </c>
      <c r="S348" s="26" t="str">
        <f aca="false">IF(B348="","",DB_Colleges!AK342&amp;"")</f>
        <v/>
      </c>
      <c r="T348" s="26" t="str">
        <f aca="false">IF(B348="","",DB_Colleges!AI342&amp;"")</f>
        <v/>
      </c>
      <c r="U348" s="1" t="str">
        <f aca="false">IF(AND(ISNUMBER($X$4),ISNUMBER(DB_Colleges!Z342),ISNUMBER(DB_Colleges!AA342)),IF($X$4&gt;=DB_Colleges!AA342,1,IF($X$4&lt;DB_Colleges!Z342,-1,0)),"")</f>
        <v/>
      </c>
      <c r="V348" s="1" t="str">
        <f aca="false">IF(AND(ISNUMBER($Y$4),ISNUMBER(DB_Colleges!AD342)),IF($Y$4&gt;=DB_Colleges!AD342+0.15,1,IF($Y$4&lt;DB_Colleges!AD342-0.2,-1,0)),"")</f>
        <v/>
      </c>
      <c r="W348" s="1" t="n">
        <f aca="false">IF(COUNT(U348:V348)=0,0,MIN(U348:V348))</f>
        <v>0</v>
      </c>
    </row>
    <row r="349" customFormat="false" ht="15" hidden="false" customHeight="true" outlineLevel="0" collapsed="false">
      <c r="A349" s="26" t="str">
        <f aca="false">IF(B349="","",IF(COUNTIF('My Colleges'!$B$8:$B$27,B349)&gt;0,"On list",""))</f>
        <v/>
      </c>
      <c r="B349" s="27" t="str">
        <f aca="false">IF(DB_Colleges!A343="","",DB_Colleges!A343)</f>
        <v/>
      </c>
      <c r="C349" s="26" t="str">
        <f aca="false">IF(B349="","",DB_Colleges!B343)</f>
        <v/>
      </c>
      <c r="D349" s="26" t="str">
        <f aca="false">IF(B349="","",DB_Colleges!C343&amp;", "&amp;DB_Colleges!D343)</f>
        <v/>
      </c>
      <c r="E349" s="26" t="str">
        <f aca="false">IF(B349="","",IF(AND(NOT(ISNUMBER($X$4)),NOT(ISNUMBER($Y$4))),"Add scores",IF(NOT(ISNUMBER(DB_Colleges!Y343)),IF(OR(C349="Ivy League",C349="Highly Selective"),"Reach",IF(COUNT(U349:V349)=0,"No data",CHOOSE(W349+2,"Reach","Target","Likely"))),IF(DB_Colleges!Y343&lt;0.15,"Reach",IF(DB_Colleges!Y343&gt;=0.75,IF(W349&gt;=0,"Likely","Target"),IF(DB_Colleges!Y343&gt;=0.4,CHOOSE(W349+2,"Reach","Target","Likely"),IF(W349=1,"Target","Reach")))))))</f>
        <v/>
      </c>
      <c r="F349" s="28" t="str">
        <f aca="false">IF(OR(B349="",NOT(ISNUMBER(DB_Colleges!Y343))),"",DB_Colleges!Y343)</f>
        <v/>
      </c>
      <c r="G349" s="26" t="str">
        <f aca="false">IF(OR(B349="",NOT(ISNUMBER(DB_Colleges!Z343))),"",DB_Colleges!Z343&amp;"-"&amp;DB_Colleges!AA343)</f>
        <v/>
      </c>
      <c r="H349" s="26" t="str">
        <f aca="false">IF(OR(B349="",NOT(ISNUMBER(DB_Colleges!AD343))),"",DB_Colleges!AD343)</f>
        <v/>
      </c>
      <c r="I349" s="29" t="str">
        <f aca="false">IF(B349="","",IF(COUNT(DB_Colleges!I343:O343)=0,IF(DB_Colleges!P343="Yes","Rolling","Check site"),MIN(DB_Colleges!I343:O343)))</f>
        <v/>
      </c>
      <c r="J349" s="26" t="str">
        <f aca="false">IF(OR(B349="",COUNT(DB_Colleges!I343:O343)=0),"",INDEX({"ED","ED II","EA","EA II","REA","RD","Priority"},MATCH(MIN(DB_Colleges!I343:O343),DB_Colleges!I343:O343,0)))</f>
        <v/>
      </c>
      <c r="K349" s="29" t="str">
        <f aca="false">IF(OR(B349="",NOT(ISNUMBER(DB_Colleges!N343))),"",DB_Colleges!N343)</f>
        <v/>
      </c>
      <c r="L349" s="26" t="str">
        <f aca="false">IF(B349="","",DB_Colleges!G343&amp;"")</f>
        <v/>
      </c>
      <c r="M349" s="30" t="str">
        <f aca="false">IF(OR(B349="",NOT(ISNUMBER(DB_Colleges!S343))),"",DB_Colleges!S343)</f>
        <v/>
      </c>
      <c r="N349" s="26" t="str">
        <f aca="false">IF(B349="","",DB_Colleges!U343&amp;"")</f>
        <v/>
      </c>
      <c r="O349" s="26" t="str">
        <f aca="false">IF(B349="","",IF(ISNUMBER(DB_Colleges!AH343),DB_Colleges!AH343,"Check"))</f>
        <v/>
      </c>
      <c r="P349" s="26" t="str">
        <f aca="false">IF(B349="","",DB_Colleges!W343&amp;"")</f>
        <v/>
      </c>
      <c r="Q349" s="30" t="str">
        <f aca="false">IF(OR(B349="",NOT(ISNUMBER(DB_Colleges!AF343))),"",DB_Colleges!AF343)</f>
        <v/>
      </c>
      <c r="R349" s="28" t="str">
        <f aca="false">IF(OR(B349="",NOT(ISNUMBER(DB_Colleges!AG343))),"",DB_Colleges!AG343)</f>
        <v/>
      </c>
      <c r="S349" s="26" t="str">
        <f aca="false">IF(B349="","",DB_Colleges!AK343&amp;"")</f>
        <v/>
      </c>
      <c r="T349" s="26" t="str">
        <f aca="false">IF(B349="","",DB_Colleges!AI343&amp;"")</f>
        <v/>
      </c>
      <c r="U349" s="1" t="str">
        <f aca="false">IF(AND(ISNUMBER($X$4),ISNUMBER(DB_Colleges!Z343),ISNUMBER(DB_Colleges!AA343)),IF($X$4&gt;=DB_Colleges!AA343,1,IF($X$4&lt;DB_Colleges!Z343,-1,0)),"")</f>
        <v/>
      </c>
      <c r="V349" s="1" t="str">
        <f aca="false">IF(AND(ISNUMBER($Y$4),ISNUMBER(DB_Colleges!AD343)),IF($Y$4&gt;=DB_Colleges!AD343+0.15,1,IF($Y$4&lt;DB_Colleges!AD343-0.2,-1,0)),"")</f>
        <v/>
      </c>
      <c r="W349" s="1" t="n">
        <f aca="false">IF(COUNT(U349:V349)=0,0,MIN(U349:V349))</f>
        <v>0</v>
      </c>
    </row>
    <row r="350" customFormat="false" ht="15" hidden="false" customHeight="true" outlineLevel="0" collapsed="false">
      <c r="A350" s="26" t="str">
        <f aca="false">IF(B350="","",IF(COUNTIF('My Colleges'!$B$8:$B$27,B350)&gt;0,"On list",""))</f>
        <v/>
      </c>
      <c r="B350" s="27" t="str">
        <f aca="false">IF(DB_Colleges!A344="","",DB_Colleges!A344)</f>
        <v/>
      </c>
      <c r="C350" s="26" t="str">
        <f aca="false">IF(B350="","",DB_Colleges!B344)</f>
        <v/>
      </c>
      <c r="D350" s="26" t="str">
        <f aca="false">IF(B350="","",DB_Colleges!C344&amp;", "&amp;DB_Colleges!D344)</f>
        <v/>
      </c>
      <c r="E350" s="26" t="str">
        <f aca="false">IF(B350="","",IF(AND(NOT(ISNUMBER($X$4)),NOT(ISNUMBER($Y$4))),"Add scores",IF(NOT(ISNUMBER(DB_Colleges!Y344)),IF(OR(C350="Ivy League",C350="Highly Selective"),"Reach",IF(COUNT(U350:V350)=0,"No data",CHOOSE(W350+2,"Reach","Target","Likely"))),IF(DB_Colleges!Y344&lt;0.15,"Reach",IF(DB_Colleges!Y344&gt;=0.75,IF(W350&gt;=0,"Likely","Target"),IF(DB_Colleges!Y344&gt;=0.4,CHOOSE(W350+2,"Reach","Target","Likely"),IF(W350=1,"Target","Reach")))))))</f>
        <v/>
      </c>
      <c r="F350" s="28" t="str">
        <f aca="false">IF(OR(B350="",NOT(ISNUMBER(DB_Colleges!Y344))),"",DB_Colleges!Y344)</f>
        <v/>
      </c>
      <c r="G350" s="26" t="str">
        <f aca="false">IF(OR(B350="",NOT(ISNUMBER(DB_Colleges!Z344))),"",DB_Colleges!Z344&amp;"-"&amp;DB_Colleges!AA344)</f>
        <v/>
      </c>
      <c r="H350" s="26" t="str">
        <f aca="false">IF(OR(B350="",NOT(ISNUMBER(DB_Colleges!AD344))),"",DB_Colleges!AD344)</f>
        <v/>
      </c>
      <c r="I350" s="29" t="str">
        <f aca="false">IF(B350="","",IF(COUNT(DB_Colleges!I344:O344)=0,IF(DB_Colleges!P344="Yes","Rolling","Check site"),MIN(DB_Colleges!I344:O344)))</f>
        <v/>
      </c>
      <c r="J350" s="26" t="str">
        <f aca="false">IF(OR(B350="",COUNT(DB_Colleges!I344:O344)=0),"",INDEX({"ED","ED II","EA","EA II","REA","RD","Priority"},MATCH(MIN(DB_Colleges!I344:O344),DB_Colleges!I344:O344,0)))</f>
        <v/>
      </c>
      <c r="K350" s="29" t="str">
        <f aca="false">IF(OR(B350="",NOT(ISNUMBER(DB_Colleges!N344))),"",DB_Colleges!N344)</f>
        <v/>
      </c>
      <c r="L350" s="26" t="str">
        <f aca="false">IF(B350="","",DB_Colleges!G344&amp;"")</f>
        <v/>
      </c>
      <c r="M350" s="30" t="str">
        <f aca="false">IF(OR(B350="",NOT(ISNUMBER(DB_Colleges!S344))),"",DB_Colleges!S344)</f>
        <v/>
      </c>
      <c r="N350" s="26" t="str">
        <f aca="false">IF(B350="","",DB_Colleges!U344&amp;"")</f>
        <v/>
      </c>
      <c r="O350" s="26" t="str">
        <f aca="false">IF(B350="","",IF(ISNUMBER(DB_Colleges!AH344),DB_Colleges!AH344,"Check"))</f>
        <v/>
      </c>
      <c r="P350" s="26" t="str">
        <f aca="false">IF(B350="","",DB_Colleges!W344&amp;"")</f>
        <v/>
      </c>
      <c r="Q350" s="30" t="str">
        <f aca="false">IF(OR(B350="",NOT(ISNUMBER(DB_Colleges!AF344))),"",DB_Colleges!AF344)</f>
        <v/>
      </c>
      <c r="R350" s="28" t="str">
        <f aca="false">IF(OR(B350="",NOT(ISNUMBER(DB_Colleges!AG344))),"",DB_Colleges!AG344)</f>
        <v/>
      </c>
      <c r="S350" s="26" t="str">
        <f aca="false">IF(B350="","",DB_Colleges!AK344&amp;"")</f>
        <v/>
      </c>
      <c r="T350" s="26" t="str">
        <f aca="false">IF(B350="","",DB_Colleges!AI344&amp;"")</f>
        <v/>
      </c>
      <c r="U350" s="1" t="str">
        <f aca="false">IF(AND(ISNUMBER($X$4),ISNUMBER(DB_Colleges!Z344),ISNUMBER(DB_Colleges!AA344)),IF($X$4&gt;=DB_Colleges!AA344,1,IF($X$4&lt;DB_Colleges!Z344,-1,0)),"")</f>
        <v/>
      </c>
      <c r="V350" s="1" t="str">
        <f aca="false">IF(AND(ISNUMBER($Y$4),ISNUMBER(DB_Colleges!AD344)),IF($Y$4&gt;=DB_Colleges!AD344+0.15,1,IF($Y$4&lt;DB_Colleges!AD344-0.2,-1,0)),"")</f>
        <v/>
      </c>
      <c r="W350" s="1" t="n">
        <f aca="false">IF(COUNT(U350:V350)=0,0,MIN(U350:V350))</f>
        <v>0</v>
      </c>
    </row>
    <row r="351" customFormat="false" ht="15" hidden="false" customHeight="true" outlineLevel="0" collapsed="false">
      <c r="A351" s="26" t="str">
        <f aca="false">IF(B351="","",IF(COUNTIF('My Colleges'!$B$8:$B$27,B351)&gt;0,"On list",""))</f>
        <v/>
      </c>
      <c r="B351" s="27" t="str">
        <f aca="false">IF(DB_Colleges!A345="","",DB_Colleges!A345)</f>
        <v/>
      </c>
      <c r="C351" s="26" t="str">
        <f aca="false">IF(B351="","",DB_Colleges!B345)</f>
        <v/>
      </c>
      <c r="D351" s="26" t="str">
        <f aca="false">IF(B351="","",DB_Colleges!C345&amp;", "&amp;DB_Colleges!D345)</f>
        <v/>
      </c>
      <c r="E351" s="26" t="str">
        <f aca="false">IF(B351="","",IF(AND(NOT(ISNUMBER($X$4)),NOT(ISNUMBER($Y$4))),"Add scores",IF(NOT(ISNUMBER(DB_Colleges!Y345)),IF(OR(C351="Ivy League",C351="Highly Selective"),"Reach",IF(COUNT(U351:V351)=0,"No data",CHOOSE(W351+2,"Reach","Target","Likely"))),IF(DB_Colleges!Y345&lt;0.15,"Reach",IF(DB_Colleges!Y345&gt;=0.75,IF(W351&gt;=0,"Likely","Target"),IF(DB_Colleges!Y345&gt;=0.4,CHOOSE(W351+2,"Reach","Target","Likely"),IF(W351=1,"Target","Reach")))))))</f>
        <v/>
      </c>
      <c r="F351" s="28" t="str">
        <f aca="false">IF(OR(B351="",NOT(ISNUMBER(DB_Colleges!Y345))),"",DB_Colleges!Y345)</f>
        <v/>
      </c>
      <c r="G351" s="26" t="str">
        <f aca="false">IF(OR(B351="",NOT(ISNUMBER(DB_Colleges!Z345))),"",DB_Colleges!Z345&amp;"-"&amp;DB_Colleges!AA345)</f>
        <v/>
      </c>
      <c r="H351" s="26" t="str">
        <f aca="false">IF(OR(B351="",NOT(ISNUMBER(DB_Colleges!AD345))),"",DB_Colleges!AD345)</f>
        <v/>
      </c>
      <c r="I351" s="29" t="str">
        <f aca="false">IF(B351="","",IF(COUNT(DB_Colleges!I345:O345)=0,IF(DB_Colleges!P345="Yes","Rolling","Check site"),MIN(DB_Colleges!I345:O345)))</f>
        <v/>
      </c>
      <c r="J351" s="26" t="str">
        <f aca="false">IF(OR(B351="",COUNT(DB_Colleges!I345:O345)=0),"",INDEX({"ED","ED II","EA","EA II","REA","RD","Priority"},MATCH(MIN(DB_Colleges!I345:O345),DB_Colleges!I345:O345,0)))</f>
        <v/>
      </c>
      <c r="K351" s="29" t="str">
        <f aca="false">IF(OR(B351="",NOT(ISNUMBER(DB_Colleges!N345))),"",DB_Colleges!N345)</f>
        <v/>
      </c>
      <c r="L351" s="26" t="str">
        <f aca="false">IF(B351="","",DB_Colleges!G345&amp;"")</f>
        <v/>
      </c>
      <c r="M351" s="30" t="str">
        <f aca="false">IF(OR(B351="",NOT(ISNUMBER(DB_Colleges!S345))),"",DB_Colleges!S345)</f>
        <v/>
      </c>
      <c r="N351" s="26" t="str">
        <f aca="false">IF(B351="","",DB_Colleges!U345&amp;"")</f>
        <v/>
      </c>
      <c r="O351" s="26" t="str">
        <f aca="false">IF(B351="","",IF(ISNUMBER(DB_Colleges!AH345),DB_Colleges!AH345,"Check"))</f>
        <v/>
      </c>
      <c r="P351" s="26" t="str">
        <f aca="false">IF(B351="","",DB_Colleges!W345&amp;"")</f>
        <v/>
      </c>
      <c r="Q351" s="30" t="str">
        <f aca="false">IF(OR(B351="",NOT(ISNUMBER(DB_Colleges!AF345))),"",DB_Colleges!AF345)</f>
        <v/>
      </c>
      <c r="R351" s="28" t="str">
        <f aca="false">IF(OR(B351="",NOT(ISNUMBER(DB_Colleges!AG345))),"",DB_Colleges!AG345)</f>
        <v/>
      </c>
      <c r="S351" s="26" t="str">
        <f aca="false">IF(B351="","",DB_Colleges!AK345&amp;"")</f>
        <v/>
      </c>
      <c r="T351" s="26" t="str">
        <f aca="false">IF(B351="","",DB_Colleges!AI345&amp;"")</f>
        <v/>
      </c>
      <c r="U351" s="1" t="str">
        <f aca="false">IF(AND(ISNUMBER($X$4),ISNUMBER(DB_Colleges!Z345),ISNUMBER(DB_Colleges!AA345)),IF($X$4&gt;=DB_Colleges!AA345,1,IF($X$4&lt;DB_Colleges!Z345,-1,0)),"")</f>
        <v/>
      </c>
      <c r="V351" s="1" t="str">
        <f aca="false">IF(AND(ISNUMBER($Y$4),ISNUMBER(DB_Colleges!AD345)),IF($Y$4&gt;=DB_Colleges!AD345+0.15,1,IF($Y$4&lt;DB_Colleges!AD345-0.2,-1,0)),"")</f>
        <v/>
      </c>
      <c r="W351" s="1" t="n">
        <f aca="false">IF(COUNT(U351:V351)=0,0,MIN(U351:V351))</f>
        <v>0</v>
      </c>
    </row>
    <row r="352" customFormat="false" ht="15" hidden="false" customHeight="true" outlineLevel="0" collapsed="false">
      <c r="A352" s="26" t="str">
        <f aca="false">IF(B352="","",IF(COUNTIF('My Colleges'!$B$8:$B$27,B352)&gt;0,"On list",""))</f>
        <v/>
      </c>
      <c r="B352" s="27" t="str">
        <f aca="false">IF(DB_Colleges!A346="","",DB_Colleges!A346)</f>
        <v/>
      </c>
      <c r="C352" s="26" t="str">
        <f aca="false">IF(B352="","",DB_Colleges!B346)</f>
        <v/>
      </c>
      <c r="D352" s="26" t="str">
        <f aca="false">IF(B352="","",DB_Colleges!C346&amp;", "&amp;DB_Colleges!D346)</f>
        <v/>
      </c>
      <c r="E352" s="26" t="str">
        <f aca="false">IF(B352="","",IF(AND(NOT(ISNUMBER($X$4)),NOT(ISNUMBER($Y$4))),"Add scores",IF(NOT(ISNUMBER(DB_Colleges!Y346)),IF(OR(C352="Ivy League",C352="Highly Selective"),"Reach",IF(COUNT(U352:V352)=0,"No data",CHOOSE(W352+2,"Reach","Target","Likely"))),IF(DB_Colleges!Y346&lt;0.15,"Reach",IF(DB_Colleges!Y346&gt;=0.75,IF(W352&gt;=0,"Likely","Target"),IF(DB_Colleges!Y346&gt;=0.4,CHOOSE(W352+2,"Reach","Target","Likely"),IF(W352=1,"Target","Reach")))))))</f>
        <v/>
      </c>
      <c r="F352" s="28" t="str">
        <f aca="false">IF(OR(B352="",NOT(ISNUMBER(DB_Colleges!Y346))),"",DB_Colleges!Y346)</f>
        <v/>
      </c>
      <c r="G352" s="26" t="str">
        <f aca="false">IF(OR(B352="",NOT(ISNUMBER(DB_Colleges!Z346))),"",DB_Colleges!Z346&amp;"-"&amp;DB_Colleges!AA346)</f>
        <v/>
      </c>
      <c r="H352" s="26" t="str">
        <f aca="false">IF(OR(B352="",NOT(ISNUMBER(DB_Colleges!AD346))),"",DB_Colleges!AD346)</f>
        <v/>
      </c>
      <c r="I352" s="29" t="str">
        <f aca="false">IF(B352="","",IF(COUNT(DB_Colleges!I346:O346)=0,IF(DB_Colleges!P346="Yes","Rolling","Check site"),MIN(DB_Colleges!I346:O346)))</f>
        <v/>
      </c>
      <c r="J352" s="26" t="str">
        <f aca="false">IF(OR(B352="",COUNT(DB_Colleges!I346:O346)=0),"",INDEX({"ED","ED II","EA","EA II","REA","RD","Priority"},MATCH(MIN(DB_Colleges!I346:O346),DB_Colleges!I346:O346,0)))</f>
        <v/>
      </c>
      <c r="K352" s="29" t="str">
        <f aca="false">IF(OR(B352="",NOT(ISNUMBER(DB_Colleges!N346))),"",DB_Colleges!N346)</f>
        <v/>
      </c>
      <c r="L352" s="26" t="str">
        <f aca="false">IF(B352="","",DB_Colleges!G346&amp;"")</f>
        <v/>
      </c>
      <c r="M352" s="30" t="str">
        <f aca="false">IF(OR(B352="",NOT(ISNUMBER(DB_Colleges!S346))),"",DB_Colleges!S346)</f>
        <v/>
      </c>
      <c r="N352" s="26" t="str">
        <f aca="false">IF(B352="","",DB_Colleges!U346&amp;"")</f>
        <v/>
      </c>
      <c r="O352" s="26" t="str">
        <f aca="false">IF(B352="","",IF(ISNUMBER(DB_Colleges!AH346),DB_Colleges!AH346,"Check"))</f>
        <v/>
      </c>
      <c r="P352" s="26" t="str">
        <f aca="false">IF(B352="","",DB_Colleges!W346&amp;"")</f>
        <v/>
      </c>
      <c r="Q352" s="30" t="str">
        <f aca="false">IF(OR(B352="",NOT(ISNUMBER(DB_Colleges!AF346))),"",DB_Colleges!AF346)</f>
        <v/>
      </c>
      <c r="R352" s="28" t="str">
        <f aca="false">IF(OR(B352="",NOT(ISNUMBER(DB_Colleges!AG346))),"",DB_Colleges!AG346)</f>
        <v/>
      </c>
      <c r="S352" s="26" t="str">
        <f aca="false">IF(B352="","",DB_Colleges!AK346&amp;"")</f>
        <v/>
      </c>
      <c r="T352" s="26" t="str">
        <f aca="false">IF(B352="","",DB_Colleges!AI346&amp;"")</f>
        <v/>
      </c>
      <c r="U352" s="1" t="str">
        <f aca="false">IF(AND(ISNUMBER($X$4),ISNUMBER(DB_Colleges!Z346),ISNUMBER(DB_Colleges!AA346)),IF($X$4&gt;=DB_Colleges!AA346,1,IF($X$4&lt;DB_Colleges!Z346,-1,0)),"")</f>
        <v/>
      </c>
      <c r="V352" s="1" t="str">
        <f aca="false">IF(AND(ISNUMBER($Y$4),ISNUMBER(DB_Colleges!AD346)),IF($Y$4&gt;=DB_Colleges!AD346+0.15,1,IF($Y$4&lt;DB_Colleges!AD346-0.2,-1,0)),"")</f>
        <v/>
      </c>
      <c r="W352" s="1" t="n">
        <f aca="false">IF(COUNT(U352:V352)=0,0,MIN(U352:V352))</f>
        <v>0</v>
      </c>
    </row>
    <row r="353" customFormat="false" ht="15" hidden="false" customHeight="true" outlineLevel="0" collapsed="false">
      <c r="A353" s="26" t="str">
        <f aca="false">IF(B353="","",IF(COUNTIF('My Colleges'!$B$8:$B$27,B353)&gt;0,"On list",""))</f>
        <v/>
      </c>
      <c r="B353" s="27" t="str">
        <f aca="false">IF(DB_Colleges!A347="","",DB_Colleges!A347)</f>
        <v/>
      </c>
      <c r="C353" s="26" t="str">
        <f aca="false">IF(B353="","",DB_Colleges!B347)</f>
        <v/>
      </c>
      <c r="D353" s="26" t="str">
        <f aca="false">IF(B353="","",DB_Colleges!C347&amp;", "&amp;DB_Colleges!D347)</f>
        <v/>
      </c>
      <c r="E353" s="26" t="str">
        <f aca="false">IF(B353="","",IF(AND(NOT(ISNUMBER($X$4)),NOT(ISNUMBER($Y$4))),"Add scores",IF(NOT(ISNUMBER(DB_Colleges!Y347)),IF(OR(C353="Ivy League",C353="Highly Selective"),"Reach",IF(COUNT(U353:V353)=0,"No data",CHOOSE(W353+2,"Reach","Target","Likely"))),IF(DB_Colleges!Y347&lt;0.15,"Reach",IF(DB_Colleges!Y347&gt;=0.75,IF(W353&gt;=0,"Likely","Target"),IF(DB_Colleges!Y347&gt;=0.4,CHOOSE(W353+2,"Reach","Target","Likely"),IF(W353=1,"Target","Reach")))))))</f>
        <v/>
      </c>
      <c r="F353" s="28" t="str">
        <f aca="false">IF(OR(B353="",NOT(ISNUMBER(DB_Colleges!Y347))),"",DB_Colleges!Y347)</f>
        <v/>
      </c>
      <c r="G353" s="26" t="str">
        <f aca="false">IF(OR(B353="",NOT(ISNUMBER(DB_Colleges!Z347))),"",DB_Colleges!Z347&amp;"-"&amp;DB_Colleges!AA347)</f>
        <v/>
      </c>
      <c r="H353" s="26" t="str">
        <f aca="false">IF(OR(B353="",NOT(ISNUMBER(DB_Colleges!AD347))),"",DB_Colleges!AD347)</f>
        <v/>
      </c>
      <c r="I353" s="29" t="str">
        <f aca="false">IF(B353="","",IF(COUNT(DB_Colleges!I347:O347)=0,IF(DB_Colleges!P347="Yes","Rolling","Check site"),MIN(DB_Colleges!I347:O347)))</f>
        <v/>
      </c>
      <c r="J353" s="26" t="str">
        <f aca="false">IF(OR(B353="",COUNT(DB_Colleges!I347:O347)=0),"",INDEX({"ED","ED II","EA","EA II","REA","RD","Priority"},MATCH(MIN(DB_Colleges!I347:O347),DB_Colleges!I347:O347,0)))</f>
        <v/>
      </c>
      <c r="K353" s="29" t="str">
        <f aca="false">IF(OR(B353="",NOT(ISNUMBER(DB_Colleges!N347))),"",DB_Colleges!N347)</f>
        <v/>
      </c>
      <c r="L353" s="26" t="str">
        <f aca="false">IF(B353="","",DB_Colleges!G347&amp;"")</f>
        <v/>
      </c>
      <c r="M353" s="30" t="str">
        <f aca="false">IF(OR(B353="",NOT(ISNUMBER(DB_Colleges!S347))),"",DB_Colleges!S347)</f>
        <v/>
      </c>
      <c r="N353" s="26" t="str">
        <f aca="false">IF(B353="","",DB_Colleges!U347&amp;"")</f>
        <v/>
      </c>
      <c r="O353" s="26" t="str">
        <f aca="false">IF(B353="","",IF(ISNUMBER(DB_Colleges!AH347),DB_Colleges!AH347,"Check"))</f>
        <v/>
      </c>
      <c r="P353" s="26" t="str">
        <f aca="false">IF(B353="","",DB_Colleges!W347&amp;"")</f>
        <v/>
      </c>
      <c r="Q353" s="30" t="str">
        <f aca="false">IF(OR(B353="",NOT(ISNUMBER(DB_Colleges!AF347))),"",DB_Colleges!AF347)</f>
        <v/>
      </c>
      <c r="R353" s="28" t="str">
        <f aca="false">IF(OR(B353="",NOT(ISNUMBER(DB_Colleges!AG347))),"",DB_Colleges!AG347)</f>
        <v/>
      </c>
      <c r="S353" s="26" t="str">
        <f aca="false">IF(B353="","",DB_Colleges!AK347&amp;"")</f>
        <v/>
      </c>
      <c r="T353" s="26" t="str">
        <f aca="false">IF(B353="","",DB_Colleges!AI347&amp;"")</f>
        <v/>
      </c>
      <c r="U353" s="1" t="str">
        <f aca="false">IF(AND(ISNUMBER($X$4),ISNUMBER(DB_Colleges!Z347),ISNUMBER(DB_Colleges!AA347)),IF($X$4&gt;=DB_Colleges!AA347,1,IF($X$4&lt;DB_Colleges!Z347,-1,0)),"")</f>
        <v/>
      </c>
      <c r="V353" s="1" t="str">
        <f aca="false">IF(AND(ISNUMBER($Y$4),ISNUMBER(DB_Colleges!AD347)),IF($Y$4&gt;=DB_Colleges!AD347+0.15,1,IF($Y$4&lt;DB_Colleges!AD347-0.2,-1,0)),"")</f>
        <v/>
      </c>
      <c r="W353" s="1" t="n">
        <f aca="false">IF(COUNT(U353:V353)=0,0,MIN(U353:V353))</f>
        <v>0</v>
      </c>
    </row>
    <row r="354" customFormat="false" ht="15" hidden="false" customHeight="true" outlineLevel="0" collapsed="false">
      <c r="A354" s="26" t="str">
        <f aca="false">IF(B354="","",IF(COUNTIF('My Colleges'!$B$8:$B$27,B354)&gt;0,"On list",""))</f>
        <v/>
      </c>
      <c r="B354" s="27" t="str">
        <f aca="false">IF(DB_Colleges!A348="","",DB_Colleges!A348)</f>
        <v/>
      </c>
      <c r="C354" s="26" t="str">
        <f aca="false">IF(B354="","",DB_Colleges!B348)</f>
        <v/>
      </c>
      <c r="D354" s="26" t="str">
        <f aca="false">IF(B354="","",DB_Colleges!C348&amp;", "&amp;DB_Colleges!D348)</f>
        <v/>
      </c>
      <c r="E354" s="26" t="str">
        <f aca="false">IF(B354="","",IF(AND(NOT(ISNUMBER($X$4)),NOT(ISNUMBER($Y$4))),"Add scores",IF(NOT(ISNUMBER(DB_Colleges!Y348)),IF(OR(C354="Ivy League",C354="Highly Selective"),"Reach",IF(COUNT(U354:V354)=0,"No data",CHOOSE(W354+2,"Reach","Target","Likely"))),IF(DB_Colleges!Y348&lt;0.15,"Reach",IF(DB_Colleges!Y348&gt;=0.75,IF(W354&gt;=0,"Likely","Target"),IF(DB_Colleges!Y348&gt;=0.4,CHOOSE(W354+2,"Reach","Target","Likely"),IF(W354=1,"Target","Reach")))))))</f>
        <v/>
      </c>
      <c r="F354" s="28" t="str">
        <f aca="false">IF(OR(B354="",NOT(ISNUMBER(DB_Colleges!Y348))),"",DB_Colleges!Y348)</f>
        <v/>
      </c>
      <c r="G354" s="26" t="str">
        <f aca="false">IF(OR(B354="",NOT(ISNUMBER(DB_Colleges!Z348))),"",DB_Colleges!Z348&amp;"-"&amp;DB_Colleges!AA348)</f>
        <v/>
      </c>
      <c r="H354" s="26" t="str">
        <f aca="false">IF(OR(B354="",NOT(ISNUMBER(DB_Colleges!AD348))),"",DB_Colleges!AD348)</f>
        <v/>
      </c>
      <c r="I354" s="29" t="str">
        <f aca="false">IF(B354="","",IF(COUNT(DB_Colleges!I348:O348)=0,IF(DB_Colleges!P348="Yes","Rolling","Check site"),MIN(DB_Colleges!I348:O348)))</f>
        <v/>
      </c>
      <c r="J354" s="26" t="str">
        <f aca="false">IF(OR(B354="",COUNT(DB_Colleges!I348:O348)=0),"",INDEX({"ED","ED II","EA","EA II","REA","RD","Priority"},MATCH(MIN(DB_Colleges!I348:O348),DB_Colleges!I348:O348,0)))</f>
        <v/>
      </c>
      <c r="K354" s="29" t="str">
        <f aca="false">IF(OR(B354="",NOT(ISNUMBER(DB_Colleges!N348))),"",DB_Colleges!N348)</f>
        <v/>
      </c>
      <c r="L354" s="26" t="str">
        <f aca="false">IF(B354="","",DB_Colleges!G348&amp;"")</f>
        <v/>
      </c>
      <c r="M354" s="30" t="str">
        <f aca="false">IF(OR(B354="",NOT(ISNUMBER(DB_Colleges!S348))),"",DB_Colleges!S348)</f>
        <v/>
      </c>
      <c r="N354" s="26" t="str">
        <f aca="false">IF(B354="","",DB_Colleges!U348&amp;"")</f>
        <v/>
      </c>
      <c r="O354" s="26" t="str">
        <f aca="false">IF(B354="","",IF(ISNUMBER(DB_Colleges!AH348),DB_Colleges!AH348,"Check"))</f>
        <v/>
      </c>
      <c r="P354" s="26" t="str">
        <f aca="false">IF(B354="","",DB_Colleges!W348&amp;"")</f>
        <v/>
      </c>
      <c r="Q354" s="30" t="str">
        <f aca="false">IF(OR(B354="",NOT(ISNUMBER(DB_Colleges!AF348))),"",DB_Colleges!AF348)</f>
        <v/>
      </c>
      <c r="R354" s="28" t="str">
        <f aca="false">IF(OR(B354="",NOT(ISNUMBER(DB_Colleges!AG348))),"",DB_Colleges!AG348)</f>
        <v/>
      </c>
      <c r="S354" s="26" t="str">
        <f aca="false">IF(B354="","",DB_Colleges!AK348&amp;"")</f>
        <v/>
      </c>
      <c r="T354" s="26" t="str">
        <f aca="false">IF(B354="","",DB_Colleges!AI348&amp;"")</f>
        <v/>
      </c>
      <c r="U354" s="1" t="str">
        <f aca="false">IF(AND(ISNUMBER($X$4),ISNUMBER(DB_Colleges!Z348),ISNUMBER(DB_Colleges!AA348)),IF($X$4&gt;=DB_Colleges!AA348,1,IF($X$4&lt;DB_Colleges!Z348,-1,0)),"")</f>
        <v/>
      </c>
      <c r="V354" s="1" t="str">
        <f aca="false">IF(AND(ISNUMBER($Y$4),ISNUMBER(DB_Colleges!AD348)),IF($Y$4&gt;=DB_Colleges!AD348+0.15,1,IF($Y$4&lt;DB_Colleges!AD348-0.2,-1,0)),"")</f>
        <v/>
      </c>
      <c r="W354" s="1" t="n">
        <f aca="false">IF(COUNT(U354:V354)=0,0,MIN(U354:V354))</f>
        <v>0</v>
      </c>
    </row>
    <row r="355" customFormat="false" ht="15" hidden="false" customHeight="true" outlineLevel="0" collapsed="false">
      <c r="A355" s="26" t="str">
        <f aca="false">IF(B355="","",IF(COUNTIF('My Colleges'!$B$8:$B$27,B355)&gt;0,"On list",""))</f>
        <v/>
      </c>
      <c r="B355" s="27" t="str">
        <f aca="false">IF(DB_Colleges!A349="","",DB_Colleges!A349)</f>
        <v/>
      </c>
      <c r="C355" s="26" t="str">
        <f aca="false">IF(B355="","",DB_Colleges!B349)</f>
        <v/>
      </c>
      <c r="D355" s="26" t="str">
        <f aca="false">IF(B355="","",DB_Colleges!C349&amp;", "&amp;DB_Colleges!D349)</f>
        <v/>
      </c>
      <c r="E355" s="26" t="str">
        <f aca="false">IF(B355="","",IF(AND(NOT(ISNUMBER($X$4)),NOT(ISNUMBER($Y$4))),"Add scores",IF(NOT(ISNUMBER(DB_Colleges!Y349)),IF(OR(C355="Ivy League",C355="Highly Selective"),"Reach",IF(COUNT(U355:V355)=0,"No data",CHOOSE(W355+2,"Reach","Target","Likely"))),IF(DB_Colleges!Y349&lt;0.15,"Reach",IF(DB_Colleges!Y349&gt;=0.75,IF(W355&gt;=0,"Likely","Target"),IF(DB_Colleges!Y349&gt;=0.4,CHOOSE(W355+2,"Reach","Target","Likely"),IF(W355=1,"Target","Reach")))))))</f>
        <v/>
      </c>
      <c r="F355" s="28" t="str">
        <f aca="false">IF(OR(B355="",NOT(ISNUMBER(DB_Colleges!Y349))),"",DB_Colleges!Y349)</f>
        <v/>
      </c>
      <c r="G355" s="26" t="str">
        <f aca="false">IF(OR(B355="",NOT(ISNUMBER(DB_Colleges!Z349))),"",DB_Colleges!Z349&amp;"-"&amp;DB_Colleges!AA349)</f>
        <v/>
      </c>
      <c r="H355" s="26" t="str">
        <f aca="false">IF(OR(B355="",NOT(ISNUMBER(DB_Colleges!AD349))),"",DB_Colleges!AD349)</f>
        <v/>
      </c>
      <c r="I355" s="29" t="str">
        <f aca="false">IF(B355="","",IF(COUNT(DB_Colleges!I349:O349)=0,IF(DB_Colleges!P349="Yes","Rolling","Check site"),MIN(DB_Colleges!I349:O349)))</f>
        <v/>
      </c>
      <c r="J355" s="26" t="str">
        <f aca="false">IF(OR(B355="",COUNT(DB_Colleges!I349:O349)=0),"",INDEX({"ED","ED II","EA","EA II","REA","RD","Priority"},MATCH(MIN(DB_Colleges!I349:O349),DB_Colleges!I349:O349,0)))</f>
        <v/>
      </c>
      <c r="K355" s="29" t="str">
        <f aca="false">IF(OR(B355="",NOT(ISNUMBER(DB_Colleges!N349))),"",DB_Colleges!N349)</f>
        <v/>
      </c>
      <c r="L355" s="26" t="str">
        <f aca="false">IF(B355="","",DB_Colleges!G349&amp;"")</f>
        <v/>
      </c>
      <c r="M355" s="30" t="str">
        <f aca="false">IF(OR(B355="",NOT(ISNUMBER(DB_Colleges!S349))),"",DB_Colleges!S349)</f>
        <v/>
      </c>
      <c r="N355" s="26" t="str">
        <f aca="false">IF(B355="","",DB_Colleges!U349&amp;"")</f>
        <v/>
      </c>
      <c r="O355" s="26" t="str">
        <f aca="false">IF(B355="","",IF(ISNUMBER(DB_Colleges!AH349),DB_Colleges!AH349,"Check"))</f>
        <v/>
      </c>
      <c r="P355" s="26" t="str">
        <f aca="false">IF(B355="","",DB_Colleges!W349&amp;"")</f>
        <v/>
      </c>
      <c r="Q355" s="30" t="str">
        <f aca="false">IF(OR(B355="",NOT(ISNUMBER(DB_Colleges!AF349))),"",DB_Colleges!AF349)</f>
        <v/>
      </c>
      <c r="R355" s="28" t="str">
        <f aca="false">IF(OR(B355="",NOT(ISNUMBER(DB_Colleges!AG349))),"",DB_Colleges!AG349)</f>
        <v/>
      </c>
      <c r="S355" s="26" t="str">
        <f aca="false">IF(B355="","",DB_Colleges!AK349&amp;"")</f>
        <v/>
      </c>
      <c r="T355" s="26" t="str">
        <f aca="false">IF(B355="","",DB_Colleges!AI349&amp;"")</f>
        <v/>
      </c>
      <c r="U355" s="1" t="str">
        <f aca="false">IF(AND(ISNUMBER($X$4),ISNUMBER(DB_Colleges!Z349),ISNUMBER(DB_Colleges!AA349)),IF($X$4&gt;=DB_Colleges!AA349,1,IF($X$4&lt;DB_Colleges!Z349,-1,0)),"")</f>
        <v/>
      </c>
      <c r="V355" s="1" t="str">
        <f aca="false">IF(AND(ISNUMBER($Y$4),ISNUMBER(DB_Colleges!AD349)),IF($Y$4&gt;=DB_Colleges!AD349+0.15,1,IF($Y$4&lt;DB_Colleges!AD349-0.2,-1,0)),"")</f>
        <v/>
      </c>
      <c r="W355" s="1" t="n">
        <f aca="false">IF(COUNT(U355:V355)=0,0,MIN(U355:V355))</f>
        <v>0</v>
      </c>
    </row>
    <row r="356" customFormat="false" ht="15" hidden="false" customHeight="true" outlineLevel="0" collapsed="false">
      <c r="A356" s="26" t="str">
        <f aca="false">IF(B356="","",IF(COUNTIF('My Colleges'!$B$8:$B$27,B356)&gt;0,"On list",""))</f>
        <v/>
      </c>
      <c r="B356" s="27" t="str">
        <f aca="false">IF(DB_Colleges!A350="","",DB_Colleges!A350)</f>
        <v/>
      </c>
      <c r="C356" s="26" t="str">
        <f aca="false">IF(B356="","",DB_Colleges!B350)</f>
        <v/>
      </c>
      <c r="D356" s="26" t="str">
        <f aca="false">IF(B356="","",DB_Colleges!C350&amp;", "&amp;DB_Colleges!D350)</f>
        <v/>
      </c>
      <c r="E356" s="26" t="str">
        <f aca="false">IF(B356="","",IF(AND(NOT(ISNUMBER($X$4)),NOT(ISNUMBER($Y$4))),"Add scores",IF(NOT(ISNUMBER(DB_Colleges!Y350)),IF(OR(C356="Ivy League",C356="Highly Selective"),"Reach",IF(COUNT(U356:V356)=0,"No data",CHOOSE(W356+2,"Reach","Target","Likely"))),IF(DB_Colleges!Y350&lt;0.15,"Reach",IF(DB_Colleges!Y350&gt;=0.75,IF(W356&gt;=0,"Likely","Target"),IF(DB_Colleges!Y350&gt;=0.4,CHOOSE(W356+2,"Reach","Target","Likely"),IF(W356=1,"Target","Reach")))))))</f>
        <v/>
      </c>
      <c r="F356" s="28" t="str">
        <f aca="false">IF(OR(B356="",NOT(ISNUMBER(DB_Colleges!Y350))),"",DB_Colleges!Y350)</f>
        <v/>
      </c>
      <c r="G356" s="26" t="str">
        <f aca="false">IF(OR(B356="",NOT(ISNUMBER(DB_Colleges!Z350))),"",DB_Colleges!Z350&amp;"-"&amp;DB_Colleges!AA350)</f>
        <v/>
      </c>
      <c r="H356" s="26" t="str">
        <f aca="false">IF(OR(B356="",NOT(ISNUMBER(DB_Colleges!AD350))),"",DB_Colleges!AD350)</f>
        <v/>
      </c>
      <c r="I356" s="29" t="str">
        <f aca="false">IF(B356="","",IF(COUNT(DB_Colleges!I350:O350)=0,IF(DB_Colleges!P350="Yes","Rolling","Check site"),MIN(DB_Colleges!I350:O350)))</f>
        <v/>
      </c>
      <c r="J356" s="26" t="str">
        <f aca="false">IF(OR(B356="",COUNT(DB_Colleges!I350:O350)=0),"",INDEX({"ED","ED II","EA","EA II","REA","RD","Priority"},MATCH(MIN(DB_Colleges!I350:O350),DB_Colleges!I350:O350,0)))</f>
        <v/>
      </c>
      <c r="K356" s="29" t="str">
        <f aca="false">IF(OR(B356="",NOT(ISNUMBER(DB_Colleges!N350))),"",DB_Colleges!N350)</f>
        <v/>
      </c>
      <c r="L356" s="26" t="str">
        <f aca="false">IF(B356="","",DB_Colleges!G350&amp;"")</f>
        <v/>
      </c>
      <c r="M356" s="30" t="str">
        <f aca="false">IF(OR(B356="",NOT(ISNUMBER(DB_Colleges!S350))),"",DB_Colleges!S350)</f>
        <v/>
      </c>
      <c r="N356" s="26" t="str">
        <f aca="false">IF(B356="","",DB_Colleges!U350&amp;"")</f>
        <v/>
      </c>
      <c r="O356" s="26" t="str">
        <f aca="false">IF(B356="","",IF(ISNUMBER(DB_Colleges!AH350),DB_Colleges!AH350,"Check"))</f>
        <v/>
      </c>
      <c r="P356" s="26" t="str">
        <f aca="false">IF(B356="","",DB_Colleges!W350&amp;"")</f>
        <v/>
      </c>
      <c r="Q356" s="30" t="str">
        <f aca="false">IF(OR(B356="",NOT(ISNUMBER(DB_Colleges!AF350))),"",DB_Colleges!AF350)</f>
        <v/>
      </c>
      <c r="R356" s="28" t="str">
        <f aca="false">IF(OR(B356="",NOT(ISNUMBER(DB_Colleges!AG350))),"",DB_Colleges!AG350)</f>
        <v/>
      </c>
      <c r="S356" s="26" t="str">
        <f aca="false">IF(B356="","",DB_Colleges!AK350&amp;"")</f>
        <v/>
      </c>
      <c r="T356" s="26" t="str">
        <f aca="false">IF(B356="","",DB_Colleges!AI350&amp;"")</f>
        <v/>
      </c>
      <c r="U356" s="1" t="str">
        <f aca="false">IF(AND(ISNUMBER($X$4),ISNUMBER(DB_Colleges!Z350),ISNUMBER(DB_Colleges!AA350)),IF($X$4&gt;=DB_Colleges!AA350,1,IF($X$4&lt;DB_Colleges!Z350,-1,0)),"")</f>
        <v/>
      </c>
      <c r="V356" s="1" t="str">
        <f aca="false">IF(AND(ISNUMBER($Y$4),ISNUMBER(DB_Colleges!AD350)),IF($Y$4&gt;=DB_Colleges!AD350+0.15,1,IF($Y$4&lt;DB_Colleges!AD350-0.2,-1,0)),"")</f>
        <v/>
      </c>
      <c r="W356" s="1" t="n">
        <f aca="false">IF(COUNT(U356:V356)=0,0,MIN(U356:V356))</f>
        <v>0</v>
      </c>
    </row>
    <row r="357" customFormat="false" ht="15" hidden="false" customHeight="true" outlineLevel="0" collapsed="false">
      <c r="A357" s="26" t="str">
        <f aca="false">IF(B357="","",IF(COUNTIF('My Colleges'!$B$8:$B$27,B357)&gt;0,"On list",""))</f>
        <v/>
      </c>
      <c r="B357" s="27" t="str">
        <f aca="false">IF(DB_Colleges!A351="","",DB_Colleges!A351)</f>
        <v/>
      </c>
      <c r="C357" s="26" t="str">
        <f aca="false">IF(B357="","",DB_Colleges!B351)</f>
        <v/>
      </c>
      <c r="D357" s="26" t="str">
        <f aca="false">IF(B357="","",DB_Colleges!C351&amp;", "&amp;DB_Colleges!D351)</f>
        <v/>
      </c>
      <c r="E357" s="26" t="str">
        <f aca="false">IF(B357="","",IF(AND(NOT(ISNUMBER($X$4)),NOT(ISNUMBER($Y$4))),"Add scores",IF(NOT(ISNUMBER(DB_Colleges!Y351)),IF(OR(C357="Ivy League",C357="Highly Selective"),"Reach",IF(COUNT(U357:V357)=0,"No data",CHOOSE(W357+2,"Reach","Target","Likely"))),IF(DB_Colleges!Y351&lt;0.15,"Reach",IF(DB_Colleges!Y351&gt;=0.75,IF(W357&gt;=0,"Likely","Target"),IF(DB_Colleges!Y351&gt;=0.4,CHOOSE(W357+2,"Reach","Target","Likely"),IF(W357=1,"Target","Reach")))))))</f>
        <v/>
      </c>
      <c r="F357" s="28" t="str">
        <f aca="false">IF(OR(B357="",NOT(ISNUMBER(DB_Colleges!Y351))),"",DB_Colleges!Y351)</f>
        <v/>
      </c>
      <c r="G357" s="26" t="str">
        <f aca="false">IF(OR(B357="",NOT(ISNUMBER(DB_Colleges!Z351))),"",DB_Colleges!Z351&amp;"-"&amp;DB_Colleges!AA351)</f>
        <v/>
      </c>
      <c r="H357" s="26" t="str">
        <f aca="false">IF(OR(B357="",NOT(ISNUMBER(DB_Colleges!AD351))),"",DB_Colleges!AD351)</f>
        <v/>
      </c>
      <c r="I357" s="29" t="str">
        <f aca="false">IF(B357="","",IF(COUNT(DB_Colleges!I351:O351)=0,IF(DB_Colleges!P351="Yes","Rolling","Check site"),MIN(DB_Colleges!I351:O351)))</f>
        <v/>
      </c>
      <c r="J357" s="26" t="str">
        <f aca="false">IF(OR(B357="",COUNT(DB_Colleges!I351:O351)=0),"",INDEX({"ED","ED II","EA","EA II","REA","RD","Priority"},MATCH(MIN(DB_Colleges!I351:O351),DB_Colleges!I351:O351,0)))</f>
        <v/>
      </c>
      <c r="K357" s="29" t="str">
        <f aca="false">IF(OR(B357="",NOT(ISNUMBER(DB_Colleges!N351))),"",DB_Colleges!N351)</f>
        <v/>
      </c>
      <c r="L357" s="26" t="str">
        <f aca="false">IF(B357="","",DB_Colleges!G351&amp;"")</f>
        <v/>
      </c>
      <c r="M357" s="30" t="str">
        <f aca="false">IF(OR(B357="",NOT(ISNUMBER(DB_Colleges!S351))),"",DB_Colleges!S351)</f>
        <v/>
      </c>
      <c r="N357" s="26" t="str">
        <f aca="false">IF(B357="","",DB_Colleges!U351&amp;"")</f>
        <v/>
      </c>
      <c r="O357" s="26" t="str">
        <f aca="false">IF(B357="","",IF(ISNUMBER(DB_Colleges!AH351),DB_Colleges!AH351,"Check"))</f>
        <v/>
      </c>
      <c r="P357" s="26" t="str">
        <f aca="false">IF(B357="","",DB_Colleges!W351&amp;"")</f>
        <v/>
      </c>
      <c r="Q357" s="30" t="str">
        <f aca="false">IF(OR(B357="",NOT(ISNUMBER(DB_Colleges!AF351))),"",DB_Colleges!AF351)</f>
        <v/>
      </c>
      <c r="R357" s="28" t="str">
        <f aca="false">IF(OR(B357="",NOT(ISNUMBER(DB_Colleges!AG351))),"",DB_Colleges!AG351)</f>
        <v/>
      </c>
      <c r="S357" s="26" t="str">
        <f aca="false">IF(B357="","",DB_Colleges!AK351&amp;"")</f>
        <v/>
      </c>
      <c r="T357" s="26" t="str">
        <f aca="false">IF(B357="","",DB_Colleges!AI351&amp;"")</f>
        <v/>
      </c>
      <c r="U357" s="1" t="str">
        <f aca="false">IF(AND(ISNUMBER($X$4),ISNUMBER(DB_Colleges!Z351),ISNUMBER(DB_Colleges!AA351)),IF($X$4&gt;=DB_Colleges!AA351,1,IF($X$4&lt;DB_Colleges!Z351,-1,0)),"")</f>
        <v/>
      </c>
      <c r="V357" s="1" t="str">
        <f aca="false">IF(AND(ISNUMBER($Y$4),ISNUMBER(DB_Colleges!AD351)),IF($Y$4&gt;=DB_Colleges!AD351+0.15,1,IF($Y$4&lt;DB_Colleges!AD351-0.2,-1,0)),"")</f>
        <v/>
      </c>
      <c r="W357" s="1" t="n">
        <f aca="false">IF(COUNT(U357:V357)=0,0,MIN(U357:V357))</f>
        <v>0</v>
      </c>
    </row>
    <row r="358" customFormat="false" ht="15" hidden="false" customHeight="true" outlineLevel="0" collapsed="false">
      <c r="A358" s="26" t="str">
        <f aca="false">IF(B358="","",IF(COUNTIF('My Colleges'!$B$8:$B$27,B358)&gt;0,"On list",""))</f>
        <v/>
      </c>
      <c r="B358" s="27" t="str">
        <f aca="false">IF(DB_Colleges!A352="","",DB_Colleges!A352)</f>
        <v/>
      </c>
      <c r="C358" s="26" t="str">
        <f aca="false">IF(B358="","",DB_Colleges!B352)</f>
        <v/>
      </c>
      <c r="D358" s="26" t="str">
        <f aca="false">IF(B358="","",DB_Colleges!C352&amp;", "&amp;DB_Colleges!D352)</f>
        <v/>
      </c>
      <c r="E358" s="26" t="str">
        <f aca="false">IF(B358="","",IF(AND(NOT(ISNUMBER($X$4)),NOT(ISNUMBER($Y$4))),"Add scores",IF(NOT(ISNUMBER(DB_Colleges!Y352)),IF(OR(C358="Ivy League",C358="Highly Selective"),"Reach",IF(COUNT(U358:V358)=0,"No data",CHOOSE(W358+2,"Reach","Target","Likely"))),IF(DB_Colleges!Y352&lt;0.15,"Reach",IF(DB_Colleges!Y352&gt;=0.75,IF(W358&gt;=0,"Likely","Target"),IF(DB_Colleges!Y352&gt;=0.4,CHOOSE(W358+2,"Reach","Target","Likely"),IF(W358=1,"Target","Reach")))))))</f>
        <v/>
      </c>
      <c r="F358" s="28" t="str">
        <f aca="false">IF(OR(B358="",NOT(ISNUMBER(DB_Colleges!Y352))),"",DB_Colleges!Y352)</f>
        <v/>
      </c>
      <c r="G358" s="26" t="str">
        <f aca="false">IF(OR(B358="",NOT(ISNUMBER(DB_Colleges!Z352))),"",DB_Colleges!Z352&amp;"-"&amp;DB_Colleges!AA352)</f>
        <v/>
      </c>
      <c r="H358" s="26" t="str">
        <f aca="false">IF(OR(B358="",NOT(ISNUMBER(DB_Colleges!AD352))),"",DB_Colleges!AD352)</f>
        <v/>
      </c>
      <c r="I358" s="29" t="str">
        <f aca="false">IF(B358="","",IF(COUNT(DB_Colleges!I352:O352)=0,IF(DB_Colleges!P352="Yes","Rolling","Check site"),MIN(DB_Colleges!I352:O352)))</f>
        <v/>
      </c>
      <c r="J358" s="26" t="str">
        <f aca="false">IF(OR(B358="",COUNT(DB_Colleges!I352:O352)=0),"",INDEX({"ED","ED II","EA","EA II","REA","RD","Priority"},MATCH(MIN(DB_Colleges!I352:O352),DB_Colleges!I352:O352,0)))</f>
        <v/>
      </c>
      <c r="K358" s="29" t="str">
        <f aca="false">IF(OR(B358="",NOT(ISNUMBER(DB_Colleges!N352))),"",DB_Colleges!N352)</f>
        <v/>
      </c>
      <c r="L358" s="26" t="str">
        <f aca="false">IF(B358="","",DB_Colleges!G352&amp;"")</f>
        <v/>
      </c>
      <c r="M358" s="30" t="str">
        <f aca="false">IF(OR(B358="",NOT(ISNUMBER(DB_Colleges!S352))),"",DB_Colleges!S352)</f>
        <v/>
      </c>
      <c r="N358" s="26" t="str">
        <f aca="false">IF(B358="","",DB_Colleges!U352&amp;"")</f>
        <v/>
      </c>
      <c r="O358" s="26" t="str">
        <f aca="false">IF(B358="","",IF(ISNUMBER(DB_Colleges!AH352),DB_Colleges!AH352,"Check"))</f>
        <v/>
      </c>
      <c r="P358" s="26" t="str">
        <f aca="false">IF(B358="","",DB_Colleges!W352&amp;"")</f>
        <v/>
      </c>
      <c r="Q358" s="30" t="str">
        <f aca="false">IF(OR(B358="",NOT(ISNUMBER(DB_Colleges!AF352))),"",DB_Colleges!AF352)</f>
        <v/>
      </c>
      <c r="R358" s="28" t="str">
        <f aca="false">IF(OR(B358="",NOT(ISNUMBER(DB_Colleges!AG352))),"",DB_Colleges!AG352)</f>
        <v/>
      </c>
      <c r="S358" s="26" t="str">
        <f aca="false">IF(B358="","",DB_Colleges!AK352&amp;"")</f>
        <v/>
      </c>
      <c r="T358" s="26" t="str">
        <f aca="false">IF(B358="","",DB_Colleges!AI352&amp;"")</f>
        <v/>
      </c>
      <c r="U358" s="1" t="str">
        <f aca="false">IF(AND(ISNUMBER($X$4),ISNUMBER(DB_Colleges!Z352),ISNUMBER(DB_Colleges!AA352)),IF($X$4&gt;=DB_Colleges!AA352,1,IF($X$4&lt;DB_Colleges!Z352,-1,0)),"")</f>
        <v/>
      </c>
      <c r="V358" s="1" t="str">
        <f aca="false">IF(AND(ISNUMBER($Y$4),ISNUMBER(DB_Colleges!AD352)),IF($Y$4&gt;=DB_Colleges!AD352+0.15,1,IF($Y$4&lt;DB_Colleges!AD352-0.2,-1,0)),"")</f>
        <v/>
      </c>
      <c r="W358" s="1" t="n">
        <f aca="false">IF(COUNT(U358:V358)=0,0,MIN(U358:V358))</f>
        <v>0</v>
      </c>
    </row>
    <row r="359" customFormat="false" ht="15" hidden="false" customHeight="true" outlineLevel="0" collapsed="false">
      <c r="A359" s="26" t="str">
        <f aca="false">IF(B359="","",IF(COUNTIF('My Colleges'!$B$8:$B$27,B359)&gt;0,"On list",""))</f>
        <v/>
      </c>
      <c r="B359" s="27" t="str">
        <f aca="false">IF(DB_Colleges!A353="","",DB_Colleges!A353)</f>
        <v/>
      </c>
      <c r="C359" s="26" t="str">
        <f aca="false">IF(B359="","",DB_Colleges!B353)</f>
        <v/>
      </c>
      <c r="D359" s="26" t="str">
        <f aca="false">IF(B359="","",DB_Colleges!C353&amp;", "&amp;DB_Colleges!D353)</f>
        <v/>
      </c>
      <c r="E359" s="26" t="str">
        <f aca="false">IF(B359="","",IF(AND(NOT(ISNUMBER($X$4)),NOT(ISNUMBER($Y$4))),"Add scores",IF(NOT(ISNUMBER(DB_Colleges!Y353)),IF(OR(C359="Ivy League",C359="Highly Selective"),"Reach",IF(COUNT(U359:V359)=0,"No data",CHOOSE(W359+2,"Reach","Target","Likely"))),IF(DB_Colleges!Y353&lt;0.15,"Reach",IF(DB_Colleges!Y353&gt;=0.75,IF(W359&gt;=0,"Likely","Target"),IF(DB_Colleges!Y353&gt;=0.4,CHOOSE(W359+2,"Reach","Target","Likely"),IF(W359=1,"Target","Reach")))))))</f>
        <v/>
      </c>
      <c r="F359" s="28" t="str">
        <f aca="false">IF(OR(B359="",NOT(ISNUMBER(DB_Colleges!Y353))),"",DB_Colleges!Y353)</f>
        <v/>
      </c>
      <c r="G359" s="26" t="str">
        <f aca="false">IF(OR(B359="",NOT(ISNUMBER(DB_Colleges!Z353))),"",DB_Colleges!Z353&amp;"-"&amp;DB_Colleges!AA353)</f>
        <v/>
      </c>
      <c r="H359" s="26" t="str">
        <f aca="false">IF(OR(B359="",NOT(ISNUMBER(DB_Colleges!AD353))),"",DB_Colleges!AD353)</f>
        <v/>
      </c>
      <c r="I359" s="29" t="str">
        <f aca="false">IF(B359="","",IF(COUNT(DB_Colleges!I353:O353)=0,IF(DB_Colleges!P353="Yes","Rolling","Check site"),MIN(DB_Colleges!I353:O353)))</f>
        <v/>
      </c>
      <c r="J359" s="26" t="str">
        <f aca="false">IF(OR(B359="",COUNT(DB_Colleges!I353:O353)=0),"",INDEX({"ED","ED II","EA","EA II","REA","RD","Priority"},MATCH(MIN(DB_Colleges!I353:O353),DB_Colleges!I353:O353,0)))</f>
        <v/>
      </c>
      <c r="K359" s="29" t="str">
        <f aca="false">IF(OR(B359="",NOT(ISNUMBER(DB_Colleges!N353))),"",DB_Colleges!N353)</f>
        <v/>
      </c>
      <c r="L359" s="26" t="str">
        <f aca="false">IF(B359="","",DB_Colleges!G353&amp;"")</f>
        <v/>
      </c>
      <c r="M359" s="30" t="str">
        <f aca="false">IF(OR(B359="",NOT(ISNUMBER(DB_Colleges!S353))),"",DB_Colleges!S353)</f>
        <v/>
      </c>
      <c r="N359" s="26" t="str">
        <f aca="false">IF(B359="","",DB_Colleges!U353&amp;"")</f>
        <v/>
      </c>
      <c r="O359" s="26" t="str">
        <f aca="false">IF(B359="","",IF(ISNUMBER(DB_Colleges!AH353),DB_Colleges!AH353,"Check"))</f>
        <v/>
      </c>
      <c r="P359" s="26" t="str">
        <f aca="false">IF(B359="","",DB_Colleges!W353&amp;"")</f>
        <v/>
      </c>
      <c r="Q359" s="30" t="str">
        <f aca="false">IF(OR(B359="",NOT(ISNUMBER(DB_Colleges!AF353))),"",DB_Colleges!AF353)</f>
        <v/>
      </c>
      <c r="R359" s="28" t="str">
        <f aca="false">IF(OR(B359="",NOT(ISNUMBER(DB_Colleges!AG353))),"",DB_Colleges!AG353)</f>
        <v/>
      </c>
      <c r="S359" s="26" t="str">
        <f aca="false">IF(B359="","",DB_Colleges!AK353&amp;"")</f>
        <v/>
      </c>
      <c r="T359" s="26" t="str">
        <f aca="false">IF(B359="","",DB_Colleges!AI353&amp;"")</f>
        <v/>
      </c>
      <c r="U359" s="1" t="str">
        <f aca="false">IF(AND(ISNUMBER($X$4),ISNUMBER(DB_Colleges!Z353),ISNUMBER(DB_Colleges!AA353)),IF($X$4&gt;=DB_Colleges!AA353,1,IF($X$4&lt;DB_Colleges!Z353,-1,0)),"")</f>
        <v/>
      </c>
      <c r="V359" s="1" t="str">
        <f aca="false">IF(AND(ISNUMBER($Y$4),ISNUMBER(DB_Colleges!AD353)),IF($Y$4&gt;=DB_Colleges!AD353+0.15,1,IF($Y$4&lt;DB_Colleges!AD353-0.2,-1,0)),"")</f>
        <v/>
      </c>
      <c r="W359" s="1" t="n">
        <f aca="false">IF(COUNT(U359:V359)=0,0,MIN(U359:V359))</f>
        <v>0</v>
      </c>
    </row>
    <row r="360" customFormat="false" ht="15" hidden="false" customHeight="true" outlineLevel="0" collapsed="false">
      <c r="A360" s="26" t="str">
        <f aca="false">IF(B360="","",IF(COUNTIF('My Colleges'!$B$8:$B$27,B360)&gt;0,"On list",""))</f>
        <v/>
      </c>
      <c r="B360" s="27" t="str">
        <f aca="false">IF(DB_Colleges!A354="","",DB_Colleges!A354)</f>
        <v/>
      </c>
      <c r="C360" s="26" t="str">
        <f aca="false">IF(B360="","",DB_Colleges!B354)</f>
        <v/>
      </c>
      <c r="D360" s="26" t="str">
        <f aca="false">IF(B360="","",DB_Colleges!C354&amp;", "&amp;DB_Colleges!D354)</f>
        <v/>
      </c>
      <c r="E360" s="26" t="str">
        <f aca="false">IF(B360="","",IF(AND(NOT(ISNUMBER($X$4)),NOT(ISNUMBER($Y$4))),"Add scores",IF(NOT(ISNUMBER(DB_Colleges!Y354)),IF(OR(C360="Ivy League",C360="Highly Selective"),"Reach",IF(COUNT(U360:V360)=0,"No data",CHOOSE(W360+2,"Reach","Target","Likely"))),IF(DB_Colleges!Y354&lt;0.15,"Reach",IF(DB_Colleges!Y354&gt;=0.75,IF(W360&gt;=0,"Likely","Target"),IF(DB_Colleges!Y354&gt;=0.4,CHOOSE(W360+2,"Reach","Target","Likely"),IF(W360=1,"Target","Reach")))))))</f>
        <v/>
      </c>
      <c r="F360" s="28" t="str">
        <f aca="false">IF(OR(B360="",NOT(ISNUMBER(DB_Colleges!Y354))),"",DB_Colleges!Y354)</f>
        <v/>
      </c>
      <c r="G360" s="26" t="str">
        <f aca="false">IF(OR(B360="",NOT(ISNUMBER(DB_Colleges!Z354))),"",DB_Colleges!Z354&amp;"-"&amp;DB_Colleges!AA354)</f>
        <v/>
      </c>
      <c r="H360" s="26" t="str">
        <f aca="false">IF(OR(B360="",NOT(ISNUMBER(DB_Colleges!AD354))),"",DB_Colleges!AD354)</f>
        <v/>
      </c>
      <c r="I360" s="29" t="str">
        <f aca="false">IF(B360="","",IF(COUNT(DB_Colleges!I354:O354)=0,IF(DB_Colleges!P354="Yes","Rolling","Check site"),MIN(DB_Colleges!I354:O354)))</f>
        <v/>
      </c>
      <c r="J360" s="26" t="str">
        <f aca="false">IF(OR(B360="",COUNT(DB_Colleges!I354:O354)=0),"",INDEX({"ED","ED II","EA","EA II","REA","RD","Priority"},MATCH(MIN(DB_Colleges!I354:O354),DB_Colleges!I354:O354,0)))</f>
        <v/>
      </c>
      <c r="K360" s="29" t="str">
        <f aca="false">IF(OR(B360="",NOT(ISNUMBER(DB_Colleges!N354))),"",DB_Colleges!N354)</f>
        <v/>
      </c>
      <c r="L360" s="26" t="str">
        <f aca="false">IF(B360="","",DB_Colleges!G354&amp;"")</f>
        <v/>
      </c>
      <c r="M360" s="30" t="str">
        <f aca="false">IF(OR(B360="",NOT(ISNUMBER(DB_Colleges!S354))),"",DB_Colleges!S354)</f>
        <v/>
      </c>
      <c r="N360" s="26" t="str">
        <f aca="false">IF(B360="","",DB_Colleges!U354&amp;"")</f>
        <v/>
      </c>
      <c r="O360" s="26" t="str">
        <f aca="false">IF(B360="","",IF(ISNUMBER(DB_Colleges!AH354),DB_Colleges!AH354,"Check"))</f>
        <v/>
      </c>
      <c r="P360" s="26" t="str">
        <f aca="false">IF(B360="","",DB_Colleges!W354&amp;"")</f>
        <v/>
      </c>
      <c r="Q360" s="30" t="str">
        <f aca="false">IF(OR(B360="",NOT(ISNUMBER(DB_Colleges!AF354))),"",DB_Colleges!AF354)</f>
        <v/>
      </c>
      <c r="R360" s="28" t="str">
        <f aca="false">IF(OR(B360="",NOT(ISNUMBER(DB_Colleges!AG354))),"",DB_Colleges!AG354)</f>
        <v/>
      </c>
      <c r="S360" s="26" t="str">
        <f aca="false">IF(B360="","",DB_Colleges!AK354&amp;"")</f>
        <v/>
      </c>
      <c r="T360" s="26" t="str">
        <f aca="false">IF(B360="","",DB_Colleges!AI354&amp;"")</f>
        <v/>
      </c>
      <c r="U360" s="1" t="str">
        <f aca="false">IF(AND(ISNUMBER($X$4),ISNUMBER(DB_Colleges!Z354),ISNUMBER(DB_Colleges!AA354)),IF($X$4&gt;=DB_Colleges!AA354,1,IF($X$4&lt;DB_Colleges!Z354,-1,0)),"")</f>
        <v/>
      </c>
      <c r="V360" s="1" t="str">
        <f aca="false">IF(AND(ISNUMBER($Y$4),ISNUMBER(DB_Colleges!AD354)),IF($Y$4&gt;=DB_Colleges!AD354+0.15,1,IF($Y$4&lt;DB_Colleges!AD354-0.2,-1,0)),"")</f>
        <v/>
      </c>
      <c r="W360" s="1" t="n">
        <f aca="false">IF(COUNT(U360:V360)=0,0,MIN(U360:V360))</f>
        <v>0</v>
      </c>
    </row>
    <row r="361" customFormat="false" ht="15" hidden="false" customHeight="true" outlineLevel="0" collapsed="false">
      <c r="A361" s="26" t="str">
        <f aca="false">IF(B361="","",IF(COUNTIF('My Colleges'!$B$8:$B$27,B361)&gt;0,"On list",""))</f>
        <v/>
      </c>
      <c r="B361" s="27" t="str">
        <f aca="false">IF(DB_Colleges!A355="","",DB_Colleges!A355)</f>
        <v/>
      </c>
      <c r="C361" s="26" t="str">
        <f aca="false">IF(B361="","",DB_Colleges!B355)</f>
        <v/>
      </c>
      <c r="D361" s="26" t="str">
        <f aca="false">IF(B361="","",DB_Colleges!C355&amp;", "&amp;DB_Colleges!D355)</f>
        <v/>
      </c>
      <c r="E361" s="26" t="str">
        <f aca="false">IF(B361="","",IF(AND(NOT(ISNUMBER($X$4)),NOT(ISNUMBER($Y$4))),"Add scores",IF(NOT(ISNUMBER(DB_Colleges!Y355)),IF(OR(C361="Ivy League",C361="Highly Selective"),"Reach",IF(COUNT(U361:V361)=0,"No data",CHOOSE(W361+2,"Reach","Target","Likely"))),IF(DB_Colleges!Y355&lt;0.15,"Reach",IF(DB_Colleges!Y355&gt;=0.75,IF(W361&gt;=0,"Likely","Target"),IF(DB_Colleges!Y355&gt;=0.4,CHOOSE(W361+2,"Reach","Target","Likely"),IF(W361=1,"Target","Reach")))))))</f>
        <v/>
      </c>
      <c r="F361" s="28" t="str">
        <f aca="false">IF(OR(B361="",NOT(ISNUMBER(DB_Colleges!Y355))),"",DB_Colleges!Y355)</f>
        <v/>
      </c>
      <c r="G361" s="26" t="str">
        <f aca="false">IF(OR(B361="",NOT(ISNUMBER(DB_Colleges!Z355))),"",DB_Colleges!Z355&amp;"-"&amp;DB_Colleges!AA355)</f>
        <v/>
      </c>
      <c r="H361" s="26" t="str">
        <f aca="false">IF(OR(B361="",NOT(ISNUMBER(DB_Colleges!AD355))),"",DB_Colleges!AD355)</f>
        <v/>
      </c>
      <c r="I361" s="29" t="str">
        <f aca="false">IF(B361="","",IF(COUNT(DB_Colleges!I355:O355)=0,IF(DB_Colleges!P355="Yes","Rolling","Check site"),MIN(DB_Colleges!I355:O355)))</f>
        <v/>
      </c>
      <c r="J361" s="26" t="str">
        <f aca="false">IF(OR(B361="",COUNT(DB_Colleges!I355:O355)=0),"",INDEX({"ED","ED II","EA","EA II","REA","RD","Priority"},MATCH(MIN(DB_Colleges!I355:O355),DB_Colleges!I355:O355,0)))</f>
        <v/>
      </c>
      <c r="K361" s="29" t="str">
        <f aca="false">IF(OR(B361="",NOT(ISNUMBER(DB_Colleges!N355))),"",DB_Colleges!N355)</f>
        <v/>
      </c>
      <c r="L361" s="26" t="str">
        <f aca="false">IF(B361="","",DB_Colleges!G355&amp;"")</f>
        <v/>
      </c>
      <c r="M361" s="30" t="str">
        <f aca="false">IF(OR(B361="",NOT(ISNUMBER(DB_Colleges!S355))),"",DB_Colleges!S355)</f>
        <v/>
      </c>
      <c r="N361" s="26" t="str">
        <f aca="false">IF(B361="","",DB_Colleges!U355&amp;"")</f>
        <v/>
      </c>
      <c r="O361" s="26" t="str">
        <f aca="false">IF(B361="","",IF(ISNUMBER(DB_Colleges!AH355),DB_Colleges!AH355,"Check"))</f>
        <v/>
      </c>
      <c r="P361" s="26" t="str">
        <f aca="false">IF(B361="","",DB_Colleges!W355&amp;"")</f>
        <v/>
      </c>
      <c r="Q361" s="30" t="str">
        <f aca="false">IF(OR(B361="",NOT(ISNUMBER(DB_Colleges!AF355))),"",DB_Colleges!AF355)</f>
        <v/>
      </c>
      <c r="R361" s="28" t="str">
        <f aca="false">IF(OR(B361="",NOT(ISNUMBER(DB_Colleges!AG355))),"",DB_Colleges!AG355)</f>
        <v/>
      </c>
      <c r="S361" s="26" t="str">
        <f aca="false">IF(B361="","",DB_Colleges!AK355&amp;"")</f>
        <v/>
      </c>
      <c r="T361" s="26" t="str">
        <f aca="false">IF(B361="","",DB_Colleges!AI355&amp;"")</f>
        <v/>
      </c>
      <c r="U361" s="1" t="str">
        <f aca="false">IF(AND(ISNUMBER($X$4),ISNUMBER(DB_Colleges!Z355),ISNUMBER(DB_Colleges!AA355)),IF($X$4&gt;=DB_Colleges!AA355,1,IF($X$4&lt;DB_Colleges!Z355,-1,0)),"")</f>
        <v/>
      </c>
      <c r="V361" s="1" t="str">
        <f aca="false">IF(AND(ISNUMBER($Y$4),ISNUMBER(DB_Colleges!AD355)),IF($Y$4&gt;=DB_Colleges!AD355+0.15,1,IF($Y$4&lt;DB_Colleges!AD355-0.2,-1,0)),"")</f>
        <v/>
      </c>
      <c r="W361" s="1" t="n">
        <f aca="false">IF(COUNT(U361:V361)=0,0,MIN(U361:V361))</f>
        <v>0</v>
      </c>
    </row>
    <row r="362" customFormat="false" ht="15" hidden="false" customHeight="true" outlineLevel="0" collapsed="false">
      <c r="A362" s="26" t="str">
        <f aca="false">IF(B362="","",IF(COUNTIF('My Colleges'!$B$8:$B$27,B362)&gt;0,"On list",""))</f>
        <v/>
      </c>
      <c r="B362" s="27" t="str">
        <f aca="false">IF(DB_Colleges!A356="","",DB_Colleges!A356)</f>
        <v/>
      </c>
      <c r="C362" s="26" t="str">
        <f aca="false">IF(B362="","",DB_Colleges!B356)</f>
        <v/>
      </c>
      <c r="D362" s="26" t="str">
        <f aca="false">IF(B362="","",DB_Colleges!C356&amp;", "&amp;DB_Colleges!D356)</f>
        <v/>
      </c>
      <c r="E362" s="26" t="str">
        <f aca="false">IF(B362="","",IF(AND(NOT(ISNUMBER($X$4)),NOT(ISNUMBER($Y$4))),"Add scores",IF(NOT(ISNUMBER(DB_Colleges!Y356)),IF(OR(C362="Ivy League",C362="Highly Selective"),"Reach",IF(COUNT(U362:V362)=0,"No data",CHOOSE(W362+2,"Reach","Target","Likely"))),IF(DB_Colleges!Y356&lt;0.15,"Reach",IF(DB_Colleges!Y356&gt;=0.75,IF(W362&gt;=0,"Likely","Target"),IF(DB_Colleges!Y356&gt;=0.4,CHOOSE(W362+2,"Reach","Target","Likely"),IF(W362=1,"Target","Reach")))))))</f>
        <v/>
      </c>
      <c r="F362" s="28" t="str">
        <f aca="false">IF(OR(B362="",NOT(ISNUMBER(DB_Colleges!Y356))),"",DB_Colleges!Y356)</f>
        <v/>
      </c>
      <c r="G362" s="26" t="str">
        <f aca="false">IF(OR(B362="",NOT(ISNUMBER(DB_Colleges!Z356))),"",DB_Colleges!Z356&amp;"-"&amp;DB_Colleges!AA356)</f>
        <v/>
      </c>
      <c r="H362" s="26" t="str">
        <f aca="false">IF(OR(B362="",NOT(ISNUMBER(DB_Colleges!AD356))),"",DB_Colleges!AD356)</f>
        <v/>
      </c>
      <c r="I362" s="29" t="str">
        <f aca="false">IF(B362="","",IF(COUNT(DB_Colleges!I356:O356)=0,IF(DB_Colleges!P356="Yes","Rolling","Check site"),MIN(DB_Colleges!I356:O356)))</f>
        <v/>
      </c>
      <c r="J362" s="26" t="str">
        <f aca="false">IF(OR(B362="",COUNT(DB_Colleges!I356:O356)=0),"",INDEX({"ED","ED II","EA","EA II","REA","RD","Priority"},MATCH(MIN(DB_Colleges!I356:O356),DB_Colleges!I356:O356,0)))</f>
        <v/>
      </c>
      <c r="K362" s="29" t="str">
        <f aca="false">IF(OR(B362="",NOT(ISNUMBER(DB_Colleges!N356))),"",DB_Colleges!N356)</f>
        <v/>
      </c>
      <c r="L362" s="26" t="str">
        <f aca="false">IF(B362="","",DB_Colleges!G356&amp;"")</f>
        <v/>
      </c>
      <c r="M362" s="30" t="str">
        <f aca="false">IF(OR(B362="",NOT(ISNUMBER(DB_Colleges!S356))),"",DB_Colleges!S356)</f>
        <v/>
      </c>
      <c r="N362" s="26" t="str">
        <f aca="false">IF(B362="","",DB_Colleges!U356&amp;"")</f>
        <v/>
      </c>
      <c r="O362" s="26" t="str">
        <f aca="false">IF(B362="","",IF(ISNUMBER(DB_Colleges!AH356),DB_Colleges!AH356,"Check"))</f>
        <v/>
      </c>
      <c r="P362" s="26" t="str">
        <f aca="false">IF(B362="","",DB_Colleges!W356&amp;"")</f>
        <v/>
      </c>
      <c r="Q362" s="30" t="str">
        <f aca="false">IF(OR(B362="",NOT(ISNUMBER(DB_Colleges!AF356))),"",DB_Colleges!AF356)</f>
        <v/>
      </c>
      <c r="R362" s="28" t="str">
        <f aca="false">IF(OR(B362="",NOT(ISNUMBER(DB_Colleges!AG356))),"",DB_Colleges!AG356)</f>
        <v/>
      </c>
      <c r="S362" s="26" t="str">
        <f aca="false">IF(B362="","",DB_Colleges!AK356&amp;"")</f>
        <v/>
      </c>
      <c r="T362" s="26" t="str">
        <f aca="false">IF(B362="","",DB_Colleges!AI356&amp;"")</f>
        <v/>
      </c>
      <c r="U362" s="1" t="str">
        <f aca="false">IF(AND(ISNUMBER($X$4),ISNUMBER(DB_Colleges!Z356),ISNUMBER(DB_Colleges!AA356)),IF($X$4&gt;=DB_Colleges!AA356,1,IF($X$4&lt;DB_Colleges!Z356,-1,0)),"")</f>
        <v/>
      </c>
      <c r="V362" s="1" t="str">
        <f aca="false">IF(AND(ISNUMBER($Y$4),ISNUMBER(DB_Colleges!AD356)),IF($Y$4&gt;=DB_Colleges!AD356+0.15,1,IF($Y$4&lt;DB_Colleges!AD356-0.2,-1,0)),"")</f>
        <v/>
      </c>
      <c r="W362" s="1" t="n">
        <f aca="false">IF(COUNT(U362:V362)=0,0,MIN(U362:V362))</f>
        <v>0</v>
      </c>
    </row>
    <row r="363" customFormat="false" ht="15" hidden="false" customHeight="true" outlineLevel="0" collapsed="false">
      <c r="A363" s="26" t="str">
        <f aca="false">IF(B363="","",IF(COUNTIF('My Colleges'!$B$8:$B$27,B363)&gt;0,"On list",""))</f>
        <v/>
      </c>
      <c r="B363" s="27" t="str">
        <f aca="false">IF(DB_Colleges!A357="","",DB_Colleges!A357)</f>
        <v/>
      </c>
      <c r="C363" s="26" t="str">
        <f aca="false">IF(B363="","",DB_Colleges!B357)</f>
        <v/>
      </c>
      <c r="D363" s="26" t="str">
        <f aca="false">IF(B363="","",DB_Colleges!C357&amp;", "&amp;DB_Colleges!D357)</f>
        <v/>
      </c>
      <c r="E363" s="26" t="str">
        <f aca="false">IF(B363="","",IF(AND(NOT(ISNUMBER($X$4)),NOT(ISNUMBER($Y$4))),"Add scores",IF(NOT(ISNUMBER(DB_Colleges!Y357)),IF(OR(C363="Ivy League",C363="Highly Selective"),"Reach",IF(COUNT(U363:V363)=0,"No data",CHOOSE(W363+2,"Reach","Target","Likely"))),IF(DB_Colleges!Y357&lt;0.15,"Reach",IF(DB_Colleges!Y357&gt;=0.75,IF(W363&gt;=0,"Likely","Target"),IF(DB_Colleges!Y357&gt;=0.4,CHOOSE(W363+2,"Reach","Target","Likely"),IF(W363=1,"Target","Reach")))))))</f>
        <v/>
      </c>
      <c r="F363" s="28" t="str">
        <f aca="false">IF(OR(B363="",NOT(ISNUMBER(DB_Colleges!Y357))),"",DB_Colleges!Y357)</f>
        <v/>
      </c>
      <c r="G363" s="26" t="str">
        <f aca="false">IF(OR(B363="",NOT(ISNUMBER(DB_Colleges!Z357))),"",DB_Colleges!Z357&amp;"-"&amp;DB_Colleges!AA357)</f>
        <v/>
      </c>
      <c r="H363" s="26" t="str">
        <f aca="false">IF(OR(B363="",NOT(ISNUMBER(DB_Colleges!AD357))),"",DB_Colleges!AD357)</f>
        <v/>
      </c>
      <c r="I363" s="29" t="str">
        <f aca="false">IF(B363="","",IF(COUNT(DB_Colleges!I357:O357)=0,IF(DB_Colleges!P357="Yes","Rolling","Check site"),MIN(DB_Colleges!I357:O357)))</f>
        <v/>
      </c>
      <c r="J363" s="26" t="str">
        <f aca="false">IF(OR(B363="",COUNT(DB_Colleges!I357:O357)=0),"",INDEX({"ED","ED II","EA","EA II","REA","RD","Priority"},MATCH(MIN(DB_Colleges!I357:O357),DB_Colleges!I357:O357,0)))</f>
        <v/>
      </c>
      <c r="K363" s="29" t="str">
        <f aca="false">IF(OR(B363="",NOT(ISNUMBER(DB_Colleges!N357))),"",DB_Colleges!N357)</f>
        <v/>
      </c>
      <c r="L363" s="26" t="str">
        <f aca="false">IF(B363="","",DB_Colleges!G357&amp;"")</f>
        <v/>
      </c>
      <c r="M363" s="30" t="str">
        <f aca="false">IF(OR(B363="",NOT(ISNUMBER(DB_Colleges!S357))),"",DB_Colleges!S357)</f>
        <v/>
      </c>
      <c r="N363" s="26" t="str">
        <f aca="false">IF(B363="","",DB_Colleges!U357&amp;"")</f>
        <v/>
      </c>
      <c r="O363" s="26" t="str">
        <f aca="false">IF(B363="","",IF(ISNUMBER(DB_Colleges!AH357),DB_Colleges!AH357,"Check"))</f>
        <v/>
      </c>
      <c r="P363" s="26" t="str">
        <f aca="false">IF(B363="","",DB_Colleges!W357&amp;"")</f>
        <v/>
      </c>
      <c r="Q363" s="30" t="str">
        <f aca="false">IF(OR(B363="",NOT(ISNUMBER(DB_Colleges!AF357))),"",DB_Colleges!AF357)</f>
        <v/>
      </c>
      <c r="R363" s="28" t="str">
        <f aca="false">IF(OR(B363="",NOT(ISNUMBER(DB_Colleges!AG357))),"",DB_Colleges!AG357)</f>
        <v/>
      </c>
      <c r="S363" s="26" t="str">
        <f aca="false">IF(B363="","",DB_Colleges!AK357&amp;"")</f>
        <v/>
      </c>
      <c r="T363" s="26" t="str">
        <f aca="false">IF(B363="","",DB_Colleges!AI357&amp;"")</f>
        <v/>
      </c>
      <c r="U363" s="1" t="str">
        <f aca="false">IF(AND(ISNUMBER($X$4),ISNUMBER(DB_Colleges!Z357),ISNUMBER(DB_Colleges!AA357)),IF($X$4&gt;=DB_Colleges!AA357,1,IF($X$4&lt;DB_Colleges!Z357,-1,0)),"")</f>
        <v/>
      </c>
      <c r="V363" s="1" t="str">
        <f aca="false">IF(AND(ISNUMBER($Y$4),ISNUMBER(DB_Colleges!AD357)),IF($Y$4&gt;=DB_Colleges!AD357+0.15,1,IF($Y$4&lt;DB_Colleges!AD357-0.2,-1,0)),"")</f>
        <v/>
      </c>
      <c r="W363" s="1" t="n">
        <f aca="false">IF(COUNT(U363:V363)=0,0,MIN(U363:V363))</f>
        <v>0</v>
      </c>
    </row>
    <row r="364" customFormat="false" ht="15" hidden="false" customHeight="true" outlineLevel="0" collapsed="false">
      <c r="A364" s="26" t="str">
        <f aca="false">IF(B364="","",IF(COUNTIF('My Colleges'!$B$8:$B$27,B364)&gt;0,"On list",""))</f>
        <v/>
      </c>
      <c r="B364" s="27" t="str">
        <f aca="false">IF(DB_Colleges!A358="","",DB_Colleges!A358)</f>
        <v/>
      </c>
      <c r="C364" s="26" t="str">
        <f aca="false">IF(B364="","",DB_Colleges!B358)</f>
        <v/>
      </c>
      <c r="D364" s="26" t="str">
        <f aca="false">IF(B364="","",DB_Colleges!C358&amp;", "&amp;DB_Colleges!D358)</f>
        <v/>
      </c>
      <c r="E364" s="26" t="str">
        <f aca="false">IF(B364="","",IF(AND(NOT(ISNUMBER($X$4)),NOT(ISNUMBER($Y$4))),"Add scores",IF(NOT(ISNUMBER(DB_Colleges!Y358)),IF(OR(C364="Ivy League",C364="Highly Selective"),"Reach",IF(COUNT(U364:V364)=0,"No data",CHOOSE(W364+2,"Reach","Target","Likely"))),IF(DB_Colleges!Y358&lt;0.15,"Reach",IF(DB_Colleges!Y358&gt;=0.75,IF(W364&gt;=0,"Likely","Target"),IF(DB_Colleges!Y358&gt;=0.4,CHOOSE(W364+2,"Reach","Target","Likely"),IF(W364=1,"Target","Reach")))))))</f>
        <v/>
      </c>
      <c r="F364" s="28" t="str">
        <f aca="false">IF(OR(B364="",NOT(ISNUMBER(DB_Colleges!Y358))),"",DB_Colleges!Y358)</f>
        <v/>
      </c>
      <c r="G364" s="26" t="str">
        <f aca="false">IF(OR(B364="",NOT(ISNUMBER(DB_Colleges!Z358))),"",DB_Colleges!Z358&amp;"-"&amp;DB_Colleges!AA358)</f>
        <v/>
      </c>
      <c r="H364" s="26" t="str">
        <f aca="false">IF(OR(B364="",NOT(ISNUMBER(DB_Colleges!AD358))),"",DB_Colleges!AD358)</f>
        <v/>
      </c>
      <c r="I364" s="29" t="str">
        <f aca="false">IF(B364="","",IF(COUNT(DB_Colleges!I358:O358)=0,IF(DB_Colleges!P358="Yes","Rolling","Check site"),MIN(DB_Colleges!I358:O358)))</f>
        <v/>
      </c>
      <c r="J364" s="26" t="str">
        <f aca="false">IF(OR(B364="",COUNT(DB_Colleges!I358:O358)=0),"",INDEX({"ED","ED II","EA","EA II","REA","RD","Priority"},MATCH(MIN(DB_Colleges!I358:O358),DB_Colleges!I358:O358,0)))</f>
        <v/>
      </c>
      <c r="K364" s="29" t="str">
        <f aca="false">IF(OR(B364="",NOT(ISNUMBER(DB_Colleges!N358))),"",DB_Colleges!N358)</f>
        <v/>
      </c>
      <c r="L364" s="26" t="str">
        <f aca="false">IF(B364="","",DB_Colleges!G358&amp;"")</f>
        <v/>
      </c>
      <c r="M364" s="30" t="str">
        <f aca="false">IF(OR(B364="",NOT(ISNUMBER(DB_Colleges!S358))),"",DB_Colleges!S358)</f>
        <v/>
      </c>
      <c r="N364" s="26" t="str">
        <f aca="false">IF(B364="","",DB_Colleges!U358&amp;"")</f>
        <v/>
      </c>
      <c r="O364" s="26" t="str">
        <f aca="false">IF(B364="","",IF(ISNUMBER(DB_Colleges!AH358),DB_Colleges!AH358,"Check"))</f>
        <v/>
      </c>
      <c r="P364" s="26" t="str">
        <f aca="false">IF(B364="","",DB_Colleges!W358&amp;"")</f>
        <v/>
      </c>
      <c r="Q364" s="30" t="str">
        <f aca="false">IF(OR(B364="",NOT(ISNUMBER(DB_Colleges!AF358))),"",DB_Colleges!AF358)</f>
        <v/>
      </c>
      <c r="R364" s="28" t="str">
        <f aca="false">IF(OR(B364="",NOT(ISNUMBER(DB_Colleges!AG358))),"",DB_Colleges!AG358)</f>
        <v/>
      </c>
      <c r="S364" s="26" t="str">
        <f aca="false">IF(B364="","",DB_Colleges!AK358&amp;"")</f>
        <v/>
      </c>
      <c r="T364" s="26" t="str">
        <f aca="false">IF(B364="","",DB_Colleges!AI358&amp;"")</f>
        <v/>
      </c>
      <c r="U364" s="1" t="str">
        <f aca="false">IF(AND(ISNUMBER($X$4),ISNUMBER(DB_Colleges!Z358),ISNUMBER(DB_Colleges!AA358)),IF($X$4&gt;=DB_Colleges!AA358,1,IF($X$4&lt;DB_Colleges!Z358,-1,0)),"")</f>
        <v/>
      </c>
      <c r="V364" s="1" t="str">
        <f aca="false">IF(AND(ISNUMBER($Y$4),ISNUMBER(DB_Colleges!AD358)),IF($Y$4&gt;=DB_Colleges!AD358+0.15,1,IF($Y$4&lt;DB_Colleges!AD358-0.2,-1,0)),"")</f>
        <v/>
      </c>
      <c r="W364" s="1" t="n">
        <f aca="false">IF(COUNT(U364:V364)=0,0,MIN(U364:V364))</f>
        <v>0</v>
      </c>
    </row>
    <row r="365" customFormat="false" ht="15" hidden="false" customHeight="true" outlineLevel="0" collapsed="false">
      <c r="A365" s="26" t="str">
        <f aca="false">IF(B365="","",IF(COUNTIF('My Colleges'!$B$8:$B$27,B365)&gt;0,"On list",""))</f>
        <v/>
      </c>
      <c r="B365" s="27" t="str">
        <f aca="false">IF(DB_Colleges!A359="","",DB_Colleges!A359)</f>
        <v/>
      </c>
      <c r="C365" s="26" t="str">
        <f aca="false">IF(B365="","",DB_Colleges!B359)</f>
        <v/>
      </c>
      <c r="D365" s="26" t="str">
        <f aca="false">IF(B365="","",DB_Colleges!C359&amp;", "&amp;DB_Colleges!D359)</f>
        <v/>
      </c>
      <c r="E365" s="26" t="str">
        <f aca="false">IF(B365="","",IF(AND(NOT(ISNUMBER($X$4)),NOT(ISNUMBER($Y$4))),"Add scores",IF(NOT(ISNUMBER(DB_Colleges!Y359)),IF(OR(C365="Ivy League",C365="Highly Selective"),"Reach",IF(COUNT(U365:V365)=0,"No data",CHOOSE(W365+2,"Reach","Target","Likely"))),IF(DB_Colleges!Y359&lt;0.15,"Reach",IF(DB_Colleges!Y359&gt;=0.75,IF(W365&gt;=0,"Likely","Target"),IF(DB_Colleges!Y359&gt;=0.4,CHOOSE(W365+2,"Reach","Target","Likely"),IF(W365=1,"Target","Reach")))))))</f>
        <v/>
      </c>
      <c r="F365" s="28" t="str">
        <f aca="false">IF(OR(B365="",NOT(ISNUMBER(DB_Colleges!Y359))),"",DB_Colleges!Y359)</f>
        <v/>
      </c>
      <c r="G365" s="26" t="str">
        <f aca="false">IF(OR(B365="",NOT(ISNUMBER(DB_Colleges!Z359))),"",DB_Colleges!Z359&amp;"-"&amp;DB_Colleges!AA359)</f>
        <v/>
      </c>
      <c r="H365" s="26" t="str">
        <f aca="false">IF(OR(B365="",NOT(ISNUMBER(DB_Colleges!AD359))),"",DB_Colleges!AD359)</f>
        <v/>
      </c>
      <c r="I365" s="29" t="str">
        <f aca="false">IF(B365="","",IF(COUNT(DB_Colleges!I359:O359)=0,IF(DB_Colleges!P359="Yes","Rolling","Check site"),MIN(DB_Colleges!I359:O359)))</f>
        <v/>
      </c>
      <c r="J365" s="26" t="str">
        <f aca="false">IF(OR(B365="",COUNT(DB_Colleges!I359:O359)=0),"",INDEX({"ED","ED II","EA","EA II","REA","RD","Priority"},MATCH(MIN(DB_Colleges!I359:O359),DB_Colleges!I359:O359,0)))</f>
        <v/>
      </c>
      <c r="K365" s="29" t="str">
        <f aca="false">IF(OR(B365="",NOT(ISNUMBER(DB_Colleges!N359))),"",DB_Colleges!N359)</f>
        <v/>
      </c>
      <c r="L365" s="26" t="str">
        <f aca="false">IF(B365="","",DB_Colleges!G359&amp;"")</f>
        <v/>
      </c>
      <c r="M365" s="30" t="str">
        <f aca="false">IF(OR(B365="",NOT(ISNUMBER(DB_Colleges!S359))),"",DB_Colleges!S359)</f>
        <v/>
      </c>
      <c r="N365" s="26" t="str">
        <f aca="false">IF(B365="","",DB_Colleges!U359&amp;"")</f>
        <v/>
      </c>
      <c r="O365" s="26" t="str">
        <f aca="false">IF(B365="","",IF(ISNUMBER(DB_Colleges!AH359),DB_Colleges!AH359,"Check"))</f>
        <v/>
      </c>
      <c r="P365" s="26" t="str">
        <f aca="false">IF(B365="","",DB_Colleges!W359&amp;"")</f>
        <v/>
      </c>
      <c r="Q365" s="30" t="str">
        <f aca="false">IF(OR(B365="",NOT(ISNUMBER(DB_Colleges!AF359))),"",DB_Colleges!AF359)</f>
        <v/>
      </c>
      <c r="R365" s="28" t="str">
        <f aca="false">IF(OR(B365="",NOT(ISNUMBER(DB_Colleges!AG359))),"",DB_Colleges!AG359)</f>
        <v/>
      </c>
      <c r="S365" s="26" t="str">
        <f aca="false">IF(B365="","",DB_Colleges!AK359&amp;"")</f>
        <v/>
      </c>
      <c r="T365" s="26" t="str">
        <f aca="false">IF(B365="","",DB_Colleges!AI359&amp;"")</f>
        <v/>
      </c>
      <c r="U365" s="1" t="str">
        <f aca="false">IF(AND(ISNUMBER($X$4),ISNUMBER(DB_Colleges!Z359),ISNUMBER(DB_Colleges!AA359)),IF($X$4&gt;=DB_Colleges!AA359,1,IF($X$4&lt;DB_Colleges!Z359,-1,0)),"")</f>
        <v/>
      </c>
      <c r="V365" s="1" t="str">
        <f aca="false">IF(AND(ISNUMBER($Y$4),ISNUMBER(DB_Colleges!AD359)),IF($Y$4&gt;=DB_Colleges!AD359+0.15,1,IF($Y$4&lt;DB_Colleges!AD359-0.2,-1,0)),"")</f>
        <v/>
      </c>
      <c r="W365" s="1" t="n">
        <f aca="false">IF(COUNT(U365:V365)=0,0,MIN(U365:V365))</f>
        <v>0</v>
      </c>
    </row>
    <row r="366" customFormat="false" ht="15" hidden="false" customHeight="true" outlineLevel="0" collapsed="false">
      <c r="A366" s="26" t="str">
        <f aca="false">IF(B366="","",IF(COUNTIF('My Colleges'!$B$8:$B$27,B366)&gt;0,"On list",""))</f>
        <v/>
      </c>
      <c r="B366" s="27" t="str">
        <f aca="false">IF(DB_Colleges!A360="","",DB_Colleges!A360)</f>
        <v/>
      </c>
      <c r="C366" s="26" t="str">
        <f aca="false">IF(B366="","",DB_Colleges!B360)</f>
        <v/>
      </c>
      <c r="D366" s="26" t="str">
        <f aca="false">IF(B366="","",DB_Colleges!C360&amp;", "&amp;DB_Colleges!D360)</f>
        <v/>
      </c>
      <c r="E366" s="26" t="str">
        <f aca="false">IF(B366="","",IF(AND(NOT(ISNUMBER($X$4)),NOT(ISNUMBER($Y$4))),"Add scores",IF(NOT(ISNUMBER(DB_Colleges!Y360)),IF(OR(C366="Ivy League",C366="Highly Selective"),"Reach",IF(COUNT(U366:V366)=0,"No data",CHOOSE(W366+2,"Reach","Target","Likely"))),IF(DB_Colleges!Y360&lt;0.15,"Reach",IF(DB_Colleges!Y360&gt;=0.75,IF(W366&gt;=0,"Likely","Target"),IF(DB_Colleges!Y360&gt;=0.4,CHOOSE(W366+2,"Reach","Target","Likely"),IF(W366=1,"Target","Reach")))))))</f>
        <v/>
      </c>
      <c r="F366" s="28" t="str">
        <f aca="false">IF(OR(B366="",NOT(ISNUMBER(DB_Colleges!Y360))),"",DB_Colleges!Y360)</f>
        <v/>
      </c>
      <c r="G366" s="26" t="str">
        <f aca="false">IF(OR(B366="",NOT(ISNUMBER(DB_Colleges!Z360))),"",DB_Colleges!Z360&amp;"-"&amp;DB_Colleges!AA360)</f>
        <v/>
      </c>
      <c r="H366" s="26" t="str">
        <f aca="false">IF(OR(B366="",NOT(ISNUMBER(DB_Colleges!AD360))),"",DB_Colleges!AD360)</f>
        <v/>
      </c>
      <c r="I366" s="29" t="str">
        <f aca="false">IF(B366="","",IF(COUNT(DB_Colleges!I360:O360)=0,IF(DB_Colleges!P360="Yes","Rolling","Check site"),MIN(DB_Colleges!I360:O360)))</f>
        <v/>
      </c>
      <c r="J366" s="26" t="str">
        <f aca="false">IF(OR(B366="",COUNT(DB_Colleges!I360:O360)=0),"",INDEX({"ED","ED II","EA","EA II","REA","RD","Priority"},MATCH(MIN(DB_Colleges!I360:O360),DB_Colleges!I360:O360,0)))</f>
        <v/>
      </c>
      <c r="K366" s="29" t="str">
        <f aca="false">IF(OR(B366="",NOT(ISNUMBER(DB_Colleges!N360))),"",DB_Colleges!N360)</f>
        <v/>
      </c>
      <c r="L366" s="26" t="str">
        <f aca="false">IF(B366="","",DB_Colleges!G360&amp;"")</f>
        <v/>
      </c>
      <c r="M366" s="30" t="str">
        <f aca="false">IF(OR(B366="",NOT(ISNUMBER(DB_Colleges!S360))),"",DB_Colleges!S360)</f>
        <v/>
      </c>
      <c r="N366" s="26" t="str">
        <f aca="false">IF(B366="","",DB_Colleges!U360&amp;"")</f>
        <v/>
      </c>
      <c r="O366" s="26" t="str">
        <f aca="false">IF(B366="","",IF(ISNUMBER(DB_Colleges!AH360),DB_Colleges!AH360,"Check"))</f>
        <v/>
      </c>
      <c r="P366" s="26" t="str">
        <f aca="false">IF(B366="","",DB_Colleges!W360&amp;"")</f>
        <v/>
      </c>
      <c r="Q366" s="30" t="str">
        <f aca="false">IF(OR(B366="",NOT(ISNUMBER(DB_Colleges!AF360))),"",DB_Colleges!AF360)</f>
        <v/>
      </c>
      <c r="R366" s="28" t="str">
        <f aca="false">IF(OR(B366="",NOT(ISNUMBER(DB_Colleges!AG360))),"",DB_Colleges!AG360)</f>
        <v/>
      </c>
      <c r="S366" s="26" t="str">
        <f aca="false">IF(B366="","",DB_Colleges!AK360&amp;"")</f>
        <v/>
      </c>
      <c r="T366" s="26" t="str">
        <f aca="false">IF(B366="","",DB_Colleges!AI360&amp;"")</f>
        <v/>
      </c>
      <c r="U366" s="1" t="str">
        <f aca="false">IF(AND(ISNUMBER($X$4),ISNUMBER(DB_Colleges!Z360),ISNUMBER(DB_Colleges!AA360)),IF($X$4&gt;=DB_Colleges!AA360,1,IF($X$4&lt;DB_Colleges!Z360,-1,0)),"")</f>
        <v/>
      </c>
      <c r="V366" s="1" t="str">
        <f aca="false">IF(AND(ISNUMBER($Y$4),ISNUMBER(DB_Colleges!AD360)),IF($Y$4&gt;=DB_Colleges!AD360+0.15,1,IF($Y$4&lt;DB_Colleges!AD360-0.2,-1,0)),"")</f>
        <v/>
      </c>
      <c r="W366" s="1" t="n">
        <f aca="false">IF(COUNT(U366:V366)=0,0,MIN(U366:V366))</f>
        <v>0</v>
      </c>
    </row>
    <row r="367" customFormat="false" ht="15" hidden="false" customHeight="true" outlineLevel="0" collapsed="false">
      <c r="A367" s="26" t="str">
        <f aca="false">IF(B367="","",IF(COUNTIF('My Colleges'!$B$8:$B$27,B367)&gt;0,"On list",""))</f>
        <v/>
      </c>
      <c r="B367" s="27" t="str">
        <f aca="false">IF(DB_Colleges!A361="","",DB_Colleges!A361)</f>
        <v/>
      </c>
      <c r="C367" s="26" t="str">
        <f aca="false">IF(B367="","",DB_Colleges!B361)</f>
        <v/>
      </c>
      <c r="D367" s="26" t="str">
        <f aca="false">IF(B367="","",DB_Colleges!C361&amp;", "&amp;DB_Colleges!D361)</f>
        <v/>
      </c>
      <c r="E367" s="26" t="str">
        <f aca="false">IF(B367="","",IF(AND(NOT(ISNUMBER($X$4)),NOT(ISNUMBER($Y$4))),"Add scores",IF(NOT(ISNUMBER(DB_Colleges!Y361)),IF(OR(C367="Ivy League",C367="Highly Selective"),"Reach",IF(COUNT(U367:V367)=0,"No data",CHOOSE(W367+2,"Reach","Target","Likely"))),IF(DB_Colleges!Y361&lt;0.15,"Reach",IF(DB_Colleges!Y361&gt;=0.75,IF(W367&gt;=0,"Likely","Target"),IF(DB_Colleges!Y361&gt;=0.4,CHOOSE(W367+2,"Reach","Target","Likely"),IF(W367=1,"Target","Reach")))))))</f>
        <v/>
      </c>
      <c r="F367" s="28" t="str">
        <f aca="false">IF(OR(B367="",NOT(ISNUMBER(DB_Colleges!Y361))),"",DB_Colleges!Y361)</f>
        <v/>
      </c>
      <c r="G367" s="26" t="str">
        <f aca="false">IF(OR(B367="",NOT(ISNUMBER(DB_Colleges!Z361))),"",DB_Colleges!Z361&amp;"-"&amp;DB_Colleges!AA361)</f>
        <v/>
      </c>
      <c r="H367" s="26" t="str">
        <f aca="false">IF(OR(B367="",NOT(ISNUMBER(DB_Colleges!AD361))),"",DB_Colleges!AD361)</f>
        <v/>
      </c>
      <c r="I367" s="29" t="str">
        <f aca="false">IF(B367="","",IF(COUNT(DB_Colleges!I361:O361)=0,IF(DB_Colleges!P361="Yes","Rolling","Check site"),MIN(DB_Colleges!I361:O361)))</f>
        <v/>
      </c>
      <c r="J367" s="26" t="str">
        <f aca="false">IF(OR(B367="",COUNT(DB_Colleges!I361:O361)=0),"",INDEX({"ED","ED II","EA","EA II","REA","RD","Priority"},MATCH(MIN(DB_Colleges!I361:O361),DB_Colleges!I361:O361,0)))</f>
        <v/>
      </c>
      <c r="K367" s="29" t="str">
        <f aca="false">IF(OR(B367="",NOT(ISNUMBER(DB_Colleges!N361))),"",DB_Colleges!N361)</f>
        <v/>
      </c>
      <c r="L367" s="26" t="str">
        <f aca="false">IF(B367="","",DB_Colleges!G361&amp;"")</f>
        <v/>
      </c>
      <c r="M367" s="30" t="str">
        <f aca="false">IF(OR(B367="",NOT(ISNUMBER(DB_Colleges!S361))),"",DB_Colleges!S361)</f>
        <v/>
      </c>
      <c r="N367" s="26" t="str">
        <f aca="false">IF(B367="","",DB_Colleges!U361&amp;"")</f>
        <v/>
      </c>
      <c r="O367" s="26" t="str">
        <f aca="false">IF(B367="","",IF(ISNUMBER(DB_Colleges!AH361),DB_Colleges!AH361,"Check"))</f>
        <v/>
      </c>
      <c r="P367" s="26" t="str">
        <f aca="false">IF(B367="","",DB_Colleges!W361&amp;"")</f>
        <v/>
      </c>
      <c r="Q367" s="30" t="str">
        <f aca="false">IF(OR(B367="",NOT(ISNUMBER(DB_Colleges!AF361))),"",DB_Colleges!AF361)</f>
        <v/>
      </c>
      <c r="R367" s="28" t="str">
        <f aca="false">IF(OR(B367="",NOT(ISNUMBER(DB_Colleges!AG361))),"",DB_Colleges!AG361)</f>
        <v/>
      </c>
      <c r="S367" s="26" t="str">
        <f aca="false">IF(B367="","",DB_Colleges!AK361&amp;"")</f>
        <v/>
      </c>
      <c r="T367" s="26" t="str">
        <f aca="false">IF(B367="","",DB_Colleges!AI361&amp;"")</f>
        <v/>
      </c>
      <c r="U367" s="1" t="str">
        <f aca="false">IF(AND(ISNUMBER($X$4),ISNUMBER(DB_Colleges!Z361),ISNUMBER(DB_Colleges!AA361)),IF($X$4&gt;=DB_Colleges!AA361,1,IF($X$4&lt;DB_Colleges!Z361,-1,0)),"")</f>
        <v/>
      </c>
      <c r="V367" s="1" t="str">
        <f aca="false">IF(AND(ISNUMBER($Y$4),ISNUMBER(DB_Colleges!AD361)),IF($Y$4&gt;=DB_Colleges!AD361+0.15,1,IF($Y$4&lt;DB_Colleges!AD361-0.2,-1,0)),"")</f>
        <v/>
      </c>
      <c r="W367" s="1" t="n">
        <f aca="false">IF(COUNT(U367:V367)=0,0,MIN(U367:V367))</f>
        <v>0</v>
      </c>
    </row>
    <row r="368" customFormat="false" ht="15" hidden="false" customHeight="true" outlineLevel="0" collapsed="false">
      <c r="A368" s="26" t="str">
        <f aca="false">IF(B368="","",IF(COUNTIF('My Colleges'!$B$8:$B$27,B368)&gt;0,"On list",""))</f>
        <v/>
      </c>
      <c r="B368" s="27" t="str">
        <f aca="false">IF(DB_Colleges!A362="","",DB_Colleges!A362)</f>
        <v/>
      </c>
      <c r="C368" s="26" t="str">
        <f aca="false">IF(B368="","",DB_Colleges!B362)</f>
        <v/>
      </c>
      <c r="D368" s="26" t="str">
        <f aca="false">IF(B368="","",DB_Colleges!C362&amp;", "&amp;DB_Colleges!D362)</f>
        <v/>
      </c>
      <c r="E368" s="26" t="str">
        <f aca="false">IF(B368="","",IF(AND(NOT(ISNUMBER($X$4)),NOT(ISNUMBER($Y$4))),"Add scores",IF(NOT(ISNUMBER(DB_Colleges!Y362)),IF(OR(C368="Ivy League",C368="Highly Selective"),"Reach",IF(COUNT(U368:V368)=0,"No data",CHOOSE(W368+2,"Reach","Target","Likely"))),IF(DB_Colleges!Y362&lt;0.15,"Reach",IF(DB_Colleges!Y362&gt;=0.75,IF(W368&gt;=0,"Likely","Target"),IF(DB_Colleges!Y362&gt;=0.4,CHOOSE(W368+2,"Reach","Target","Likely"),IF(W368=1,"Target","Reach")))))))</f>
        <v/>
      </c>
      <c r="F368" s="28" t="str">
        <f aca="false">IF(OR(B368="",NOT(ISNUMBER(DB_Colleges!Y362))),"",DB_Colleges!Y362)</f>
        <v/>
      </c>
      <c r="G368" s="26" t="str">
        <f aca="false">IF(OR(B368="",NOT(ISNUMBER(DB_Colleges!Z362))),"",DB_Colleges!Z362&amp;"-"&amp;DB_Colleges!AA362)</f>
        <v/>
      </c>
      <c r="H368" s="26" t="str">
        <f aca="false">IF(OR(B368="",NOT(ISNUMBER(DB_Colleges!AD362))),"",DB_Colleges!AD362)</f>
        <v/>
      </c>
      <c r="I368" s="29" t="str">
        <f aca="false">IF(B368="","",IF(COUNT(DB_Colleges!I362:O362)=0,IF(DB_Colleges!P362="Yes","Rolling","Check site"),MIN(DB_Colleges!I362:O362)))</f>
        <v/>
      </c>
      <c r="J368" s="26" t="str">
        <f aca="false">IF(OR(B368="",COUNT(DB_Colleges!I362:O362)=0),"",INDEX({"ED","ED II","EA","EA II","REA","RD","Priority"},MATCH(MIN(DB_Colleges!I362:O362),DB_Colleges!I362:O362,0)))</f>
        <v/>
      </c>
      <c r="K368" s="29" t="str">
        <f aca="false">IF(OR(B368="",NOT(ISNUMBER(DB_Colleges!N362))),"",DB_Colleges!N362)</f>
        <v/>
      </c>
      <c r="L368" s="26" t="str">
        <f aca="false">IF(B368="","",DB_Colleges!G362&amp;"")</f>
        <v/>
      </c>
      <c r="M368" s="30" t="str">
        <f aca="false">IF(OR(B368="",NOT(ISNUMBER(DB_Colleges!S362))),"",DB_Colleges!S362)</f>
        <v/>
      </c>
      <c r="N368" s="26" t="str">
        <f aca="false">IF(B368="","",DB_Colleges!U362&amp;"")</f>
        <v/>
      </c>
      <c r="O368" s="26" t="str">
        <f aca="false">IF(B368="","",IF(ISNUMBER(DB_Colleges!AH362),DB_Colleges!AH362,"Check"))</f>
        <v/>
      </c>
      <c r="P368" s="26" t="str">
        <f aca="false">IF(B368="","",DB_Colleges!W362&amp;"")</f>
        <v/>
      </c>
      <c r="Q368" s="30" t="str">
        <f aca="false">IF(OR(B368="",NOT(ISNUMBER(DB_Colleges!AF362))),"",DB_Colleges!AF362)</f>
        <v/>
      </c>
      <c r="R368" s="28" t="str">
        <f aca="false">IF(OR(B368="",NOT(ISNUMBER(DB_Colleges!AG362))),"",DB_Colleges!AG362)</f>
        <v/>
      </c>
      <c r="S368" s="26" t="str">
        <f aca="false">IF(B368="","",DB_Colleges!AK362&amp;"")</f>
        <v/>
      </c>
      <c r="T368" s="26" t="str">
        <f aca="false">IF(B368="","",DB_Colleges!AI362&amp;"")</f>
        <v/>
      </c>
      <c r="U368" s="1" t="str">
        <f aca="false">IF(AND(ISNUMBER($X$4),ISNUMBER(DB_Colleges!Z362),ISNUMBER(DB_Colleges!AA362)),IF($X$4&gt;=DB_Colleges!AA362,1,IF($X$4&lt;DB_Colleges!Z362,-1,0)),"")</f>
        <v/>
      </c>
      <c r="V368" s="1" t="str">
        <f aca="false">IF(AND(ISNUMBER($Y$4),ISNUMBER(DB_Colleges!AD362)),IF($Y$4&gt;=DB_Colleges!AD362+0.15,1,IF($Y$4&lt;DB_Colleges!AD362-0.2,-1,0)),"")</f>
        <v/>
      </c>
      <c r="W368" s="1" t="n">
        <f aca="false">IF(COUNT(U368:V368)=0,0,MIN(U368:V368))</f>
        <v>0</v>
      </c>
    </row>
    <row r="369" customFormat="false" ht="15" hidden="false" customHeight="true" outlineLevel="0" collapsed="false">
      <c r="A369" s="26" t="str">
        <f aca="false">IF(B369="","",IF(COUNTIF('My Colleges'!$B$8:$B$27,B369)&gt;0,"On list",""))</f>
        <v/>
      </c>
      <c r="B369" s="27" t="str">
        <f aca="false">IF(DB_Colleges!A363="","",DB_Colleges!A363)</f>
        <v/>
      </c>
      <c r="C369" s="26" t="str">
        <f aca="false">IF(B369="","",DB_Colleges!B363)</f>
        <v/>
      </c>
      <c r="D369" s="26" t="str">
        <f aca="false">IF(B369="","",DB_Colleges!C363&amp;", "&amp;DB_Colleges!D363)</f>
        <v/>
      </c>
      <c r="E369" s="26" t="str">
        <f aca="false">IF(B369="","",IF(AND(NOT(ISNUMBER($X$4)),NOT(ISNUMBER($Y$4))),"Add scores",IF(NOT(ISNUMBER(DB_Colleges!Y363)),IF(OR(C369="Ivy League",C369="Highly Selective"),"Reach",IF(COUNT(U369:V369)=0,"No data",CHOOSE(W369+2,"Reach","Target","Likely"))),IF(DB_Colleges!Y363&lt;0.15,"Reach",IF(DB_Colleges!Y363&gt;=0.75,IF(W369&gt;=0,"Likely","Target"),IF(DB_Colleges!Y363&gt;=0.4,CHOOSE(W369+2,"Reach","Target","Likely"),IF(W369=1,"Target","Reach")))))))</f>
        <v/>
      </c>
      <c r="F369" s="28" t="str">
        <f aca="false">IF(OR(B369="",NOT(ISNUMBER(DB_Colleges!Y363))),"",DB_Colleges!Y363)</f>
        <v/>
      </c>
      <c r="G369" s="26" t="str">
        <f aca="false">IF(OR(B369="",NOT(ISNUMBER(DB_Colleges!Z363))),"",DB_Colleges!Z363&amp;"-"&amp;DB_Colleges!AA363)</f>
        <v/>
      </c>
      <c r="H369" s="26" t="str">
        <f aca="false">IF(OR(B369="",NOT(ISNUMBER(DB_Colleges!AD363))),"",DB_Colleges!AD363)</f>
        <v/>
      </c>
      <c r="I369" s="29" t="str">
        <f aca="false">IF(B369="","",IF(COUNT(DB_Colleges!I363:O363)=0,IF(DB_Colleges!P363="Yes","Rolling","Check site"),MIN(DB_Colleges!I363:O363)))</f>
        <v/>
      </c>
      <c r="J369" s="26" t="str">
        <f aca="false">IF(OR(B369="",COUNT(DB_Colleges!I363:O363)=0),"",INDEX({"ED","ED II","EA","EA II","REA","RD","Priority"},MATCH(MIN(DB_Colleges!I363:O363),DB_Colleges!I363:O363,0)))</f>
        <v/>
      </c>
      <c r="K369" s="29" t="str">
        <f aca="false">IF(OR(B369="",NOT(ISNUMBER(DB_Colleges!N363))),"",DB_Colleges!N363)</f>
        <v/>
      </c>
      <c r="L369" s="26" t="str">
        <f aca="false">IF(B369="","",DB_Colleges!G363&amp;"")</f>
        <v/>
      </c>
      <c r="M369" s="30" t="str">
        <f aca="false">IF(OR(B369="",NOT(ISNUMBER(DB_Colleges!S363))),"",DB_Colleges!S363)</f>
        <v/>
      </c>
      <c r="N369" s="26" t="str">
        <f aca="false">IF(B369="","",DB_Colleges!U363&amp;"")</f>
        <v/>
      </c>
      <c r="O369" s="26" t="str">
        <f aca="false">IF(B369="","",IF(ISNUMBER(DB_Colleges!AH363),DB_Colleges!AH363,"Check"))</f>
        <v/>
      </c>
      <c r="P369" s="26" t="str">
        <f aca="false">IF(B369="","",DB_Colleges!W363&amp;"")</f>
        <v/>
      </c>
      <c r="Q369" s="30" t="str">
        <f aca="false">IF(OR(B369="",NOT(ISNUMBER(DB_Colleges!AF363))),"",DB_Colleges!AF363)</f>
        <v/>
      </c>
      <c r="R369" s="28" t="str">
        <f aca="false">IF(OR(B369="",NOT(ISNUMBER(DB_Colleges!AG363))),"",DB_Colleges!AG363)</f>
        <v/>
      </c>
      <c r="S369" s="26" t="str">
        <f aca="false">IF(B369="","",DB_Colleges!AK363&amp;"")</f>
        <v/>
      </c>
      <c r="T369" s="26" t="str">
        <f aca="false">IF(B369="","",DB_Colleges!AI363&amp;"")</f>
        <v/>
      </c>
      <c r="U369" s="1" t="str">
        <f aca="false">IF(AND(ISNUMBER($X$4),ISNUMBER(DB_Colleges!Z363),ISNUMBER(DB_Colleges!AA363)),IF($X$4&gt;=DB_Colleges!AA363,1,IF($X$4&lt;DB_Colleges!Z363,-1,0)),"")</f>
        <v/>
      </c>
      <c r="V369" s="1" t="str">
        <f aca="false">IF(AND(ISNUMBER($Y$4),ISNUMBER(DB_Colleges!AD363)),IF($Y$4&gt;=DB_Colleges!AD363+0.15,1,IF($Y$4&lt;DB_Colleges!AD363-0.2,-1,0)),"")</f>
        <v/>
      </c>
      <c r="W369" s="1" t="n">
        <f aca="false">IF(COUNT(U369:V369)=0,0,MIN(U369:V369))</f>
        <v>0</v>
      </c>
    </row>
    <row r="370" customFormat="false" ht="15" hidden="false" customHeight="true" outlineLevel="0" collapsed="false">
      <c r="A370" s="26" t="str">
        <f aca="false">IF(B370="","",IF(COUNTIF('My Colleges'!$B$8:$B$27,B370)&gt;0,"On list",""))</f>
        <v/>
      </c>
      <c r="B370" s="27" t="str">
        <f aca="false">IF(DB_Colleges!A364="","",DB_Colleges!A364)</f>
        <v/>
      </c>
      <c r="C370" s="26" t="str">
        <f aca="false">IF(B370="","",DB_Colleges!B364)</f>
        <v/>
      </c>
      <c r="D370" s="26" t="str">
        <f aca="false">IF(B370="","",DB_Colleges!C364&amp;", "&amp;DB_Colleges!D364)</f>
        <v/>
      </c>
      <c r="E370" s="26" t="str">
        <f aca="false">IF(B370="","",IF(AND(NOT(ISNUMBER($X$4)),NOT(ISNUMBER($Y$4))),"Add scores",IF(NOT(ISNUMBER(DB_Colleges!Y364)),IF(OR(C370="Ivy League",C370="Highly Selective"),"Reach",IF(COUNT(U370:V370)=0,"No data",CHOOSE(W370+2,"Reach","Target","Likely"))),IF(DB_Colleges!Y364&lt;0.15,"Reach",IF(DB_Colleges!Y364&gt;=0.75,IF(W370&gt;=0,"Likely","Target"),IF(DB_Colleges!Y364&gt;=0.4,CHOOSE(W370+2,"Reach","Target","Likely"),IF(W370=1,"Target","Reach")))))))</f>
        <v/>
      </c>
      <c r="F370" s="28" t="str">
        <f aca="false">IF(OR(B370="",NOT(ISNUMBER(DB_Colleges!Y364))),"",DB_Colleges!Y364)</f>
        <v/>
      </c>
      <c r="G370" s="26" t="str">
        <f aca="false">IF(OR(B370="",NOT(ISNUMBER(DB_Colleges!Z364))),"",DB_Colleges!Z364&amp;"-"&amp;DB_Colleges!AA364)</f>
        <v/>
      </c>
      <c r="H370" s="26" t="str">
        <f aca="false">IF(OR(B370="",NOT(ISNUMBER(DB_Colleges!AD364))),"",DB_Colleges!AD364)</f>
        <v/>
      </c>
      <c r="I370" s="29" t="str">
        <f aca="false">IF(B370="","",IF(COUNT(DB_Colleges!I364:O364)=0,IF(DB_Colleges!P364="Yes","Rolling","Check site"),MIN(DB_Colleges!I364:O364)))</f>
        <v/>
      </c>
      <c r="J370" s="26" t="str">
        <f aca="false">IF(OR(B370="",COUNT(DB_Colleges!I364:O364)=0),"",INDEX({"ED","ED II","EA","EA II","REA","RD","Priority"},MATCH(MIN(DB_Colleges!I364:O364),DB_Colleges!I364:O364,0)))</f>
        <v/>
      </c>
      <c r="K370" s="29" t="str">
        <f aca="false">IF(OR(B370="",NOT(ISNUMBER(DB_Colleges!N364))),"",DB_Colleges!N364)</f>
        <v/>
      </c>
      <c r="L370" s="26" t="str">
        <f aca="false">IF(B370="","",DB_Colleges!G364&amp;"")</f>
        <v/>
      </c>
      <c r="M370" s="30" t="str">
        <f aca="false">IF(OR(B370="",NOT(ISNUMBER(DB_Colleges!S364))),"",DB_Colleges!S364)</f>
        <v/>
      </c>
      <c r="N370" s="26" t="str">
        <f aca="false">IF(B370="","",DB_Colleges!U364&amp;"")</f>
        <v/>
      </c>
      <c r="O370" s="26" t="str">
        <f aca="false">IF(B370="","",IF(ISNUMBER(DB_Colleges!AH364),DB_Colleges!AH364,"Check"))</f>
        <v/>
      </c>
      <c r="P370" s="26" t="str">
        <f aca="false">IF(B370="","",DB_Colleges!W364&amp;"")</f>
        <v/>
      </c>
      <c r="Q370" s="30" t="str">
        <f aca="false">IF(OR(B370="",NOT(ISNUMBER(DB_Colleges!AF364))),"",DB_Colleges!AF364)</f>
        <v/>
      </c>
      <c r="R370" s="28" t="str">
        <f aca="false">IF(OR(B370="",NOT(ISNUMBER(DB_Colleges!AG364))),"",DB_Colleges!AG364)</f>
        <v/>
      </c>
      <c r="S370" s="26" t="str">
        <f aca="false">IF(B370="","",DB_Colleges!AK364&amp;"")</f>
        <v/>
      </c>
      <c r="T370" s="26" t="str">
        <f aca="false">IF(B370="","",DB_Colleges!AI364&amp;"")</f>
        <v/>
      </c>
      <c r="U370" s="1" t="str">
        <f aca="false">IF(AND(ISNUMBER($X$4),ISNUMBER(DB_Colleges!Z364),ISNUMBER(DB_Colleges!AA364)),IF($X$4&gt;=DB_Colleges!AA364,1,IF($X$4&lt;DB_Colleges!Z364,-1,0)),"")</f>
        <v/>
      </c>
      <c r="V370" s="1" t="str">
        <f aca="false">IF(AND(ISNUMBER($Y$4),ISNUMBER(DB_Colleges!AD364)),IF($Y$4&gt;=DB_Colleges!AD364+0.15,1,IF($Y$4&lt;DB_Colleges!AD364-0.2,-1,0)),"")</f>
        <v/>
      </c>
      <c r="W370" s="1" t="n">
        <f aca="false">IF(COUNT(U370:V370)=0,0,MIN(U370:V370))</f>
        <v>0</v>
      </c>
    </row>
    <row r="371" customFormat="false" ht="15" hidden="false" customHeight="true" outlineLevel="0" collapsed="false">
      <c r="A371" s="26" t="str">
        <f aca="false">IF(B371="","",IF(COUNTIF('My Colleges'!$B$8:$B$27,B371)&gt;0,"On list",""))</f>
        <v/>
      </c>
      <c r="B371" s="27" t="str">
        <f aca="false">IF(DB_Colleges!A365="","",DB_Colleges!A365)</f>
        <v/>
      </c>
      <c r="C371" s="26" t="str">
        <f aca="false">IF(B371="","",DB_Colleges!B365)</f>
        <v/>
      </c>
      <c r="D371" s="26" t="str">
        <f aca="false">IF(B371="","",DB_Colleges!C365&amp;", "&amp;DB_Colleges!D365)</f>
        <v/>
      </c>
      <c r="E371" s="26" t="str">
        <f aca="false">IF(B371="","",IF(AND(NOT(ISNUMBER($X$4)),NOT(ISNUMBER($Y$4))),"Add scores",IF(NOT(ISNUMBER(DB_Colleges!Y365)),IF(OR(C371="Ivy League",C371="Highly Selective"),"Reach",IF(COUNT(U371:V371)=0,"No data",CHOOSE(W371+2,"Reach","Target","Likely"))),IF(DB_Colleges!Y365&lt;0.15,"Reach",IF(DB_Colleges!Y365&gt;=0.75,IF(W371&gt;=0,"Likely","Target"),IF(DB_Colleges!Y365&gt;=0.4,CHOOSE(W371+2,"Reach","Target","Likely"),IF(W371=1,"Target","Reach")))))))</f>
        <v/>
      </c>
      <c r="F371" s="28" t="str">
        <f aca="false">IF(OR(B371="",NOT(ISNUMBER(DB_Colleges!Y365))),"",DB_Colleges!Y365)</f>
        <v/>
      </c>
      <c r="G371" s="26" t="str">
        <f aca="false">IF(OR(B371="",NOT(ISNUMBER(DB_Colleges!Z365))),"",DB_Colleges!Z365&amp;"-"&amp;DB_Colleges!AA365)</f>
        <v/>
      </c>
      <c r="H371" s="26" t="str">
        <f aca="false">IF(OR(B371="",NOT(ISNUMBER(DB_Colleges!AD365))),"",DB_Colleges!AD365)</f>
        <v/>
      </c>
      <c r="I371" s="29" t="str">
        <f aca="false">IF(B371="","",IF(COUNT(DB_Colleges!I365:O365)=0,IF(DB_Colleges!P365="Yes","Rolling","Check site"),MIN(DB_Colleges!I365:O365)))</f>
        <v/>
      </c>
      <c r="J371" s="26" t="str">
        <f aca="false">IF(OR(B371="",COUNT(DB_Colleges!I365:O365)=0),"",INDEX({"ED","ED II","EA","EA II","REA","RD","Priority"},MATCH(MIN(DB_Colleges!I365:O365),DB_Colleges!I365:O365,0)))</f>
        <v/>
      </c>
      <c r="K371" s="29" t="str">
        <f aca="false">IF(OR(B371="",NOT(ISNUMBER(DB_Colleges!N365))),"",DB_Colleges!N365)</f>
        <v/>
      </c>
      <c r="L371" s="26" t="str">
        <f aca="false">IF(B371="","",DB_Colleges!G365&amp;"")</f>
        <v/>
      </c>
      <c r="M371" s="30" t="str">
        <f aca="false">IF(OR(B371="",NOT(ISNUMBER(DB_Colleges!S365))),"",DB_Colleges!S365)</f>
        <v/>
      </c>
      <c r="N371" s="26" t="str">
        <f aca="false">IF(B371="","",DB_Colleges!U365&amp;"")</f>
        <v/>
      </c>
      <c r="O371" s="26" t="str">
        <f aca="false">IF(B371="","",IF(ISNUMBER(DB_Colleges!AH365),DB_Colleges!AH365,"Check"))</f>
        <v/>
      </c>
      <c r="P371" s="26" t="str">
        <f aca="false">IF(B371="","",DB_Colleges!W365&amp;"")</f>
        <v/>
      </c>
      <c r="Q371" s="30" t="str">
        <f aca="false">IF(OR(B371="",NOT(ISNUMBER(DB_Colleges!AF365))),"",DB_Colleges!AF365)</f>
        <v/>
      </c>
      <c r="R371" s="28" t="str">
        <f aca="false">IF(OR(B371="",NOT(ISNUMBER(DB_Colleges!AG365))),"",DB_Colleges!AG365)</f>
        <v/>
      </c>
      <c r="S371" s="26" t="str">
        <f aca="false">IF(B371="","",DB_Colleges!AK365&amp;"")</f>
        <v/>
      </c>
      <c r="T371" s="26" t="str">
        <f aca="false">IF(B371="","",DB_Colleges!AI365&amp;"")</f>
        <v/>
      </c>
      <c r="U371" s="1" t="str">
        <f aca="false">IF(AND(ISNUMBER($X$4),ISNUMBER(DB_Colleges!Z365),ISNUMBER(DB_Colleges!AA365)),IF($X$4&gt;=DB_Colleges!AA365,1,IF($X$4&lt;DB_Colleges!Z365,-1,0)),"")</f>
        <v/>
      </c>
      <c r="V371" s="1" t="str">
        <f aca="false">IF(AND(ISNUMBER($Y$4),ISNUMBER(DB_Colleges!AD365)),IF($Y$4&gt;=DB_Colleges!AD365+0.15,1,IF($Y$4&lt;DB_Colleges!AD365-0.2,-1,0)),"")</f>
        <v/>
      </c>
      <c r="W371" s="1" t="n">
        <f aca="false">IF(COUNT(U371:V371)=0,0,MIN(U371:V371))</f>
        <v>0</v>
      </c>
    </row>
    <row r="372" customFormat="false" ht="15" hidden="false" customHeight="true" outlineLevel="0" collapsed="false">
      <c r="A372" s="26" t="str">
        <f aca="false">IF(B372="","",IF(COUNTIF('My Colleges'!$B$8:$B$27,B372)&gt;0,"On list",""))</f>
        <v/>
      </c>
      <c r="B372" s="27" t="str">
        <f aca="false">IF(DB_Colleges!A366="","",DB_Colleges!A366)</f>
        <v/>
      </c>
      <c r="C372" s="26" t="str">
        <f aca="false">IF(B372="","",DB_Colleges!B366)</f>
        <v/>
      </c>
      <c r="D372" s="26" t="str">
        <f aca="false">IF(B372="","",DB_Colleges!C366&amp;", "&amp;DB_Colleges!D366)</f>
        <v/>
      </c>
      <c r="E372" s="26" t="str">
        <f aca="false">IF(B372="","",IF(AND(NOT(ISNUMBER($X$4)),NOT(ISNUMBER($Y$4))),"Add scores",IF(NOT(ISNUMBER(DB_Colleges!Y366)),IF(OR(C372="Ivy League",C372="Highly Selective"),"Reach",IF(COUNT(U372:V372)=0,"No data",CHOOSE(W372+2,"Reach","Target","Likely"))),IF(DB_Colleges!Y366&lt;0.15,"Reach",IF(DB_Colleges!Y366&gt;=0.75,IF(W372&gt;=0,"Likely","Target"),IF(DB_Colleges!Y366&gt;=0.4,CHOOSE(W372+2,"Reach","Target","Likely"),IF(W372=1,"Target","Reach")))))))</f>
        <v/>
      </c>
      <c r="F372" s="28" t="str">
        <f aca="false">IF(OR(B372="",NOT(ISNUMBER(DB_Colleges!Y366))),"",DB_Colleges!Y366)</f>
        <v/>
      </c>
      <c r="G372" s="26" t="str">
        <f aca="false">IF(OR(B372="",NOT(ISNUMBER(DB_Colleges!Z366))),"",DB_Colleges!Z366&amp;"-"&amp;DB_Colleges!AA366)</f>
        <v/>
      </c>
      <c r="H372" s="26" t="str">
        <f aca="false">IF(OR(B372="",NOT(ISNUMBER(DB_Colleges!AD366))),"",DB_Colleges!AD366)</f>
        <v/>
      </c>
      <c r="I372" s="29" t="str">
        <f aca="false">IF(B372="","",IF(COUNT(DB_Colleges!I366:O366)=0,IF(DB_Colleges!P366="Yes","Rolling","Check site"),MIN(DB_Colleges!I366:O366)))</f>
        <v/>
      </c>
      <c r="J372" s="26" t="str">
        <f aca="false">IF(OR(B372="",COUNT(DB_Colleges!I366:O366)=0),"",INDEX({"ED","ED II","EA","EA II","REA","RD","Priority"},MATCH(MIN(DB_Colleges!I366:O366),DB_Colleges!I366:O366,0)))</f>
        <v/>
      </c>
      <c r="K372" s="29" t="str">
        <f aca="false">IF(OR(B372="",NOT(ISNUMBER(DB_Colleges!N366))),"",DB_Colleges!N366)</f>
        <v/>
      </c>
      <c r="L372" s="26" t="str">
        <f aca="false">IF(B372="","",DB_Colleges!G366&amp;"")</f>
        <v/>
      </c>
      <c r="M372" s="30" t="str">
        <f aca="false">IF(OR(B372="",NOT(ISNUMBER(DB_Colleges!S366))),"",DB_Colleges!S366)</f>
        <v/>
      </c>
      <c r="N372" s="26" t="str">
        <f aca="false">IF(B372="","",DB_Colleges!U366&amp;"")</f>
        <v/>
      </c>
      <c r="O372" s="26" t="str">
        <f aca="false">IF(B372="","",IF(ISNUMBER(DB_Colleges!AH366),DB_Colleges!AH366,"Check"))</f>
        <v/>
      </c>
      <c r="P372" s="26" t="str">
        <f aca="false">IF(B372="","",DB_Colleges!W366&amp;"")</f>
        <v/>
      </c>
      <c r="Q372" s="30" t="str">
        <f aca="false">IF(OR(B372="",NOT(ISNUMBER(DB_Colleges!AF366))),"",DB_Colleges!AF366)</f>
        <v/>
      </c>
      <c r="R372" s="28" t="str">
        <f aca="false">IF(OR(B372="",NOT(ISNUMBER(DB_Colleges!AG366))),"",DB_Colleges!AG366)</f>
        <v/>
      </c>
      <c r="S372" s="26" t="str">
        <f aca="false">IF(B372="","",DB_Colleges!AK366&amp;"")</f>
        <v/>
      </c>
      <c r="T372" s="26" t="str">
        <f aca="false">IF(B372="","",DB_Colleges!AI366&amp;"")</f>
        <v/>
      </c>
      <c r="U372" s="1" t="str">
        <f aca="false">IF(AND(ISNUMBER($X$4),ISNUMBER(DB_Colleges!Z366),ISNUMBER(DB_Colleges!AA366)),IF($X$4&gt;=DB_Colleges!AA366,1,IF($X$4&lt;DB_Colleges!Z366,-1,0)),"")</f>
        <v/>
      </c>
      <c r="V372" s="1" t="str">
        <f aca="false">IF(AND(ISNUMBER($Y$4),ISNUMBER(DB_Colleges!AD366)),IF($Y$4&gt;=DB_Colleges!AD366+0.15,1,IF($Y$4&lt;DB_Colleges!AD366-0.2,-1,0)),"")</f>
        <v/>
      </c>
      <c r="W372" s="1" t="n">
        <f aca="false">IF(COUNT(U372:V372)=0,0,MIN(U372:V372))</f>
        <v>0</v>
      </c>
    </row>
    <row r="373" customFormat="false" ht="15" hidden="false" customHeight="true" outlineLevel="0" collapsed="false">
      <c r="A373" s="26" t="str">
        <f aca="false">IF(B373="","",IF(COUNTIF('My Colleges'!$B$8:$B$27,B373)&gt;0,"On list",""))</f>
        <v/>
      </c>
      <c r="B373" s="27" t="str">
        <f aca="false">IF(DB_Colleges!A367="","",DB_Colleges!A367)</f>
        <v/>
      </c>
      <c r="C373" s="26" t="str">
        <f aca="false">IF(B373="","",DB_Colleges!B367)</f>
        <v/>
      </c>
      <c r="D373" s="26" t="str">
        <f aca="false">IF(B373="","",DB_Colleges!C367&amp;", "&amp;DB_Colleges!D367)</f>
        <v/>
      </c>
      <c r="E373" s="26" t="str">
        <f aca="false">IF(B373="","",IF(AND(NOT(ISNUMBER($X$4)),NOT(ISNUMBER($Y$4))),"Add scores",IF(NOT(ISNUMBER(DB_Colleges!Y367)),IF(OR(C373="Ivy League",C373="Highly Selective"),"Reach",IF(COUNT(U373:V373)=0,"No data",CHOOSE(W373+2,"Reach","Target","Likely"))),IF(DB_Colleges!Y367&lt;0.15,"Reach",IF(DB_Colleges!Y367&gt;=0.75,IF(W373&gt;=0,"Likely","Target"),IF(DB_Colleges!Y367&gt;=0.4,CHOOSE(W373+2,"Reach","Target","Likely"),IF(W373=1,"Target","Reach")))))))</f>
        <v/>
      </c>
      <c r="F373" s="28" t="str">
        <f aca="false">IF(OR(B373="",NOT(ISNUMBER(DB_Colleges!Y367))),"",DB_Colleges!Y367)</f>
        <v/>
      </c>
      <c r="G373" s="26" t="str">
        <f aca="false">IF(OR(B373="",NOT(ISNUMBER(DB_Colleges!Z367))),"",DB_Colleges!Z367&amp;"-"&amp;DB_Colleges!AA367)</f>
        <v/>
      </c>
      <c r="H373" s="26" t="str">
        <f aca="false">IF(OR(B373="",NOT(ISNUMBER(DB_Colleges!AD367))),"",DB_Colleges!AD367)</f>
        <v/>
      </c>
      <c r="I373" s="29" t="str">
        <f aca="false">IF(B373="","",IF(COUNT(DB_Colleges!I367:O367)=0,IF(DB_Colleges!P367="Yes","Rolling","Check site"),MIN(DB_Colleges!I367:O367)))</f>
        <v/>
      </c>
      <c r="J373" s="26" t="str">
        <f aca="false">IF(OR(B373="",COUNT(DB_Colleges!I367:O367)=0),"",INDEX({"ED","ED II","EA","EA II","REA","RD","Priority"},MATCH(MIN(DB_Colleges!I367:O367),DB_Colleges!I367:O367,0)))</f>
        <v/>
      </c>
      <c r="K373" s="29" t="str">
        <f aca="false">IF(OR(B373="",NOT(ISNUMBER(DB_Colleges!N367))),"",DB_Colleges!N367)</f>
        <v/>
      </c>
      <c r="L373" s="26" t="str">
        <f aca="false">IF(B373="","",DB_Colleges!G367&amp;"")</f>
        <v/>
      </c>
      <c r="M373" s="30" t="str">
        <f aca="false">IF(OR(B373="",NOT(ISNUMBER(DB_Colleges!S367))),"",DB_Colleges!S367)</f>
        <v/>
      </c>
      <c r="N373" s="26" t="str">
        <f aca="false">IF(B373="","",DB_Colleges!U367&amp;"")</f>
        <v/>
      </c>
      <c r="O373" s="26" t="str">
        <f aca="false">IF(B373="","",IF(ISNUMBER(DB_Colleges!AH367),DB_Colleges!AH367,"Check"))</f>
        <v/>
      </c>
      <c r="P373" s="26" t="str">
        <f aca="false">IF(B373="","",DB_Colleges!W367&amp;"")</f>
        <v/>
      </c>
      <c r="Q373" s="30" t="str">
        <f aca="false">IF(OR(B373="",NOT(ISNUMBER(DB_Colleges!AF367))),"",DB_Colleges!AF367)</f>
        <v/>
      </c>
      <c r="R373" s="28" t="str">
        <f aca="false">IF(OR(B373="",NOT(ISNUMBER(DB_Colleges!AG367))),"",DB_Colleges!AG367)</f>
        <v/>
      </c>
      <c r="S373" s="26" t="str">
        <f aca="false">IF(B373="","",DB_Colleges!AK367&amp;"")</f>
        <v/>
      </c>
      <c r="T373" s="26" t="str">
        <f aca="false">IF(B373="","",DB_Colleges!AI367&amp;"")</f>
        <v/>
      </c>
      <c r="U373" s="1" t="str">
        <f aca="false">IF(AND(ISNUMBER($X$4),ISNUMBER(DB_Colleges!Z367),ISNUMBER(DB_Colleges!AA367)),IF($X$4&gt;=DB_Colleges!AA367,1,IF($X$4&lt;DB_Colleges!Z367,-1,0)),"")</f>
        <v/>
      </c>
      <c r="V373" s="1" t="str">
        <f aca="false">IF(AND(ISNUMBER($Y$4),ISNUMBER(DB_Colleges!AD367)),IF($Y$4&gt;=DB_Colleges!AD367+0.15,1,IF($Y$4&lt;DB_Colleges!AD367-0.2,-1,0)),"")</f>
        <v/>
      </c>
      <c r="W373" s="1" t="n">
        <f aca="false">IF(COUNT(U373:V373)=0,0,MIN(U373:V373))</f>
        <v>0</v>
      </c>
    </row>
    <row r="374" customFormat="false" ht="15" hidden="false" customHeight="true" outlineLevel="0" collapsed="false">
      <c r="A374" s="26" t="str">
        <f aca="false">IF(B374="","",IF(COUNTIF('My Colleges'!$B$8:$B$27,B374)&gt;0,"On list",""))</f>
        <v/>
      </c>
      <c r="B374" s="27" t="str">
        <f aca="false">IF(DB_Colleges!A368="","",DB_Colleges!A368)</f>
        <v/>
      </c>
      <c r="C374" s="26" t="str">
        <f aca="false">IF(B374="","",DB_Colleges!B368)</f>
        <v/>
      </c>
      <c r="D374" s="26" t="str">
        <f aca="false">IF(B374="","",DB_Colleges!C368&amp;", "&amp;DB_Colleges!D368)</f>
        <v/>
      </c>
      <c r="E374" s="26" t="str">
        <f aca="false">IF(B374="","",IF(AND(NOT(ISNUMBER($X$4)),NOT(ISNUMBER($Y$4))),"Add scores",IF(NOT(ISNUMBER(DB_Colleges!Y368)),IF(OR(C374="Ivy League",C374="Highly Selective"),"Reach",IF(COUNT(U374:V374)=0,"No data",CHOOSE(W374+2,"Reach","Target","Likely"))),IF(DB_Colleges!Y368&lt;0.15,"Reach",IF(DB_Colleges!Y368&gt;=0.75,IF(W374&gt;=0,"Likely","Target"),IF(DB_Colleges!Y368&gt;=0.4,CHOOSE(W374+2,"Reach","Target","Likely"),IF(W374=1,"Target","Reach")))))))</f>
        <v/>
      </c>
      <c r="F374" s="28" t="str">
        <f aca="false">IF(OR(B374="",NOT(ISNUMBER(DB_Colleges!Y368))),"",DB_Colleges!Y368)</f>
        <v/>
      </c>
      <c r="G374" s="26" t="str">
        <f aca="false">IF(OR(B374="",NOT(ISNUMBER(DB_Colleges!Z368))),"",DB_Colleges!Z368&amp;"-"&amp;DB_Colleges!AA368)</f>
        <v/>
      </c>
      <c r="H374" s="26" t="str">
        <f aca="false">IF(OR(B374="",NOT(ISNUMBER(DB_Colleges!AD368))),"",DB_Colleges!AD368)</f>
        <v/>
      </c>
      <c r="I374" s="29" t="str">
        <f aca="false">IF(B374="","",IF(COUNT(DB_Colleges!I368:O368)=0,IF(DB_Colleges!P368="Yes","Rolling","Check site"),MIN(DB_Colleges!I368:O368)))</f>
        <v/>
      </c>
      <c r="J374" s="26" t="str">
        <f aca="false">IF(OR(B374="",COUNT(DB_Colleges!I368:O368)=0),"",INDEX({"ED","ED II","EA","EA II","REA","RD","Priority"},MATCH(MIN(DB_Colleges!I368:O368),DB_Colleges!I368:O368,0)))</f>
        <v/>
      </c>
      <c r="K374" s="29" t="str">
        <f aca="false">IF(OR(B374="",NOT(ISNUMBER(DB_Colleges!N368))),"",DB_Colleges!N368)</f>
        <v/>
      </c>
      <c r="L374" s="26" t="str">
        <f aca="false">IF(B374="","",DB_Colleges!G368&amp;"")</f>
        <v/>
      </c>
      <c r="M374" s="30" t="str">
        <f aca="false">IF(OR(B374="",NOT(ISNUMBER(DB_Colleges!S368))),"",DB_Colleges!S368)</f>
        <v/>
      </c>
      <c r="N374" s="26" t="str">
        <f aca="false">IF(B374="","",DB_Colleges!U368&amp;"")</f>
        <v/>
      </c>
      <c r="O374" s="26" t="str">
        <f aca="false">IF(B374="","",IF(ISNUMBER(DB_Colleges!AH368),DB_Colleges!AH368,"Check"))</f>
        <v/>
      </c>
      <c r="P374" s="26" t="str">
        <f aca="false">IF(B374="","",DB_Colleges!W368&amp;"")</f>
        <v/>
      </c>
      <c r="Q374" s="30" t="str">
        <f aca="false">IF(OR(B374="",NOT(ISNUMBER(DB_Colleges!AF368))),"",DB_Colleges!AF368)</f>
        <v/>
      </c>
      <c r="R374" s="28" t="str">
        <f aca="false">IF(OR(B374="",NOT(ISNUMBER(DB_Colleges!AG368))),"",DB_Colleges!AG368)</f>
        <v/>
      </c>
      <c r="S374" s="26" t="str">
        <f aca="false">IF(B374="","",DB_Colleges!AK368&amp;"")</f>
        <v/>
      </c>
      <c r="T374" s="26" t="str">
        <f aca="false">IF(B374="","",DB_Colleges!AI368&amp;"")</f>
        <v/>
      </c>
      <c r="U374" s="1" t="str">
        <f aca="false">IF(AND(ISNUMBER($X$4),ISNUMBER(DB_Colleges!Z368),ISNUMBER(DB_Colleges!AA368)),IF($X$4&gt;=DB_Colleges!AA368,1,IF($X$4&lt;DB_Colleges!Z368,-1,0)),"")</f>
        <v/>
      </c>
      <c r="V374" s="1" t="str">
        <f aca="false">IF(AND(ISNUMBER($Y$4),ISNUMBER(DB_Colleges!AD368)),IF($Y$4&gt;=DB_Colleges!AD368+0.15,1,IF($Y$4&lt;DB_Colleges!AD368-0.2,-1,0)),"")</f>
        <v/>
      </c>
      <c r="W374" s="1" t="n">
        <f aca="false">IF(COUNT(U374:V374)=0,0,MIN(U374:V374))</f>
        <v>0</v>
      </c>
    </row>
    <row r="375" customFormat="false" ht="15" hidden="false" customHeight="true" outlineLevel="0" collapsed="false">
      <c r="A375" s="26" t="str">
        <f aca="false">IF(B375="","",IF(COUNTIF('My Colleges'!$B$8:$B$27,B375)&gt;0,"On list",""))</f>
        <v/>
      </c>
      <c r="B375" s="27" t="str">
        <f aca="false">IF(DB_Colleges!A369="","",DB_Colleges!A369)</f>
        <v/>
      </c>
      <c r="C375" s="26" t="str">
        <f aca="false">IF(B375="","",DB_Colleges!B369)</f>
        <v/>
      </c>
      <c r="D375" s="26" t="str">
        <f aca="false">IF(B375="","",DB_Colleges!C369&amp;", "&amp;DB_Colleges!D369)</f>
        <v/>
      </c>
      <c r="E375" s="26" t="str">
        <f aca="false">IF(B375="","",IF(AND(NOT(ISNUMBER($X$4)),NOT(ISNUMBER($Y$4))),"Add scores",IF(NOT(ISNUMBER(DB_Colleges!Y369)),IF(OR(C375="Ivy League",C375="Highly Selective"),"Reach",IF(COUNT(U375:V375)=0,"No data",CHOOSE(W375+2,"Reach","Target","Likely"))),IF(DB_Colleges!Y369&lt;0.15,"Reach",IF(DB_Colleges!Y369&gt;=0.75,IF(W375&gt;=0,"Likely","Target"),IF(DB_Colleges!Y369&gt;=0.4,CHOOSE(W375+2,"Reach","Target","Likely"),IF(W375=1,"Target","Reach")))))))</f>
        <v/>
      </c>
      <c r="F375" s="28" t="str">
        <f aca="false">IF(OR(B375="",NOT(ISNUMBER(DB_Colleges!Y369))),"",DB_Colleges!Y369)</f>
        <v/>
      </c>
      <c r="G375" s="26" t="str">
        <f aca="false">IF(OR(B375="",NOT(ISNUMBER(DB_Colleges!Z369))),"",DB_Colleges!Z369&amp;"-"&amp;DB_Colleges!AA369)</f>
        <v/>
      </c>
      <c r="H375" s="26" t="str">
        <f aca="false">IF(OR(B375="",NOT(ISNUMBER(DB_Colleges!AD369))),"",DB_Colleges!AD369)</f>
        <v/>
      </c>
      <c r="I375" s="29" t="str">
        <f aca="false">IF(B375="","",IF(COUNT(DB_Colleges!I369:O369)=0,IF(DB_Colleges!P369="Yes","Rolling","Check site"),MIN(DB_Colleges!I369:O369)))</f>
        <v/>
      </c>
      <c r="J375" s="26" t="str">
        <f aca="false">IF(OR(B375="",COUNT(DB_Colleges!I369:O369)=0),"",INDEX({"ED","ED II","EA","EA II","REA","RD","Priority"},MATCH(MIN(DB_Colleges!I369:O369),DB_Colleges!I369:O369,0)))</f>
        <v/>
      </c>
      <c r="K375" s="29" t="str">
        <f aca="false">IF(OR(B375="",NOT(ISNUMBER(DB_Colleges!N369))),"",DB_Colleges!N369)</f>
        <v/>
      </c>
      <c r="L375" s="26" t="str">
        <f aca="false">IF(B375="","",DB_Colleges!G369&amp;"")</f>
        <v/>
      </c>
      <c r="M375" s="30" t="str">
        <f aca="false">IF(OR(B375="",NOT(ISNUMBER(DB_Colleges!S369))),"",DB_Colleges!S369)</f>
        <v/>
      </c>
      <c r="N375" s="26" t="str">
        <f aca="false">IF(B375="","",DB_Colleges!U369&amp;"")</f>
        <v/>
      </c>
      <c r="O375" s="26" t="str">
        <f aca="false">IF(B375="","",IF(ISNUMBER(DB_Colleges!AH369),DB_Colleges!AH369,"Check"))</f>
        <v/>
      </c>
      <c r="P375" s="26" t="str">
        <f aca="false">IF(B375="","",DB_Colleges!W369&amp;"")</f>
        <v/>
      </c>
      <c r="Q375" s="30" t="str">
        <f aca="false">IF(OR(B375="",NOT(ISNUMBER(DB_Colleges!AF369))),"",DB_Colleges!AF369)</f>
        <v/>
      </c>
      <c r="R375" s="28" t="str">
        <f aca="false">IF(OR(B375="",NOT(ISNUMBER(DB_Colleges!AG369))),"",DB_Colleges!AG369)</f>
        <v/>
      </c>
      <c r="S375" s="26" t="str">
        <f aca="false">IF(B375="","",DB_Colleges!AK369&amp;"")</f>
        <v/>
      </c>
      <c r="T375" s="26" t="str">
        <f aca="false">IF(B375="","",DB_Colleges!AI369&amp;"")</f>
        <v/>
      </c>
      <c r="U375" s="1" t="str">
        <f aca="false">IF(AND(ISNUMBER($X$4),ISNUMBER(DB_Colleges!Z369),ISNUMBER(DB_Colleges!AA369)),IF($X$4&gt;=DB_Colleges!AA369,1,IF($X$4&lt;DB_Colleges!Z369,-1,0)),"")</f>
        <v/>
      </c>
      <c r="V375" s="1" t="str">
        <f aca="false">IF(AND(ISNUMBER($Y$4),ISNUMBER(DB_Colleges!AD369)),IF($Y$4&gt;=DB_Colleges!AD369+0.15,1,IF($Y$4&lt;DB_Colleges!AD369-0.2,-1,0)),"")</f>
        <v/>
      </c>
      <c r="W375" s="1" t="n">
        <f aca="false">IF(COUNT(U375:V375)=0,0,MIN(U375:V375))</f>
        <v>0</v>
      </c>
    </row>
    <row r="376" customFormat="false" ht="15" hidden="false" customHeight="true" outlineLevel="0" collapsed="false">
      <c r="A376" s="26" t="str">
        <f aca="false">IF(B376="","",IF(COUNTIF('My Colleges'!$B$8:$B$27,B376)&gt;0,"On list",""))</f>
        <v/>
      </c>
      <c r="B376" s="27" t="str">
        <f aca="false">IF(DB_Colleges!A370="","",DB_Colleges!A370)</f>
        <v/>
      </c>
      <c r="C376" s="26" t="str">
        <f aca="false">IF(B376="","",DB_Colleges!B370)</f>
        <v/>
      </c>
      <c r="D376" s="26" t="str">
        <f aca="false">IF(B376="","",DB_Colleges!C370&amp;", "&amp;DB_Colleges!D370)</f>
        <v/>
      </c>
      <c r="E376" s="26" t="str">
        <f aca="false">IF(B376="","",IF(AND(NOT(ISNUMBER($X$4)),NOT(ISNUMBER($Y$4))),"Add scores",IF(NOT(ISNUMBER(DB_Colleges!Y370)),IF(OR(C376="Ivy League",C376="Highly Selective"),"Reach",IF(COUNT(U376:V376)=0,"No data",CHOOSE(W376+2,"Reach","Target","Likely"))),IF(DB_Colleges!Y370&lt;0.15,"Reach",IF(DB_Colleges!Y370&gt;=0.75,IF(W376&gt;=0,"Likely","Target"),IF(DB_Colleges!Y370&gt;=0.4,CHOOSE(W376+2,"Reach","Target","Likely"),IF(W376=1,"Target","Reach")))))))</f>
        <v/>
      </c>
      <c r="F376" s="28" t="str">
        <f aca="false">IF(OR(B376="",NOT(ISNUMBER(DB_Colleges!Y370))),"",DB_Colleges!Y370)</f>
        <v/>
      </c>
      <c r="G376" s="26" t="str">
        <f aca="false">IF(OR(B376="",NOT(ISNUMBER(DB_Colleges!Z370))),"",DB_Colleges!Z370&amp;"-"&amp;DB_Colleges!AA370)</f>
        <v/>
      </c>
      <c r="H376" s="26" t="str">
        <f aca="false">IF(OR(B376="",NOT(ISNUMBER(DB_Colleges!AD370))),"",DB_Colleges!AD370)</f>
        <v/>
      </c>
      <c r="I376" s="29" t="str">
        <f aca="false">IF(B376="","",IF(COUNT(DB_Colleges!I370:O370)=0,IF(DB_Colleges!P370="Yes","Rolling","Check site"),MIN(DB_Colleges!I370:O370)))</f>
        <v/>
      </c>
      <c r="J376" s="26" t="str">
        <f aca="false">IF(OR(B376="",COUNT(DB_Colleges!I370:O370)=0),"",INDEX({"ED","ED II","EA","EA II","REA","RD","Priority"},MATCH(MIN(DB_Colleges!I370:O370),DB_Colleges!I370:O370,0)))</f>
        <v/>
      </c>
      <c r="K376" s="29" t="str">
        <f aca="false">IF(OR(B376="",NOT(ISNUMBER(DB_Colleges!N370))),"",DB_Colleges!N370)</f>
        <v/>
      </c>
      <c r="L376" s="26" t="str">
        <f aca="false">IF(B376="","",DB_Colleges!G370&amp;"")</f>
        <v/>
      </c>
      <c r="M376" s="30" t="str">
        <f aca="false">IF(OR(B376="",NOT(ISNUMBER(DB_Colleges!S370))),"",DB_Colleges!S370)</f>
        <v/>
      </c>
      <c r="N376" s="26" t="str">
        <f aca="false">IF(B376="","",DB_Colleges!U370&amp;"")</f>
        <v/>
      </c>
      <c r="O376" s="26" t="str">
        <f aca="false">IF(B376="","",IF(ISNUMBER(DB_Colleges!AH370),DB_Colleges!AH370,"Check"))</f>
        <v/>
      </c>
      <c r="P376" s="26" t="str">
        <f aca="false">IF(B376="","",DB_Colleges!W370&amp;"")</f>
        <v/>
      </c>
      <c r="Q376" s="30" t="str">
        <f aca="false">IF(OR(B376="",NOT(ISNUMBER(DB_Colleges!AF370))),"",DB_Colleges!AF370)</f>
        <v/>
      </c>
      <c r="R376" s="28" t="str">
        <f aca="false">IF(OR(B376="",NOT(ISNUMBER(DB_Colleges!AG370))),"",DB_Colleges!AG370)</f>
        <v/>
      </c>
      <c r="S376" s="26" t="str">
        <f aca="false">IF(B376="","",DB_Colleges!AK370&amp;"")</f>
        <v/>
      </c>
      <c r="T376" s="26" t="str">
        <f aca="false">IF(B376="","",DB_Colleges!AI370&amp;"")</f>
        <v/>
      </c>
      <c r="U376" s="1" t="str">
        <f aca="false">IF(AND(ISNUMBER($X$4),ISNUMBER(DB_Colleges!Z370),ISNUMBER(DB_Colleges!AA370)),IF($X$4&gt;=DB_Colleges!AA370,1,IF($X$4&lt;DB_Colleges!Z370,-1,0)),"")</f>
        <v/>
      </c>
      <c r="V376" s="1" t="str">
        <f aca="false">IF(AND(ISNUMBER($Y$4),ISNUMBER(DB_Colleges!AD370)),IF($Y$4&gt;=DB_Colleges!AD370+0.15,1,IF($Y$4&lt;DB_Colleges!AD370-0.2,-1,0)),"")</f>
        <v/>
      </c>
      <c r="W376" s="1" t="n">
        <f aca="false">IF(COUNT(U376:V376)=0,0,MIN(U376:V376))</f>
        <v>0</v>
      </c>
    </row>
    <row r="377" customFormat="false" ht="15" hidden="false" customHeight="true" outlineLevel="0" collapsed="false">
      <c r="A377" s="26" t="str">
        <f aca="false">IF(B377="","",IF(COUNTIF('My Colleges'!$B$8:$B$27,B377)&gt;0,"On list",""))</f>
        <v/>
      </c>
      <c r="B377" s="27" t="str">
        <f aca="false">IF(DB_Colleges!A371="","",DB_Colleges!A371)</f>
        <v/>
      </c>
      <c r="C377" s="26" t="str">
        <f aca="false">IF(B377="","",DB_Colleges!B371)</f>
        <v/>
      </c>
      <c r="D377" s="26" t="str">
        <f aca="false">IF(B377="","",DB_Colleges!C371&amp;", "&amp;DB_Colleges!D371)</f>
        <v/>
      </c>
      <c r="E377" s="26" t="str">
        <f aca="false">IF(B377="","",IF(AND(NOT(ISNUMBER($X$4)),NOT(ISNUMBER($Y$4))),"Add scores",IF(NOT(ISNUMBER(DB_Colleges!Y371)),IF(OR(C377="Ivy League",C377="Highly Selective"),"Reach",IF(COUNT(U377:V377)=0,"No data",CHOOSE(W377+2,"Reach","Target","Likely"))),IF(DB_Colleges!Y371&lt;0.15,"Reach",IF(DB_Colleges!Y371&gt;=0.75,IF(W377&gt;=0,"Likely","Target"),IF(DB_Colleges!Y371&gt;=0.4,CHOOSE(W377+2,"Reach","Target","Likely"),IF(W377=1,"Target","Reach")))))))</f>
        <v/>
      </c>
      <c r="F377" s="28" t="str">
        <f aca="false">IF(OR(B377="",NOT(ISNUMBER(DB_Colleges!Y371))),"",DB_Colleges!Y371)</f>
        <v/>
      </c>
      <c r="G377" s="26" t="str">
        <f aca="false">IF(OR(B377="",NOT(ISNUMBER(DB_Colleges!Z371))),"",DB_Colleges!Z371&amp;"-"&amp;DB_Colleges!AA371)</f>
        <v/>
      </c>
      <c r="H377" s="26" t="str">
        <f aca="false">IF(OR(B377="",NOT(ISNUMBER(DB_Colleges!AD371))),"",DB_Colleges!AD371)</f>
        <v/>
      </c>
      <c r="I377" s="29" t="str">
        <f aca="false">IF(B377="","",IF(COUNT(DB_Colleges!I371:O371)=0,IF(DB_Colleges!P371="Yes","Rolling","Check site"),MIN(DB_Colleges!I371:O371)))</f>
        <v/>
      </c>
      <c r="J377" s="26" t="str">
        <f aca="false">IF(OR(B377="",COUNT(DB_Colleges!I371:O371)=0),"",INDEX({"ED","ED II","EA","EA II","REA","RD","Priority"},MATCH(MIN(DB_Colleges!I371:O371),DB_Colleges!I371:O371,0)))</f>
        <v/>
      </c>
      <c r="K377" s="29" t="str">
        <f aca="false">IF(OR(B377="",NOT(ISNUMBER(DB_Colleges!N371))),"",DB_Colleges!N371)</f>
        <v/>
      </c>
      <c r="L377" s="26" t="str">
        <f aca="false">IF(B377="","",DB_Colleges!G371&amp;"")</f>
        <v/>
      </c>
      <c r="M377" s="30" t="str">
        <f aca="false">IF(OR(B377="",NOT(ISNUMBER(DB_Colleges!S371))),"",DB_Colleges!S371)</f>
        <v/>
      </c>
      <c r="N377" s="26" t="str">
        <f aca="false">IF(B377="","",DB_Colleges!U371&amp;"")</f>
        <v/>
      </c>
      <c r="O377" s="26" t="str">
        <f aca="false">IF(B377="","",IF(ISNUMBER(DB_Colleges!AH371),DB_Colleges!AH371,"Check"))</f>
        <v/>
      </c>
      <c r="P377" s="26" t="str">
        <f aca="false">IF(B377="","",DB_Colleges!W371&amp;"")</f>
        <v/>
      </c>
      <c r="Q377" s="30" t="str">
        <f aca="false">IF(OR(B377="",NOT(ISNUMBER(DB_Colleges!AF371))),"",DB_Colleges!AF371)</f>
        <v/>
      </c>
      <c r="R377" s="28" t="str">
        <f aca="false">IF(OR(B377="",NOT(ISNUMBER(DB_Colleges!AG371))),"",DB_Colleges!AG371)</f>
        <v/>
      </c>
      <c r="S377" s="26" t="str">
        <f aca="false">IF(B377="","",DB_Colleges!AK371&amp;"")</f>
        <v/>
      </c>
      <c r="T377" s="26" t="str">
        <f aca="false">IF(B377="","",DB_Colleges!AI371&amp;"")</f>
        <v/>
      </c>
      <c r="U377" s="1" t="str">
        <f aca="false">IF(AND(ISNUMBER($X$4),ISNUMBER(DB_Colleges!Z371),ISNUMBER(DB_Colleges!AA371)),IF($X$4&gt;=DB_Colleges!AA371,1,IF($X$4&lt;DB_Colleges!Z371,-1,0)),"")</f>
        <v/>
      </c>
      <c r="V377" s="1" t="str">
        <f aca="false">IF(AND(ISNUMBER($Y$4),ISNUMBER(DB_Colleges!AD371)),IF($Y$4&gt;=DB_Colleges!AD371+0.15,1,IF($Y$4&lt;DB_Colleges!AD371-0.2,-1,0)),"")</f>
        <v/>
      </c>
      <c r="W377" s="1" t="n">
        <f aca="false">IF(COUNT(U377:V377)=0,0,MIN(U377:V377))</f>
        <v>0</v>
      </c>
    </row>
    <row r="378" customFormat="false" ht="15" hidden="false" customHeight="true" outlineLevel="0" collapsed="false">
      <c r="A378" s="26" t="str">
        <f aca="false">IF(B378="","",IF(COUNTIF('My Colleges'!$B$8:$B$27,B378)&gt;0,"On list",""))</f>
        <v/>
      </c>
      <c r="B378" s="27" t="str">
        <f aca="false">IF(DB_Colleges!A372="","",DB_Colleges!A372)</f>
        <v/>
      </c>
      <c r="C378" s="26" t="str">
        <f aca="false">IF(B378="","",DB_Colleges!B372)</f>
        <v/>
      </c>
      <c r="D378" s="26" t="str">
        <f aca="false">IF(B378="","",DB_Colleges!C372&amp;", "&amp;DB_Colleges!D372)</f>
        <v/>
      </c>
      <c r="E378" s="26" t="str">
        <f aca="false">IF(B378="","",IF(AND(NOT(ISNUMBER($X$4)),NOT(ISNUMBER($Y$4))),"Add scores",IF(NOT(ISNUMBER(DB_Colleges!Y372)),IF(OR(C378="Ivy League",C378="Highly Selective"),"Reach",IF(COUNT(U378:V378)=0,"No data",CHOOSE(W378+2,"Reach","Target","Likely"))),IF(DB_Colleges!Y372&lt;0.15,"Reach",IF(DB_Colleges!Y372&gt;=0.75,IF(W378&gt;=0,"Likely","Target"),IF(DB_Colleges!Y372&gt;=0.4,CHOOSE(W378+2,"Reach","Target","Likely"),IF(W378=1,"Target","Reach")))))))</f>
        <v/>
      </c>
      <c r="F378" s="28" t="str">
        <f aca="false">IF(OR(B378="",NOT(ISNUMBER(DB_Colleges!Y372))),"",DB_Colleges!Y372)</f>
        <v/>
      </c>
      <c r="G378" s="26" t="str">
        <f aca="false">IF(OR(B378="",NOT(ISNUMBER(DB_Colleges!Z372))),"",DB_Colleges!Z372&amp;"-"&amp;DB_Colleges!AA372)</f>
        <v/>
      </c>
      <c r="H378" s="26" t="str">
        <f aca="false">IF(OR(B378="",NOT(ISNUMBER(DB_Colleges!AD372))),"",DB_Colleges!AD372)</f>
        <v/>
      </c>
      <c r="I378" s="29" t="str">
        <f aca="false">IF(B378="","",IF(COUNT(DB_Colleges!I372:O372)=0,IF(DB_Colleges!P372="Yes","Rolling","Check site"),MIN(DB_Colleges!I372:O372)))</f>
        <v/>
      </c>
      <c r="J378" s="26" t="str">
        <f aca="false">IF(OR(B378="",COUNT(DB_Colleges!I372:O372)=0),"",INDEX({"ED","ED II","EA","EA II","REA","RD","Priority"},MATCH(MIN(DB_Colleges!I372:O372),DB_Colleges!I372:O372,0)))</f>
        <v/>
      </c>
      <c r="K378" s="29" t="str">
        <f aca="false">IF(OR(B378="",NOT(ISNUMBER(DB_Colleges!N372))),"",DB_Colleges!N372)</f>
        <v/>
      </c>
      <c r="L378" s="26" t="str">
        <f aca="false">IF(B378="","",DB_Colleges!G372&amp;"")</f>
        <v/>
      </c>
      <c r="M378" s="30" t="str">
        <f aca="false">IF(OR(B378="",NOT(ISNUMBER(DB_Colleges!S372))),"",DB_Colleges!S372)</f>
        <v/>
      </c>
      <c r="N378" s="26" t="str">
        <f aca="false">IF(B378="","",DB_Colleges!U372&amp;"")</f>
        <v/>
      </c>
      <c r="O378" s="26" t="str">
        <f aca="false">IF(B378="","",IF(ISNUMBER(DB_Colleges!AH372),DB_Colleges!AH372,"Check"))</f>
        <v/>
      </c>
      <c r="P378" s="26" t="str">
        <f aca="false">IF(B378="","",DB_Colleges!W372&amp;"")</f>
        <v/>
      </c>
      <c r="Q378" s="30" t="str">
        <f aca="false">IF(OR(B378="",NOT(ISNUMBER(DB_Colleges!AF372))),"",DB_Colleges!AF372)</f>
        <v/>
      </c>
      <c r="R378" s="28" t="str">
        <f aca="false">IF(OR(B378="",NOT(ISNUMBER(DB_Colleges!AG372))),"",DB_Colleges!AG372)</f>
        <v/>
      </c>
      <c r="S378" s="26" t="str">
        <f aca="false">IF(B378="","",DB_Colleges!AK372&amp;"")</f>
        <v/>
      </c>
      <c r="T378" s="26" t="str">
        <f aca="false">IF(B378="","",DB_Colleges!AI372&amp;"")</f>
        <v/>
      </c>
      <c r="U378" s="1" t="str">
        <f aca="false">IF(AND(ISNUMBER($X$4),ISNUMBER(DB_Colleges!Z372),ISNUMBER(DB_Colleges!AA372)),IF($X$4&gt;=DB_Colleges!AA372,1,IF($X$4&lt;DB_Colleges!Z372,-1,0)),"")</f>
        <v/>
      </c>
      <c r="V378" s="1" t="str">
        <f aca="false">IF(AND(ISNUMBER($Y$4),ISNUMBER(DB_Colleges!AD372)),IF($Y$4&gt;=DB_Colleges!AD372+0.15,1,IF($Y$4&lt;DB_Colleges!AD372-0.2,-1,0)),"")</f>
        <v/>
      </c>
      <c r="W378" s="1" t="n">
        <f aca="false">IF(COUNT(U378:V378)=0,0,MIN(U378:V378))</f>
        <v>0</v>
      </c>
    </row>
    <row r="379" customFormat="false" ht="15" hidden="false" customHeight="true" outlineLevel="0" collapsed="false">
      <c r="A379" s="26" t="str">
        <f aca="false">IF(B379="","",IF(COUNTIF('My Colleges'!$B$8:$B$27,B379)&gt;0,"On list",""))</f>
        <v/>
      </c>
      <c r="B379" s="27" t="str">
        <f aca="false">IF(DB_Colleges!A373="","",DB_Colleges!A373)</f>
        <v/>
      </c>
      <c r="C379" s="26" t="str">
        <f aca="false">IF(B379="","",DB_Colleges!B373)</f>
        <v/>
      </c>
      <c r="D379" s="26" t="str">
        <f aca="false">IF(B379="","",DB_Colleges!C373&amp;", "&amp;DB_Colleges!D373)</f>
        <v/>
      </c>
      <c r="E379" s="26" t="str">
        <f aca="false">IF(B379="","",IF(AND(NOT(ISNUMBER($X$4)),NOT(ISNUMBER($Y$4))),"Add scores",IF(NOT(ISNUMBER(DB_Colleges!Y373)),IF(OR(C379="Ivy League",C379="Highly Selective"),"Reach",IF(COUNT(U379:V379)=0,"No data",CHOOSE(W379+2,"Reach","Target","Likely"))),IF(DB_Colleges!Y373&lt;0.15,"Reach",IF(DB_Colleges!Y373&gt;=0.75,IF(W379&gt;=0,"Likely","Target"),IF(DB_Colleges!Y373&gt;=0.4,CHOOSE(W379+2,"Reach","Target","Likely"),IF(W379=1,"Target","Reach")))))))</f>
        <v/>
      </c>
      <c r="F379" s="28" t="str">
        <f aca="false">IF(OR(B379="",NOT(ISNUMBER(DB_Colleges!Y373))),"",DB_Colleges!Y373)</f>
        <v/>
      </c>
      <c r="G379" s="26" t="str">
        <f aca="false">IF(OR(B379="",NOT(ISNUMBER(DB_Colleges!Z373))),"",DB_Colleges!Z373&amp;"-"&amp;DB_Colleges!AA373)</f>
        <v/>
      </c>
      <c r="H379" s="26" t="str">
        <f aca="false">IF(OR(B379="",NOT(ISNUMBER(DB_Colleges!AD373))),"",DB_Colleges!AD373)</f>
        <v/>
      </c>
      <c r="I379" s="29" t="str">
        <f aca="false">IF(B379="","",IF(COUNT(DB_Colleges!I373:O373)=0,IF(DB_Colleges!P373="Yes","Rolling","Check site"),MIN(DB_Colleges!I373:O373)))</f>
        <v/>
      </c>
      <c r="J379" s="26" t="str">
        <f aca="false">IF(OR(B379="",COUNT(DB_Colleges!I373:O373)=0),"",INDEX({"ED","ED II","EA","EA II","REA","RD","Priority"},MATCH(MIN(DB_Colleges!I373:O373),DB_Colleges!I373:O373,0)))</f>
        <v/>
      </c>
      <c r="K379" s="29" t="str">
        <f aca="false">IF(OR(B379="",NOT(ISNUMBER(DB_Colleges!N373))),"",DB_Colleges!N373)</f>
        <v/>
      </c>
      <c r="L379" s="26" t="str">
        <f aca="false">IF(B379="","",DB_Colleges!G373&amp;"")</f>
        <v/>
      </c>
      <c r="M379" s="30" t="str">
        <f aca="false">IF(OR(B379="",NOT(ISNUMBER(DB_Colleges!S373))),"",DB_Colleges!S373)</f>
        <v/>
      </c>
      <c r="N379" s="26" t="str">
        <f aca="false">IF(B379="","",DB_Colleges!U373&amp;"")</f>
        <v/>
      </c>
      <c r="O379" s="26" t="str">
        <f aca="false">IF(B379="","",IF(ISNUMBER(DB_Colleges!AH373),DB_Colleges!AH373,"Check"))</f>
        <v/>
      </c>
      <c r="P379" s="26" t="str">
        <f aca="false">IF(B379="","",DB_Colleges!W373&amp;"")</f>
        <v/>
      </c>
      <c r="Q379" s="30" t="str">
        <f aca="false">IF(OR(B379="",NOT(ISNUMBER(DB_Colleges!AF373))),"",DB_Colleges!AF373)</f>
        <v/>
      </c>
      <c r="R379" s="28" t="str">
        <f aca="false">IF(OR(B379="",NOT(ISNUMBER(DB_Colleges!AG373))),"",DB_Colleges!AG373)</f>
        <v/>
      </c>
      <c r="S379" s="26" t="str">
        <f aca="false">IF(B379="","",DB_Colleges!AK373&amp;"")</f>
        <v/>
      </c>
      <c r="T379" s="26" t="str">
        <f aca="false">IF(B379="","",DB_Colleges!AI373&amp;"")</f>
        <v/>
      </c>
      <c r="U379" s="1" t="str">
        <f aca="false">IF(AND(ISNUMBER($X$4),ISNUMBER(DB_Colleges!Z373),ISNUMBER(DB_Colleges!AA373)),IF($X$4&gt;=DB_Colleges!AA373,1,IF($X$4&lt;DB_Colleges!Z373,-1,0)),"")</f>
        <v/>
      </c>
      <c r="V379" s="1" t="str">
        <f aca="false">IF(AND(ISNUMBER($Y$4),ISNUMBER(DB_Colleges!AD373)),IF($Y$4&gt;=DB_Colleges!AD373+0.15,1,IF($Y$4&lt;DB_Colleges!AD373-0.2,-1,0)),"")</f>
        <v/>
      </c>
      <c r="W379" s="1" t="n">
        <f aca="false">IF(COUNT(U379:V379)=0,0,MIN(U379:V379))</f>
        <v>0</v>
      </c>
    </row>
    <row r="380" customFormat="false" ht="15" hidden="false" customHeight="true" outlineLevel="0" collapsed="false">
      <c r="A380" s="26" t="str">
        <f aca="false">IF(B380="","",IF(COUNTIF('My Colleges'!$B$8:$B$27,B380)&gt;0,"On list",""))</f>
        <v/>
      </c>
      <c r="B380" s="27" t="str">
        <f aca="false">IF(DB_Colleges!A374="","",DB_Colleges!A374)</f>
        <v/>
      </c>
      <c r="C380" s="26" t="str">
        <f aca="false">IF(B380="","",DB_Colleges!B374)</f>
        <v/>
      </c>
      <c r="D380" s="26" t="str">
        <f aca="false">IF(B380="","",DB_Colleges!C374&amp;", "&amp;DB_Colleges!D374)</f>
        <v/>
      </c>
      <c r="E380" s="26" t="str">
        <f aca="false">IF(B380="","",IF(AND(NOT(ISNUMBER($X$4)),NOT(ISNUMBER($Y$4))),"Add scores",IF(NOT(ISNUMBER(DB_Colleges!Y374)),IF(OR(C380="Ivy League",C380="Highly Selective"),"Reach",IF(COUNT(U380:V380)=0,"No data",CHOOSE(W380+2,"Reach","Target","Likely"))),IF(DB_Colleges!Y374&lt;0.15,"Reach",IF(DB_Colleges!Y374&gt;=0.75,IF(W380&gt;=0,"Likely","Target"),IF(DB_Colleges!Y374&gt;=0.4,CHOOSE(W380+2,"Reach","Target","Likely"),IF(W380=1,"Target","Reach")))))))</f>
        <v/>
      </c>
      <c r="F380" s="28" t="str">
        <f aca="false">IF(OR(B380="",NOT(ISNUMBER(DB_Colleges!Y374))),"",DB_Colleges!Y374)</f>
        <v/>
      </c>
      <c r="G380" s="26" t="str">
        <f aca="false">IF(OR(B380="",NOT(ISNUMBER(DB_Colleges!Z374))),"",DB_Colleges!Z374&amp;"-"&amp;DB_Colleges!AA374)</f>
        <v/>
      </c>
      <c r="H380" s="26" t="str">
        <f aca="false">IF(OR(B380="",NOT(ISNUMBER(DB_Colleges!AD374))),"",DB_Colleges!AD374)</f>
        <v/>
      </c>
      <c r="I380" s="29" t="str">
        <f aca="false">IF(B380="","",IF(COUNT(DB_Colleges!I374:O374)=0,IF(DB_Colleges!P374="Yes","Rolling","Check site"),MIN(DB_Colleges!I374:O374)))</f>
        <v/>
      </c>
      <c r="J380" s="26" t="str">
        <f aca="false">IF(OR(B380="",COUNT(DB_Colleges!I374:O374)=0),"",INDEX({"ED","ED II","EA","EA II","REA","RD","Priority"},MATCH(MIN(DB_Colleges!I374:O374),DB_Colleges!I374:O374,0)))</f>
        <v/>
      </c>
      <c r="K380" s="29" t="str">
        <f aca="false">IF(OR(B380="",NOT(ISNUMBER(DB_Colleges!N374))),"",DB_Colleges!N374)</f>
        <v/>
      </c>
      <c r="L380" s="26" t="str">
        <f aca="false">IF(B380="","",DB_Colleges!G374&amp;"")</f>
        <v/>
      </c>
      <c r="M380" s="30" t="str">
        <f aca="false">IF(OR(B380="",NOT(ISNUMBER(DB_Colleges!S374))),"",DB_Colleges!S374)</f>
        <v/>
      </c>
      <c r="N380" s="26" t="str">
        <f aca="false">IF(B380="","",DB_Colleges!U374&amp;"")</f>
        <v/>
      </c>
      <c r="O380" s="26" t="str">
        <f aca="false">IF(B380="","",IF(ISNUMBER(DB_Colleges!AH374),DB_Colleges!AH374,"Check"))</f>
        <v/>
      </c>
      <c r="P380" s="26" t="str">
        <f aca="false">IF(B380="","",DB_Colleges!W374&amp;"")</f>
        <v/>
      </c>
      <c r="Q380" s="30" t="str">
        <f aca="false">IF(OR(B380="",NOT(ISNUMBER(DB_Colleges!AF374))),"",DB_Colleges!AF374)</f>
        <v/>
      </c>
      <c r="R380" s="28" t="str">
        <f aca="false">IF(OR(B380="",NOT(ISNUMBER(DB_Colleges!AG374))),"",DB_Colleges!AG374)</f>
        <v/>
      </c>
      <c r="S380" s="26" t="str">
        <f aca="false">IF(B380="","",DB_Colleges!AK374&amp;"")</f>
        <v/>
      </c>
      <c r="T380" s="26" t="str">
        <f aca="false">IF(B380="","",DB_Colleges!AI374&amp;"")</f>
        <v/>
      </c>
      <c r="U380" s="1" t="str">
        <f aca="false">IF(AND(ISNUMBER($X$4),ISNUMBER(DB_Colleges!Z374),ISNUMBER(DB_Colleges!AA374)),IF($X$4&gt;=DB_Colleges!AA374,1,IF($X$4&lt;DB_Colleges!Z374,-1,0)),"")</f>
        <v/>
      </c>
      <c r="V380" s="1" t="str">
        <f aca="false">IF(AND(ISNUMBER($Y$4),ISNUMBER(DB_Colleges!AD374)),IF($Y$4&gt;=DB_Colleges!AD374+0.15,1,IF($Y$4&lt;DB_Colleges!AD374-0.2,-1,0)),"")</f>
        <v/>
      </c>
      <c r="W380" s="1" t="n">
        <f aca="false">IF(COUNT(U380:V380)=0,0,MIN(U380:V380))</f>
        <v>0</v>
      </c>
    </row>
    <row r="381" customFormat="false" ht="15" hidden="false" customHeight="true" outlineLevel="0" collapsed="false">
      <c r="A381" s="26" t="str">
        <f aca="false">IF(B381="","",IF(COUNTIF('My Colleges'!$B$8:$B$27,B381)&gt;0,"On list",""))</f>
        <v/>
      </c>
      <c r="B381" s="27" t="str">
        <f aca="false">IF(DB_Colleges!A375="","",DB_Colleges!A375)</f>
        <v/>
      </c>
      <c r="C381" s="26" t="str">
        <f aca="false">IF(B381="","",DB_Colleges!B375)</f>
        <v/>
      </c>
      <c r="D381" s="26" t="str">
        <f aca="false">IF(B381="","",DB_Colleges!C375&amp;", "&amp;DB_Colleges!D375)</f>
        <v/>
      </c>
      <c r="E381" s="26" t="str">
        <f aca="false">IF(B381="","",IF(AND(NOT(ISNUMBER($X$4)),NOT(ISNUMBER($Y$4))),"Add scores",IF(NOT(ISNUMBER(DB_Colleges!Y375)),IF(OR(C381="Ivy League",C381="Highly Selective"),"Reach",IF(COUNT(U381:V381)=0,"No data",CHOOSE(W381+2,"Reach","Target","Likely"))),IF(DB_Colleges!Y375&lt;0.15,"Reach",IF(DB_Colleges!Y375&gt;=0.75,IF(W381&gt;=0,"Likely","Target"),IF(DB_Colleges!Y375&gt;=0.4,CHOOSE(W381+2,"Reach","Target","Likely"),IF(W381=1,"Target","Reach")))))))</f>
        <v/>
      </c>
      <c r="F381" s="28" t="str">
        <f aca="false">IF(OR(B381="",NOT(ISNUMBER(DB_Colleges!Y375))),"",DB_Colleges!Y375)</f>
        <v/>
      </c>
      <c r="G381" s="26" t="str">
        <f aca="false">IF(OR(B381="",NOT(ISNUMBER(DB_Colleges!Z375))),"",DB_Colleges!Z375&amp;"-"&amp;DB_Colleges!AA375)</f>
        <v/>
      </c>
      <c r="H381" s="26" t="str">
        <f aca="false">IF(OR(B381="",NOT(ISNUMBER(DB_Colleges!AD375))),"",DB_Colleges!AD375)</f>
        <v/>
      </c>
      <c r="I381" s="29" t="str">
        <f aca="false">IF(B381="","",IF(COUNT(DB_Colleges!I375:O375)=0,IF(DB_Colleges!P375="Yes","Rolling","Check site"),MIN(DB_Colleges!I375:O375)))</f>
        <v/>
      </c>
      <c r="J381" s="26" t="str">
        <f aca="false">IF(OR(B381="",COUNT(DB_Colleges!I375:O375)=0),"",INDEX({"ED","ED II","EA","EA II","REA","RD","Priority"},MATCH(MIN(DB_Colleges!I375:O375),DB_Colleges!I375:O375,0)))</f>
        <v/>
      </c>
      <c r="K381" s="29" t="str">
        <f aca="false">IF(OR(B381="",NOT(ISNUMBER(DB_Colleges!N375))),"",DB_Colleges!N375)</f>
        <v/>
      </c>
      <c r="L381" s="26" t="str">
        <f aca="false">IF(B381="","",DB_Colleges!G375&amp;"")</f>
        <v/>
      </c>
      <c r="M381" s="30" t="str">
        <f aca="false">IF(OR(B381="",NOT(ISNUMBER(DB_Colleges!S375))),"",DB_Colleges!S375)</f>
        <v/>
      </c>
      <c r="N381" s="26" t="str">
        <f aca="false">IF(B381="","",DB_Colleges!U375&amp;"")</f>
        <v/>
      </c>
      <c r="O381" s="26" t="str">
        <f aca="false">IF(B381="","",IF(ISNUMBER(DB_Colleges!AH375),DB_Colleges!AH375,"Check"))</f>
        <v/>
      </c>
      <c r="P381" s="26" t="str">
        <f aca="false">IF(B381="","",DB_Colleges!W375&amp;"")</f>
        <v/>
      </c>
      <c r="Q381" s="30" t="str">
        <f aca="false">IF(OR(B381="",NOT(ISNUMBER(DB_Colleges!AF375))),"",DB_Colleges!AF375)</f>
        <v/>
      </c>
      <c r="R381" s="28" t="str">
        <f aca="false">IF(OR(B381="",NOT(ISNUMBER(DB_Colleges!AG375))),"",DB_Colleges!AG375)</f>
        <v/>
      </c>
      <c r="S381" s="26" t="str">
        <f aca="false">IF(B381="","",DB_Colleges!AK375&amp;"")</f>
        <v/>
      </c>
      <c r="T381" s="26" t="str">
        <f aca="false">IF(B381="","",DB_Colleges!AI375&amp;"")</f>
        <v/>
      </c>
      <c r="U381" s="1" t="str">
        <f aca="false">IF(AND(ISNUMBER($X$4),ISNUMBER(DB_Colleges!Z375),ISNUMBER(DB_Colleges!AA375)),IF($X$4&gt;=DB_Colleges!AA375,1,IF($X$4&lt;DB_Colleges!Z375,-1,0)),"")</f>
        <v/>
      </c>
      <c r="V381" s="1" t="str">
        <f aca="false">IF(AND(ISNUMBER($Y$4),ISNUMBER(DB_Colleges!AD375)),IF($Y$4&gt;=DB_Colleges!AD375+0.15,1,IF($Y$4&lt;DB_Colleges!AD375-0.2,-1,0)),"")</f>
        <v/>
      </c>
      <c r="W381" s="1" t="n">
        <f aca="false">IF(COUNT(U381:V381)=0,0,MIN(U381:V381))</f>
        <v>0</v>
      </c>
    </row>
    <row r="382" customFormat="false" ht="15" hidden="false" customHeight="true" outlineLevel="0" collapsed="false">
      <c r="A382" s="26" t="str">
        <f aca="false">IF(B382="","",IF(COUNTIF('My Colleges'!$B$8:$B$27,B382)&gt;0,"On list",""))</f>
        <v/>
      </c>
      <c r="B382" s="27" t="str">
        <f aca="false">IF(DB_Colleges!A376="","",DB_Colleges!A376)</f>
        <v/>
      </c>
      <c r="C382" s="26" t="str">
        <f aca="false">IF(B382="","",DB_Colleges!B376)</f>
        <v/>
      </c>
      <c r="D382" s="26" t="str">
        <f aca="false">IF(B382="","",DB_Colleges!C376&amp;", "&amp;DB_Colleges!D376)</f>
        <v/>
      </c>
      <c r="E382" s="26" t="str">
        <f aca="false">IF(B382="","",IF(AND(NOT(ISNUMBER($X$4)),NOT(ISNUMBER($Y$4))),"Add scores",IF(NOT(ISNUMBER(DB_Colleges!Y376)),IF(OR(C382="Ivy League",C382="Highly Selective"),"Reach",IF(COUNT(U382:V382)=0,"No data",CHOOSE(W382+2,"Reach","Target","Likely"))),IF(DB_Colleges!Y376&lt;0.15,"Reach",IF(DB_Colleges!Y376&gt;=0.75,IF(W382&gt;=0,"Likely","Target"),IF(DB_Colleges!Y376&gt;=0.4,CHOOSE(W382+2,"Reach","Target","Likely"),IF(W382=1,"Target","Reach")))))))</f>
        <v/>
      </c>
      <c r="F382" s="28" t="str">
        <f aca="false">IF(OR(B382="",NOT(ISNUMBER(DB_Colleges!Y376))),"",DB_Colleges!Y376)</f>
        <v/>
      </c>
      <c r="G382" s="26" t="str">
        <f aca="false">IF(OR(B382="",NOT(ISNUMBER(DB_Colleges!Z376))),"",DB_Colleges!Z376&amp;"-"&amp;DB_Colleges!AA376)</f>
        <v/>
      </c>
      <c r="H382" s="26" t="str">
        <f aca="false">IF(OR(B382="",NOT(ISNUMBER(DB_Colleges!AD376))),"",DB_Colleges!AD376)</f>
        <v/>
      </c>
      <c r="I382" s="29" t="str">
        <f aca="false">IF(B382="","",IF(COUNT(DB_Colleges!I376:O376)=0,IF(DB_Colleges!P376="Yes","Rolling","Check site"),MIN(DB_Colleges!I376:O376)))</f>
        <v/>
      </c>
      <c r="J382" s="26" t="str">
        <f aca="false">IF(OR(B382="",COUNT(DB_Colleges!I376:O376)=0),"",INDEX({"ED","ED II","EA","EA II","REA","RD","Priority"},MATCH(MIN(DB_Colleges!I376:O376),DB_Colleges!I376:O376,0)))</f>
        <v/>
      </c>
      <c r="K382" s="29" t="str">
        <f aca="false">IF(OR(B382="",NOT(ISNUMBER(DB_Colleges!N376))),"",DB_Colleges!N376)</f>
        <v/>
      </c>
      <c r="L382" s="26" t="str">
        <f aca="false">IF(B382="","",DB_Colleges!G376&amp;"")</f>
        <v/>
      </c>
      <c r="M382" s="30" t="str">
        <f aca="false">IF(OR(B382="",NOT(ISNUMBER(DB_Colleges!S376))),"",DB_Colleges!S376)</f>
        <v/>
      </c>
      <c r="N382" s="26" t="str">
        <f aca="false">IF(B382="","",DB_Colleges!U376&amp;"")</f>
        <v/>
      </c>
      <c r="O382" s="26" t="str">
        <f aca="false">IF(B382="","",IF(ISNUMBER(DB_Colleges!AH376),DB_Colleges!AH376,"Check"))</f>
        <v/>
      </c>
      <c r="P382" s="26" t="str">
        <f aca="false">IF(B382="","",DB_Colleges!W376&amp;"")</f>
        <v/>
      </c>
      <c r="Q382" s="30" t="str">
        <f aca="false">IF(OR(B382="",NOT(ISNUMBER(DB_Colleges!AF376))),"",DB_Colleges!AF376)</f>
        <v/>
      </c>
      <c r="R382" s="28" t="str">
        <f aca="false">IF(OR(B382="",NOT(ISNUMBER(DB_Colleges!AG376))),"",DB_Colleges!AG376)</f>
        <v/>
      </c>
      <c r="S382" s="26" t="str">
        <f aca="false">IF(B382="","",DB_Colleges!AK376&amp;"")</f>
        <v/>
      </c>
      <c r="T382" s="26" t="str">
        <f aca="false">IF(B382="","",DB_Colleges!AI376&amp;"")</f>
        <v/>
      </c>
      <c r="U382" s="1" t="str">
        <f aca="false">IF(AND(ISNUMBER($X$4),ISNUMBER(DB_Colleges!Z376),ISNUMBER(DB_Colleges!AA376)),IF($X$4&gt;=DB_Colleges!AA376,1,IF($X$4&lt;DB_Colleges!Z376,-1,0)),"")</f>
        <v/>
      </c>
      <c r="V382" s="1" t="str">
        <f aca="false">IF(AND(ISNUMBER($Y$4),ISNUMBER(DB_Colleges!AD376)),IF($Y$4&gt;=DB_Colleges!AD376+0.15,1,IF($Y$4&lt;DB_Colleges!AD376-0.2,-1,0)),"")</f>
        <v/>
      </c>
      <c r="W382" s="1" t="n">
        <f aca="false">IF(COUNT(U382:V382)=0,0,MIN(U382:V382))</f>
        <v>0</v>
      </c>
    </row>
    <row r="383" customFormat="false" ht="15" hidden="false" customHeight="true" outlineLevel="0" collapsed="false">
      <c r="A383" s="26" t="str">
        <f aca="false">IF(B383="","",IF(COUNTIF('My Colleges'!$B$8:$B$27,B383)&gt;0,"On list",""))</f>
        <v/>
      </c>
      <c r="B383" s="27" t="str">
        <f aca="false">IF(DB_Colleges!A377="","",DB_Colleges!A377)</f>
        <v/>
      </c>
      <c r="C383" s="26" t="str">
        <f aca="false">IF(B383="","",DB_Colleges!B377)</f>
        <v/>
      </c>
      <c r="D383" s="26" t="str">
        <f aca="false">IF(B383="","",DB_Colleges!C377&amp;", "&amp;DB_Colleges!D377)</f>
        <v/>
      </c>
      <c r="E383" s="26" t="str">
        <f aca="false">IF(B383="","",IF(AND(NOT(ISNUMBER($X$4)),NOT(ISNUMBER($Y$4))),"Add scores",IF(NOT(ISNUMBER(DB_Colleges!Y377)),IF(OR(C383="Ivy League",C383="Highly Selective"),"Reach",IF(COUNT(U383:V383)=0,"No data",CHOOSE(W383+2,"Reach","Target","Likely"))),IF(DB_Colleges!Y377&lt;0.15,"Reach",IF(DB_Colleges!Y377&gt;=0.75,IF(W383&gt;=0,"Likely","Target"),IF(DB_Colleges!Y377&gt;=0.4,CHOOSE(W383+2,"Reach","Target","Likely"),IF(W383=1,"Target","Reach")))))))</f>
        <v/>
      </c>
      <c r="F383" s="28" t="str">
        <f aca="false">IF(OR(B383="",NOT(ISNUMBER(DB_Colleges!Y377))),"",DB_Colleges!Y377)</f>
        <v/>
      </c>
      <c r="G383" s="26" t="str">
        <f aca="false">IF(OR(B383="",NOT(ISNUMBER(DB_Colleges!Z377))),"",DB_Colleges!Z377&amp;"-"&amp;DB_Colleges!AA377)</f>
        <v/>
      </c>
      <c r="H383" s="26" t="str">
        <f aca="false">IF(OR(B383="",NOT(ISNUMBER(DB_Colleges!AD377))),"",DB_Colleges!AD377)</f>
        <v/>
      </c>
      <c r="I383" s="29" t="str">
        <f aca="false">IF(B383="","",IF(COUNT(DB_Colleges!I377:O377)=0,IF(DB_Colleges!P377="Yes","Rolling","Check site"),MIN(DB_Colleges!I377:O377)))</f>
        <v/>
      </c>
      <c r="J383" s="26" t="str">
        <f aca="false">IF(OR(B383="",COUNT(DB_Colleges!I377:O377)=0),"",INDEX({"ED","ED II","EA","EA II","REA","RD","Priority"},MATCH(MIN(DB_Colleges!I377:O377),DB_Colleges!I377:O377,0)))</f>
        <v/>
      </c>
      <c r="K383" s="29" t="str">
        <f aca="false">IF(OR(B383="",NOT(ISNUMBER(DB_Colleges!N377))),"",DB_Colleges!N377)</f>
        <v/>
      </c>
      <c r="L383" s="26" t="str">
        <f aca="false">IF(B383="","",DB_Colleges!G377&amp;"")</f>
        <v/>
      </c>
      <c r="M383" s="30" t="str">
        <f aca="false">IF(OR(B383="",NOT(ISNUMBER(DB_Colleges!S377))),"",DB_Colleges!S377)</f>
        <v/>
      </c>
      <c r="N383" s="26" t="str">
        <f aca="false">IF(B383="","",DB_Colleges!U377&amp;"")</f>
        <v/>
      </c>
      <c r="O383" s="26" t="str">
        <f aca="false">IF(B383="","",IF(ISNUMBER(DB_Colleges!AH377),DB_Colleges!AH377,"Check"))</f>
        <v/>
      </c>
      <c r="P383" s="26" t="str">
        <f aca="false">IF(B383="","",DB_Colleges!W377&amp;"")</f>
        <v/>
      </c>
      <c r="Q383" s="30" t="str">
        <f aca="false">IF(OR(B383="",NOT(ISNUMBER(DB_Colleges!AF377))),"",DB_Colleges!AF377)</f>
        <v/>
      </c>
      <c r="R383" s="28" t="str">
        <f aca="false">IF(OR(B383="",NOT(ISNUMBER(DB_Colleges!AG377))),"",DB_Colleges!AG377)</f>
        <v/>
      </c>
      <c r="S383" s="26" t="str">
        <f aca="false">IF(B383="","",DB_Colleges!AK377&amp;"")</f>
        <v/>
      </c>
      <c r="T383" s="26" t="str">
        <f aca="false">IF(B383="","",DB_Colleges!AI377&amp;"")</f>
        <v/>
      </c>
      <c r="U383" s="1" t="str">
        <f aca="false">IF(AND(ISNUMBER($X$4),ISNUMBER(DB_Colleges!Z377),ISNUMBER(DB_Colleges!AA377)),IF($X$4&gt;=DB_Colleges!AA377,1,IF($X$4&lt;DB_Colleges!Z377,-1,0)),"")</f>
        <v/>
      </c>
      <c r="V383" s="1" t="str">
        <f aca="false">IF(AND(ISNUMBER($Y$4),ISNUMBER(DB_Colleges!AD377)),IF($Y$4&gt;=DB_Colleges!AD377+0.15,1,IF($Y$4&lt;DB_Colleges!AD377-0.2,-1,0)),"")</f>
        <v/>
      </c>
      <c r="W383" s="1" t="n">
        <f aca="false">IF(COUNT(U383:V383)=0,0,MIN(U383:V383))</f>
        <v>0</v>
      </c>
    </row>
    <row r="384" customFormat="false" ht="15" hidden="false" customHeight="true" outlineLevel="0" collapsed="false">
      <c r="A384" s="26" t="str">
        <f aca="false">IF(B384="","",IF(COUNTIF('My Colleges'!$B$8:$B$27,B384)&gt;0,"On list",""))</f>
        <v/>
      </c>
      <c r="B384" s="27" t="str">
        <f aca="false">IF(DB_Colleges!A378="","",DB_Colleges!A378)</f>
        <v/>
      </c>
      <c r="C384" s="26" t="str">
        <f aca="false">IF(B384="","",DB_Colleges!B378)</f>
        <v/>
      </c>
      <c r="D384" s="26" t="str">
        <f aca="false">IF(B384="","",DB_Colleges!C378&amp;", "&amp;DB_Colleges!D378)</f>
        <v/>
      </c>
      <c r="E384" s="26" t="str">
        <f aca="false">IF(B384="","",IF(AND(NOT(ISNUMBER($X$4)),NOT(ISNUMBER($Y$4))),"Add scores",IF(NOT(ISNUMBER(DB_Colleges!Y378)),IF(OR(C384="Ivy League",C384="Highly Selective"),"Reach",IF(COUNT(U384:V384)=0,"No data",CHOOSE(W384+2,"Reach","Target","Likely"))),IF(DB_Colleges!Y378&lt;0.15,"Reach",IF(DB_Colleges!Y378&gt;=0.75,IF(W384&gt;=0,"Likely","Target"),IF(DB_Colleges!Y378&gt;=0.4,CHOOSE(W384+2,"Reach","Target","Likely"),IF(W384=1,"Target","Reach")))))))</f>
        <v/>
      </c>
      <c r="F384" s="28" t="str">
        <f aca="false">IF(OR(B384="",NOT(ISNUMBER(DB_Colleges!Y378))),"",DB_Colleges!Y378)</f>
        <v/>
      </c>
      <c r="G384" s="26" t="str">
        <f aca="false">IF(OR(B384="",NOT(ISNUMBER(DB_Colleges!Z378))),"",DB_Colleges!Z378&amp;"-"&amp;DB_Colleges!AA378)</f>
        <v/>
      </c>
      <c r="H384" s="26" t="str">
        <f aca="false">IF(OR(B384="",NOT(ISNUMBER(DB_Colleges!AD378))),"",DB_Colleges!AD378)</f>
        <v/>
      </c>
      <c r="I384" s="29" t="str">
        <f aca="false">IF(B384="","",IF(COUNT(DB_Colleges!I378:O378)=0,IF(DB_Colleges!P378="Yes","Rolling","Check site"),MIN(DB_Colleges!I378:O378)))</f>
        <v/>
      </c>
      <c r="J384" s="26" t="str">
        <f aca="false">IF(OR(B384="",COUNT(DB_Colleges!I378:O378)=0),"",INDEX({"ED","ED II","EA","EA II","REA","RD","Priority"},MATCH(MIN(DB_Colleges!I378:O378),DB_Colleges!I378:O378,0)))</f>
        <v/>
      </c>
      <c r="K384" s="29" t="str">
        <f aca="false">IF(OR(B384="",NOT(ISNUMBER(DB_Colleges!N378))),"",DB_Colleges!N378)</f>
        <v/>
      </c>
      <c r="L384" s="26" t="str">
        <f aca="false">IF(B384="","",DB_Colleges!G378&amp;"")</f>
        <v/>
      </c>
      <c r="M384" s="30" t="str">
        <f aca="false">IF(OR(B384="",NOT(ISNUMBER(DB_Colleges!S378))),"",DB_Colleges!S378)</f>
        <v/>
      </c>
      <c r="N384" s="26" t="str">
        <f aca="false">IF(B384="","",DB_Colleges!U378&amp;"")</f>
        <v/>
      </c>
      <c r="O384" s="26" t="str">
        <f aca="false">IF(B384="","",IF(ISNUMBER(DB_Colleges!AH378),DB_Colleges!AH378,"Check"))</f>
        <v/>
      </c>
      <c r="P384" s="26" t="str">
        <f aca="false">IF(B384="","",DB_Colleges!W378&amp;"")</f>
        <v/>
      </c>
      <c r="Q384" s="30" t="str">
        <f aca="false">IF(OR(B384="",NOT(ISNUMBER(DB_Colleges!AF378))),"",DB_Colleges!AF378)</f>
        <v/>
      </c>
      <c r="R384" s="28" t="str">
        <f aca="false">IF(OR(B384="",NOT(ISNUMBER(DB_Colleges!AG378))),"",DB_Colleges!AG378)</f>
        <v/>
      </c>
      <c r="S384" s="26" t="str">
        <f aca="false">IF(B384="","",DB_Colleges!AK378&amp;"")</f>
        <v/>
      </c>
      <c r="T384" s="26" t="str">
        <f aca="false">IF(B384="","",DB_Colleges!AI378&amp;"")</f>
        <v/>
      </c>
      <c r="U384" s="1" t="str">
        <f aca="false">IF(AND(ISNUMBER($X$4),ISNUMBER(DB_Colleges!Z378),ISNUMBER(DB_Colleges!AA378)),IF($X$4&gt;=DB_Colleges!AA378,1,IF($X$4&lt;DB_Colleges!Z378,-1,0)),"")</f>
        <v/>
      </c>
      <c r="V384" s="1" t="str">
        <f aca="false">IF(AND(ISNUMBER($Y$4),ISNUMBER(DB_Colleges!AD378)),IF($Y$4&gt;=DB_Colleges!AD378+0.15,1,IF($Y$4&lt;DB_Colleges!AD378-0.2,-1,0)),"")</f>
        <v/>
      </c>
      <c r="W384" s="1" t="n">
        <f aca="false">IF(COUNT(U384:V384)=0,0,MIN(U384:V384))</f>
        <v>0</v>
      </c>
    </row>
    <row r="385" customFormat="false" ht="15" hidden="false" customHeight="true" outlineLevel="0" collapsed="false">
      <c r="A385" s="26" t="str">
        <f aca="false">IF(B385="","",IF(COUNTIF('My Colleges'!$B$8:$B$27,B385)&gt;0,"On list",""))</f>
        <v/>
      </c>
      <c r="B385" s="27" t="str">
        <f aca="false">IF(DB_Colleges!A379="","",DB_Colleges!A379)</f>
        <v/>
      </c>
      <c r="C385" s="26" t="str">
        <f aca="false">IF(B385="","",DB_Colleges!B379)</f>
        <v/>
      </c>
      <c r="D385" s="26" t="str">
        <f aca="false">IF(B385="","",DB_Colleges!C379&amp;", "&amp;DB_Colleges!D379)</f>
        <v/>
      </c>
      <c r="E385" s="26" t="str">
        <f aca="false">IF(B385="","",IF(AND(NOT(ISNUMBER($X$4)),NOT(ISNUMBER($Y$4))),"Add scores",IF(NOT(ISNUMBER(DB_Colleges!Y379)),IF(OR(C385="Ivy League",C385="Highly Selective"),"Reach",IF(COUNT(U385:V385)=0,"No data",CHOOSE(W385+2,"Reach","Target","Likely"))),IF(DB_Colleges!Y379&lt;0.15,"Reach",IF(DB_Colleges!Y379&gt;=0.75,IF(W385&gt;=0,"Likely","Target"),IF(DB_Colleges!Y379&gt;=0.4,CHOOSE(W385+2,"Reach","Target","Likely"),IF(W385=1,"Target","Reach")))))))</f>
        <v/>
      </c>
      <c r="F385" s="28" t="str">
        <f aca="false">IF(OR(B385="",NOT(ISNUMBER(DB_Colleges!Y379))),"",DB_Colleges!Y379)</f>
        <v/>
      </c>
      <c r="G385" s="26" t="str">
        <f aca="false">IF(OR(B385="",NOT(ISNUMBER(DB_Colleges!Z379))),"",DB_Colleges!Z379&amp;"-"&amp;DB_Colleges!AA379)</f>
        <v/>
      </c>
      <c r="H385" s="26" t="str">
        <f aca="false">IF(OR(B385="",NOT(ISNUMBER(DB_Colleges!AD379))),"",DB_Colleges!AD379)</f>
        <v/>
      </c>
      <c r="I385" s="29" t="str">
        <f aca="false">IF(B385="","",IF(COUNT(DB_Colleges!I379:O379)=0,IF(DB_Colleges!P379="Yes","Rolling","Check site"),MIN(DB_Colleges!I379:O379)))</f>
        <v/>
      </c>
      <c r="J385" s="26" t="str">
        <f aca="false">IF(OR(B385="",COUNT(DB_Colleges!I379:O379)=0),"",INDEX({"ED","ED II","EA","EA II","REA","RD","Priority"},MATCH(MIN(DB_Colleges!I379:O379),DB_Colleges!I379:O379,0)))</f>
        <v/>
      </c>
      <c r="K385" s="29" t="str">
        <f aca="false">IF(OR(B385="",NOT(ISNUMBER(DB_Colleges!N379))),"",DB_Colleges!N379)</f>
        <v/>
      </c>
      <c r="L385" s="26" t="str">
        <f aca="false">IF(B385="","",DB_Colleges!G379&amp;"")</f>
        <v/>
      </c>
      <c r="M385" s="30" t="str">
        <f aca="false">IF(OR(B385="",NOT(ISNUMBER(DB_Colleges!S379))),"",DB_Colleges!S379)</f>
        <v/>
      </c>
      <c r="N385" s="26" t="str">
        <f aca="false">IF(B385="","",DB_Colleges!U379&amp;"")</f>
        <v/>
      </c>
      <c r="O385" s="26" t="str">
        <f aca="false">IF(B385="","",IF(ISNUMBER(DB_Colleges!AH379),DB_Colleges!AH379,"Check"))</f>
        <v/>
      </c>
      <c r="P385" s="26" t="str">
        <f aca="false">IF(B385="","",DB_Colleges!W379&amp;"")</f>
        <v/>
      </c>
      <c r="Q385" s="30" t="str">
        <f aca="false">IF(OR(B385="",NOT(ISNUMBER(DB_Colleges!AF379))),"",DB_Colleges!AF379)</f>
        <v/>
      </c>
      <c r="R385" s="28" t="str">
        <f aca="false">IF(OR(B385="",NOT(ISNUMBER(DB_Colleges!AG379))),"",DB_Colleges!AG379)</f>
        <v/>
      </c>
      <c r="S385" s="26" t="str">
        <f aca="false">IF(B385="","",DB_Colleges!AK379&amp;"")</f>
        <v/>
      </c>
      <c r="T385" s="26" t="str">
        <f aca="false">IF(B385="","",DB_Colleges!AI379&amp;"")</f>
        <v/>
      </c>
      <c r="U385" s="1" t="str">
        <f aca="false">IF(AND(ISNUMBER($X$4),ISNUMBER(DB_Colleges!Z379),ISNUMBER(DB_Colleges!AA379)),IF($X$4&gt;=DB_Colleges!AA379,1,IF($X$4&lt;DB_Colleges!Z379,-1,0)),"")</f>
        <v/>
      </c>
      <c r="V385" s="1" t="str">
        <f aca="false">IF(AND(ISNUMBER($Y$4),ISNUMBER(DB_Colleges!AD379)),IF($Y$4&gt;=DB_Colleges!AD379+0.15,1,IF($Y$4&lt;DB_Colleges!AD379-0.2,-1,0)),"")</f>
        <v/>
      </c>
      <c r="W385" s="1" t="n">
        <f aca="false">IF(COUNT(U385:V385)=0,0,MIN(U385:V385))</f>
        <v>0</v>
      </c>
    </row>
    <row r="386" customFormat="false" ht="15" hidden="false" customHeight="true" outlineLevel="0" collapsed="false">
      <c r="A386" s="26" t="str">
        <f aca="false">IF(B386="","",IF(COUNTIF('My Colleges'!$B$8:$B$27,B386)&gt;0,"On list",""))</f>
        <v/>
      </c>
      <c r="B386" s="27" t="str">
        <f aca="false">IF(DB_Colleges!A380="","",DB_Colleges!A380)</f>
        <v/>
      </c>
      <c r="C386" s="26" t="str">
        <f aca="false">IF(B386="","",DB_Colleges!B380)</f>
        <v/>
      </c>
      <c r="D386" s="26" t="str">
        <f aca="false">IF(B386="","",DB_Colleges!C380&amp;", "&amp;DB_Colleges!D380)</f>
        <v/>
      </c>
      <c r="E386" s="26" t="str">
        <f aca="false">IF(B386="","",IF(AND(NOT(ISNUMBER($X$4)),NOT(ISNUMBER($Y$4))),"Add scores",IF(NOT(ISNUMBER(DB_Colleges!Y380)),IF(OR(C386="Ivy League",C386="Highly Selective"),"Reach",IF(COUNT(U386:V386)=0,"No data",CHOOSE(W386+2,"Reach","Target","Likely"))),IF(DB_Colleges!Y380&lt;0.15,"Reach",IF(DB_Colleges!Y380&gt;=0.75,IF(W386&gt;=0,"Likely","Target"),IF(DB_Colleges!Y380&gt;=0.4,CHOOSE(W386+2,"Reach","Target","Likely"),IF(W386=1,"Target","Reach")))))))</f>
        <v/>
      </c>
      <c r="F386" s="28" t="str">
        <f aca="false">IF(OR(B386="",NOT(ISNUMBER(DB_Colleges!Y380))),"",DB_Colleges!Y380)</f>
        <v/>
      </c>
      <c r="G386" s="26" t="str">
        <f aca="false">IF(OR(B386="",NOT(ISNUMBER(DB_Colleges!Z380))),"",DB_Colleges!Z380&amp;"-"&amp;DB_Colleges!AA380)</f>
        <v/>
      </c>
      <c r="H386" s="26" t="str">
        <f aca="false">IF(OR(B386="",NOT(ISNUMBER(DB_Colleges!AD380))),"",DB_Colleges!AD380)</f>
        <v/>
      </c>
      <c r="I386" s="29" t="str">
        <f aca="false">IF(B386="","",IF(COUNT(DB_Colleges!I380:O380)=0,IF(DB_Colleges!P380="Yes","Rolling","Check site"),MIN(DB_Colleges!I380:O380)))</f>
        <v/>
      </c>
      <c r="J386" s="26" t="str">
        <f aca="false">IF(OR(B386="",COUNT(DB_Colleges!I380:O380)=0),"",INDEX({"ED","ED II","EA","EA II","REA","RD","Priority"},MATCH(MIN(DB_Colleges!I380:O380),DB_Colleges!I380:O380,0)))</f>
        <v/>
      </c>
      <c r="K386" s="29" t="str">
        <f aca="false">IF(OR(B386="",NOT(ISNUMBER(DB_Colleges!N380))),"",DB_Colleges!N380)</f>
        <v/>
      </c>
      <c r="L386" s="26" t="str">
        <f aca="false">IF(B386="","",DB_Colleges!G380&amp;"")</f>
        <v/>
      </c>
      <c r="M386" s="30" t="str">
        <f aca="false">IF(OR(B386="",NOT(ISNUMBER(DB_Colleges!S380))),"",DB_Colleges!S380)</f>
        <v/>
      </c>
      <c r="N386" s="26" t="str">
        <f aca="false">IF(B386="","",DB_Colleges!U380&amp;"")</f>
        <v/>
      </c>
      <c r="O386" s="26" t="str">
        <f aca="false">IF(B386="","",IF(ISNUMBER(DB_Colleges!AH380),DB_Colleges!AH380,"Check"))</f>
        <v/>
      </c>
      <c r="P386" s="26" t="str">
        <f aca="false">IF(B386="","",DB_Colleges!W380&amp;"")</f>
        <v/>
      </c>
      <c r="Q386" s="30" t="str">
        <f aca="false">IF(OR(B386="",NOT(ISNUMBER(DB_Colleges!AF380))),"",DB_Colleges!AF380)</f>
        <v/>
      </c>
      <c r="R386" s="28" t="str">
        <f aca="false">IF(OR(B386="",NOT(ISNUMBER(DB_Colleges!AG380))),"",DB_Colleges!AG380)</f>
        <v/>
      </c>
      <c r="S386" s="26" t="str">
        <f aca="false">IF(B386="","",DB_Colleges!AK380&amp;"")</f>
        <v/>
      </c>
      <c r="T386" s="26" t="str">
        <f aca="false">IF(B386="","",DB_Colleges!AI380&amp;"")</f>
        <v/>
      </c>
      <c r="U386" s="1" t="str">
        <f aca="false">IF(AND(ISNUMBER($X$4),ISNUMBER(DB_Colleges!Z380),ISNUMBER(DB_Colleges!AA380)),IF($X$4&gt;=DB_Colleges!AA380,1,IF($X$4&lt;DB_Colleges!Z380,-1,0)),"")</f>
        <v/>
      </c>
      <c r="V386" s="1" t="str">
        <f aca="false">IF(AND(ISNUMBER($Y$4),ISNUMBER(DB_Colleges!AD380)),IF($Y$4&gt;=DB_Colleges!AD380+0.15,1,IF($Y$4&lt;DB_Colleges!AD380-0.2,-1,0)),"")</f>
        <v/>
      </c>
      <c r="W386" s="1" t="n">
        <f aca="false">IF(COUNT(U386:V386)=0,0,MIN(U386:V386))</f>
        <v>0</v>
      </c>
    </row>
    <row r="387" customFormat="false" ht="15" hidden="false" customHeight="true" outlineLevel="0" collapsed="false">
      <c r="A387" s="26" t="str">
        <f aca="false">IF(B387="","",IF(COUNTIF('My Colleges'!$B$8:$B$27,B387)&gt;0,"On list",""))</f>
        <v/>
      </c>
      <c r="B387" s="27" t="str">
        <f aca="false">IF(DB_Colleges!A381="","",DB_Colleges!A381)</f>
        <v/>
      </c>
      <c r="C387" s="26" t="str">
        <f aca="false">IF(B387="","",DB_Colleges!B381)</f>
        <v/>
      </c>
      <c r="D387" s="26" t="str">
        <f aca="false">IF(B387="","",DB_Colleges!C381&amp;", "&amp;DB_Colleges!D381)</f>
        <v/>
      </c>
      <c r="E387" s="26" t="str">
        <f aca="false">IF(B387="","",IF(AND(NOT(ISNUMBER($X$4)),NOT(ISNUMBER($Y$4))),"Add scores",IF(NOT(ISNUMBER(DB_Colleges!Y381)),IF(OR(C387="Ivy League",C387="Highly Selective"),"Reach",IF(COUNT(U387:V387)=0,"No data",CHOOSE(W387+2,"Reach","Target","Likely"))),IF(DB_Colleges!Y381&lt;0.15,"Reach",IF(DB_Colleges!Y381&gt;=0.75,IF(W387&gt;=0,"Likely","Target"),IF(DB_Colleges!Y381&gt;=0.4,CHOOSE(W387+2,"Reach","Target","Likely"),IF(W387=1,"Target","Reach")))))))</f>
        <v/>
      </c>
      <c r="F387" s="28" t="str">
        <f aca="false">IF(OR(B387="",NOT(ISNUMBER(DB_Colleges!Y381))),"",DB_Colleges!Y381)</f>
        <v/>
      </c>
      <c r="G387" s="26" t="str">
        <f aca="false">IF(OR(B387="",NOT(ISNUMBER(DB_Colleges!Z381))),"",DB_Colleges!Z381&amp;"-"&amp;DB_Colleges!AA381)</f>
        <v/>
      </c>
      <c r="H387" s="26" t="str">
        <f aca="false">IF(OR(B387="",NOT(ISNUMBER(DB_Colleges!AD381))),"",DB_Colleges!AD381)</f>
        <v/>
      </c>
      <c r="I387" s="29" t="str">
        <f aca="false">IF(B387="","",IF(COUNT(DB_Colleges!I381:O381)=0,IF(DB_Colleges!P381="Yes","Rolling","Check site"),MIN(DB_Colleges!I381:O381)))</f>
        <v/>
      </c>
      <c r="J387" s="26" t="str">
        <f aca="false">IF(OR(B387="",COUNT(DB_Colleges!I381:O381)=0),"",INDEX({"ED","ED II","EA","EA II","REA","RD","Priority"},MATCH(MIN(DB_Colleges!I381:O381),DB_Colleges!I381:O381,0)))</f>
        <v/>
      </c>
      <c r="K387" s="29" t="str">
        <f aca="false">IF(OR(B387="",NOT(ISNUMBER(DB_Colleges!N381))),"",DB_Colleges!N381)</f>
        <v/>
      </c>
      <c r="L387" s="26" t="str">
        <f aca="false">IF(B387="","",DB_Colleges!G381&amp;"")</f>
        <v/>
      </c>
      <c r="M387" s="30" t="str">
        <f aca="false">IF(OR(B387="",NOT(ISNUMBER(DB_Colleges!S381))),"",DB_Colleges!S381)</f>
        <v/>
      </c>
      <c r="N387" s="26" t="str">
        <f aca="false">IF(B387="","",DB_Colleges!U381&amp;"")</f>
        <v/>
      </c>
      <c r="O387" s="26" t="str">
        <f aca="false">IF(B387="","",IF(ISNUMBER(DB_Colleges!AH381),DB_Colleges!AH381,"Check"))</f>
        <v/>
      </c>
      <c r="P387" s="26" t="str">
        <f aca="false">IF(B387="","",DB_Colleges!W381&amp;"")</f>
        <v/>
      </c>
      <c r="Q387" s="30" t="str">
        <f aca="false">IF(OR(B387="",NOT(ISNUMBER(DB_Colleges!AF381))),"",DB_Colleges!AF381)</f>
        <v/>
      </c>
      <c r="R387" s="28" t="str">
        <f aca="false">IF(OR(B387="",NOT(ISNUMBER(DB_Colleges!AG381))),"",DB_Colleges!AG381)</f>
        <v/>
      </c>
      <c r="S387" s="26" t="str">
        <f aca="false">IF(B387="","",DB_Colleges!AK381&amp;"")</f>
        <v/>
      </c>
      <c r="T387" s="26" t="str">
        <f aca="false">IF(B387="","",DB_Colleges!AI381&amp;"")</f>
        <v/>
      </c>
      <c r="U387" s="1" t="str">
        <f aca="false">IF(AND(ISNUMBER($X$4),ISNUMBER(DB_Colleges!Z381),ISNUMBER(DB_Colleges!AA381)),IF($X$4&gt;=DB_Colleges!AA381,1,IF($X$4&lt;DB_Colleges!Z381,-1,0)),"")</f>
        <v/>
      </c>
      <c r="V387" s="1" t="str">
        <f aca="false">IF(AND(ISNUMBER($Y$4),ISNUMBER(DB_Colleges!AD381)),IF($Y$4&gt;=DB_Colleges!AD381+0.15,1,IF($Y$4&lt;DB_Colleges!AD381-0.2,-1,0)),"")</f>
        <v/>
      </c>
      <c r="W387" s="1" t="n">
        <f aca="false">IF(COUNT(U387:V387)=0,0,MIN(U387:V387))</f>
        <v>0</v>
      </c>
    </row>
    <row r="388" customFormat="false" ht="15" hidden="false" customHeight="true" outlineLevel="0" collapsed="false">
      <c r="A388" s="26" t="str">
        <f aca="false">IF(B388="","",IF(COUNTIF('My Colleges'!$B$8:$B$27,B388)&gt;0,"On list",""))</f>
        <v/>
      </c>
      <c r="B388" s="27" t="str">
        <f aca="false">IF(DB_Colleges!A382="","",DB_Colleges!A382)</f>
        <v/>
      </c>
      <c r="C388" s="26" t="str">
        <f aca="false">IF(B388="","",DB_Colleges!B382)</f>
        <v/>
      </c>
      <c r="D388" s="26" t="str">
        <f aca="false">IF(B388="","",DB_Colleges!C382&amp;", "&amp;DB_Colleges!D382)</f>
        <v/>
      </c>
      <c r="E388" s="26" t="str">
        <f aca="false">IF(B388="","",IF(AND(NOT(ISNUMBER($X$4)),NOT(ISNUMBER($Y$4))),"Add scores",IF(NOT(ISNUMBER(DB_Colleges!Y382)),IF(OR(C388="Ivy League",C388="Highly Selective"),"Reach",IF(COUNT(U388:V388)=0,"No data",CHOOSE(W388+2,"Reach","Target","Likely"))),IF(DB_Colleges!Y382&lt;0.15,"Reach",IF(DB_Colleges!Y382&gt;=0.75,IF(W388&gt;=0,"Likely","Target"),IF(DB_Colleges!Y382&gt;=0.4,CHOOSE(W388+2,"Reach","Target","Likely"),IF(W388=1,"Target","Reach")))))))</f>
        <v/>
      </c>
      <c r="F388" s="28" t="str">
        <f aca="false">IF(OR(B388="",NOT(ISNUMBER(DB_Colleges!Y382))),"",DB_Colleges!Y382)</f>
        <v/>
      </c>
      <c r="G388" s="26" t="str">
        <f aca="false">IF(OR(B388="",NOT(ISNUMBER(DB_Colleges!Z382))),"",DB_Colleges!Z382&amp;"-"&amp;DB_Colleges!AA382)</f>
        <v/>
      </c>
      <c r="H388" s="26" t="str">
        <f aca="false">IF(OR(B388="",NOT(ISNUMBER(DB_Colleges!AD382))),"",DB_Colleges!AD382)</f>
        <v/>
      </c>
      <c r="I388" s="29" t="str">
        <f aca="false">IF(B388="","",IF(COUNT(DB_Colleges!I382:O382)=0,IF(DB_Colleges!P382="Yes","Rolling","Check site"),MIN(DB_Colleges!I382:O382)))</f>
        <v/>
      </c>
      <c r="J388" s="26" t="str">
        <f aca="false">IF(OR(B388="",COUNT(DB_Colleges!I382:O382)=0),"",INDEX({"ED","ED II","EA","EA II","REA","RD","Priority"},MATCH(MIN(DB_Colleges!I382:O382),DB_Colleges!I382:O382,0)))</f>
        <v/>
      </c>
      <c r="K388" s="29" t="str">
        <f aca="false">IF(OR(B388="",NOT(ISNUMBER(DB_Colleges!N382))),"",DB_Colleges!N382)</f>
        <v/>
      </c>
      <c r="L388" s="26" t="str">
        <f aca="false">IF(B388="","",DB_Colleges!G382&amp;"")</f>
        <v/>
      </c>
      <c r="M388" s="30" t="str">
        <f aca="false">IF(OR(B388="",NOT(ISNUMBER(DB_Colleges!S382))),"",DB_Colleges!S382)</f>
        <v/>
      </c>
      <c r="N388" s="26" t="str">
        <f aca="false">IF(B388="","",DB_Colleges!U382&amp;"")</f>
        <v/>
      </c>
      <c r="O388" s="26" t="str">
        <f aca="false">IF(B388="","",IF(ISNUMBER(DB_Colleges!AH382),DB_Colleges!AH382,"Check"))</f>
        <v/>
      </c>
      <c r="P388" s="26" t="str">
        <f aca="false">IF(B388="","",DB_Colleges!W382&amp;"")</f>
        <v/>
      </c>
      <c r="Q388" s="30" t="str">
        <f aca="false">IF(OR(B388="",NOT(ISNUMBER(DB_Colleges!AF382))),"",DB_Colleges!AF382)</f>
        <v/>
      </c>
      <c r="R388" s="28" t="str">
        <f aca="false">IF(OR(B388="",NOT(ISNUMBER(DB_Colleges!AG382))),"",DB_Colleges!AG382)</f>
        <v/>
      </c>
      <c r="S388" s="26" t="str">
        <f aca="false">IF(B388="","",DB_Colleges!AK382&amp;"")</f>
        <v/>
      </c>
      <c r="T388" s="26" t="str">
        <f aca="false">IF(B388="","",DB_Colleges!AI382&amp;"")</f>
        <v/>
      </c>
      <c r="U388" s="1" t="str">
        <f aca="false">IF(AND(ISNUMBER($X$4),ISNUMBER(DB_Colleges!Z382),ISNUMBER(DB_Colleges!AA382)),IF($X$4&gt;=DB_Colleges!AA382,1,IF($X$4&lt;DB_Colleges!Z382,-1,0)),"")</f>
        <v/>
      </c>
      <c r="V388" s="1" t="str">
        <f aca="false">IF(AND(ISNUMBER($Y$4),ISNUMBER(DB_Colleges!AD382)),IF($Y$4&gt;=DB_Colleges!AD382+0.15,1,IF($Y$4&lt;DB_Colleges!AD382-0.2,-1,0)),"")</f>
        <v/>
      </c>
      <c r="W388" s="1" t="n">
        <f aca="false">IF(COUNT(U388:V388)=0,0,MIN(U388:V388))</f>
        <v>0</v>
      </c>
    </row>
    <row r="389" customFormat="false" ht="15" hidden="false" customHeight="true" outlineLevel="0" collapsed="false">
      <c r="A389" s="26" t="str">
        <f aca="false">IF(B389="","",IF(COUNTIF('My Colleges'!$B$8:$B$27,B389)&gt;0,"On list",""))</f>
        <v/>
      </c>
      <c r="B389" s="27" t="str">
        <f aca="false">IF(DB_Colleges!A383="","",DB_Colleges!A383)</f>
        <v/>
      </c>
      <c r="C389" s="26" t="str">
        <f aca="false">IF(B389="","",DB_Colleges!B383)</f>
        <v/>
      </c>
      <c r="D389" s="26" t="str">
        <f aca="false">IF(B389="","",DB_Colleges!C383&amp;", "&amp;DB_Colleges!D383)</f>
        <v/>
      </c>
      <c r="E389" s="26" t="str">
        <f aca="false">IF(B389="","",IF(AND(NOT(ISNUMBER($X$4)),NOT(ISNUMBER($Y$4))),"Add scores",IF(NOT(ISNUMBER(DB_Colleges!Y383)),IF(OR(C389="Ivy League",C389="Highly Selective"),"Reach",IF(COUNT(U389:V389)=0,"No data",CHOOSE(W389+2,"Reach","Target","Likely"))),IF(DB_Colleges!Y383&lt;0.15,"Reach",IF(DB_Colleges!Y383&gt;=0.75,IF(W389&gt;=0,"Likely","Target"),IF(DB_Colleges!Y383&gt;=0.4,CHOOSE(W389+2,"Reach","Target","Likely"),IF(W389=1,"Target","Reach")))))))</f>
        <v/>
      </c>
      <c r="F389" s="28" t="str">
        <f aca="false">IF(OR(B389="",NOT(ISNUMBER(DB_Colleges!Y383))),"",DB_Colleges!Y383)</f>
        <v/>
      </c>
      <c r="G389" s="26" t="str">
        <f aca="false">IF(OR(B389="",NOT(ISNUMBER(DB_Colleges!Z383))),"",DB_Colleges!Z383&amp;"-"&amp;DB_Colleges!AA383)</f>
        <v/>
      </c>
      <c r="H389" s="26" t="str">
        <f aca="false">IF(OR(B389="",NOT(ISNUMBER(DB_Colleges!AD383))),"",DB_Colleges!AD383)</f>
        <v/>
      </c>
      <c r="I389" s="29" t="str">
        <f aca="false">IF(B389="","",IF(COUNT(DB_Colleges!I383:O383)=0,IF(DB_Colleges!P383="Yes","Rolling","Check site"),MIN(DB_Colleges!I383:O383)))</f>
        <v/>
      </c>
      <c r="J389" s="26" t="str">
        <f aca="false">IF(OR(B389="",COUNT(DB_Colleges!I383:O383)=0),"",INDEX({"ED","ED II","EA","EA II","REA","RD","Priority"},MATCH(MIN(DB_Colleges!I383:O383),DB_Colleges!I383:O383,0)))</f>
        <v/>
      </c>
      <c r="K389" s="29" t="str">
        <f aca="false">IF(OR(B389="",NOT(ISNUMBER(DB_Colleges!N383))),"",DB_Colleges!N383)</f>
        <v/>
      </c>
      <c r="L389" s="26" t="str">
        <f aca="false">IF(B389="","",DB_Colleges!G383&amp;"")</f>
        <v/>
      </c>
      <c r="M389" s="30" t="str">
        <f aca="false">IF(OR(B389="",NOT(ISNUMBER(DB_Colleges!S383))),"",DB_Colleges!S383)</f>
        <v/>
      </c>
      <c r="N389" s="26" t="str">
        <f aca="false">IF(B389="","",DB_Colleges!U383&amp;"")</f>
        <v/>
      </c>
      <c r="O389" s="26" t="str">
        <f aca="false">IF(B389="","",IF(ISNUMBER(DB_Colleges!AH383),DB_Colleges!AH383,"Check"))</f>
        <v/>
      </c>
      <c r="P389" s="26" t="str">
        <f aca="false">IF(B389="","",DB_Colleges!W383&amp;"")</f>
        <v/>
      </c>
      <c r="Q389" s="30" t="str">
        <f aca="false">IF(OR(B389="",NOT(ISNUMBER(DB_Colleges!AF383))),"",DB_Colleges!AF383)</f>
        <v/>
      </c>
      <c r="R389" s="28" t="str">
        <f aca="false">IF(OR(B389="",NOT(ISNUMBER(DB_Colleges!AG383))),"",DB_Colleges!AG383)</f>
        <v/>
      </c>
      <c r="S389" s="26" t="str">
        <f aca="false">IF(B389="","",DB_Colleges!AK383&amp;"")</f>
        <v/>
      </c>
      <c r="T389" s="26" t="str">
        <f aca="false">IF(B389="","",DB_Colleges!AI383&amp;"")</f>
        <v/>
      </c>
      <c r="U389" s="1" t="str">
        <f aca="false">IF(AND(ISNUMBER($X$4),ISNUMBER(DB_Colleges!Z383),ISNUMBER(DB_Colleges!AA383)),IF($X$4&gt;=DB_Colleges!AA383,1,IF($X$4&lt;DB_Colleges!Z383,-1,0)),"")</f>
        <v/>
      </c>
      <c r="V389" s="1" t="str">
        <f aca="false">IF(AND(ISNUMBER($Y$4),ISNUMBER(DB_Colleges!AD383)),IF($Y$4&gt;=DB_Colleges!AD383+0.15,1,IF($Y$4&lt;DB_Colleges!AD383-0.2,-1,0)),"")</f>
        <v/>
      </c>
      <c r="W389" s="1" t="n">
        <f aca="false">IF(COUNT(U389:V389)=0,0,MIN(U389:V389))</f>
        <v>0</v>
      </c>
    </row>
    <row r="390" customFormat="false" ht="15" hidden="false" customHeight="true" outlineLevel="0" collapsed="false">
      <c r="A390" s="26" t="str">
        <f aca="false">IF(B390="","",IF(COUNTIF('My Colleges'!$B$8:$B$27,B390)&gt;0,"On list",""))</f>
        <v/>
      </c>
      <c r="B390" s="27" t="str">
        <f aca="false">IF(DB_Colleges!A384="","",DB_Colleges!A384)</f>
        <v/>
      </c>
      <c r="C390" s="26" t="str">
        <f aca="false">IF(B390="","",DB_Colleges!B384)</f>
        <v/>
      </c>
      <c r="D390" s="26" t="str">
        <f aca="false">IF(B390="","",DB_Colleges!C384&amp;", "&amp;DB_Colleges!D384)</f>
        <v/>
      </c>
      <c r="E390" s="26" t="str">
        <f aca="false">IF(B390="","",IF(AND(NOT(ISNUMBER($X$4)),NOT(ISNUMBER($Y$4))),"Add scores",IF(NOT(ISNUMBER(DB_Colleges!Y384)),IF(OR(C390="Ivy League",C390="Highly Selective"),"Reach",IF(COUNT(U390:V390)=0,"No data",CHOOSE(W390+2,"Reach","Target","Likely"))),IF(DB_Colleges!Y384&lt;0.15,"Reach",IF(DB_Colleges!Y384&gt;=0.75,IF(W390&gt;=0,"Likely","Target"),IF(DB_Colleges!Y384&gt;=0.4,CHOOSE(W390+2,"Reach","Target","Likely"),IF(W390=1,"Target","Reach")))))))</f>
        <v/>
      </c>
      <c r="F390" s="28" t="str">
        <f aca="false">IF(OR(B390="",NOT(ISNUMBER(DB_Colleges!Y384))),"",DB_Colleges!Y384)</f>
        <v/>
      </c>
      <c r="G390" s="26" t="str">
        <f aca="false">IF(OR(B390="",NOT(ISNUMBER(DB_Colleges!Z384))),"",DB_Colleges!Z384&amp;"-"&amp;DB_Colleges!AA384)</f>
        <v/>
      </c>
      <c r="H390" s="26" t="str">
        <f aca="false">IF(OR(B390="",NOT(ISNUMBER(DB_Colleges!AD384))),"",DB_Colleges!AD384)</f>
        <v/>
      </c>
      <c r="I390" s="29" t="str">
        <f aca="false">IF(B390="","",IF(COUNT(DB_Colleges!I384:O384)=0,IF(DB_Colleges!P384="Yes","Rolling","Check site"),MIN(DB_Colleges!I384:O384)))</f>
        <v/>
      </c>
      <c r="J390" s="26" t="str">
        <f aca="false">IF(OR(B390="",COUNT(DB_Colleges!I384:O384)=0),"",INDEX({"ED","ED II","EA","EA II","REA","RD","Priority"},MATCH(MIN(DB_Colleges!I384:O384),DB_Colleges!I384:O384,0)))</f>
        <v/>
      </c>
      <c r="K390" s="29" t="str">
        <f aca="false">IF(OR(B390="",NOT(ISNUMBER(DB_Colleges!N384))),"",DB_Colleges!N384)</f>
        <v/>
      </c>
      <c r="L390" s="26" t="str">
        <f aca="false">IF(B390="","",DB_Colleges!G384&amp;"")</f>
        <v/>
      </c>
      <c r="M390" s="30" t="str">
        <f aca="false">IF(OR(B390="",NOT(ISNUMBER(DB_Colleges!S384))),"",DB_Colleges!S384)</f>
        <v/>
      </c>
      <c r="N390" s="26" t="str">
        <f aca="false">IF(B390="","",DB_Colleges!U384&amp;"")</f>
        <v/>
      </c>
      <c r="O390" s="26" t="str">
        <f aca="false">IF(B390="","",IF(ISNUMBER(DB_Colleges!AH384),DB_Colleges!AH384,"Check"))</f>
        <v/>
      </c>
      <c r="P390" s="26" t="str">
        <f aca="false">IF(B390="","",DB_Colleges!W384&amp;"")</f>
        <v/>
      </c>
      <c r="Q390" s="30" t="str">
        <f aca="false">IF(OR(B390="",NOT(ISNUMBER(DB_Colleges!AF384))),"",DB_Colleges!AF384)</f>
        <v/>
      </c>
      <c r="R390" s="28" t="str">
        <f aca="false">IF(OR(B390="",NOT(ISNUMBER(DB_Colleges!AG384))),"",DB_Colleges!AG384)</f>
        <v/>
      </c>
      <c r="S390" s="26" t="str">
        <f aca="false">IF(B390="","",DB_Colleges!AK384&amp;"")</f>
        <v/>
      </c>
      <c r="T390" s="26" t="str">
        <f aca="false">IF(B390="","",DB_Colleges!AI384&amp;"")</f>
        <v/>
      </c>
      <c r="U390" s="1" t="str">
        <f aca="false">IF(AND(ISNUMBER($X$4),ISNUMBER(DB_Colleges!Z384),ISNUMBER(DB_Colleges!AA384)),IF($X$4&gt;=DB_Colleges!AA384,1,IF($X$4&lt;DB_Colleges!Z384,-1,0)),"")</f>
        <v/>
      </c>
      <c r="V390" s="1" t="str">
        <f aca="false">IF(AND(ISNUMBER($Y$4),ISNUMBER(DB_Colleges!AD384)),IF($Y$4&gt;=DB_Colleges!AD384+0.15,1,IF($Y$4&lt;DB_Colleges!AD384-0.2,-1,0)),"")</f>
        <v/>
      </c>
      <c r="W390" s="1" t="n">
        <f aca="false">IF(COUNT(U390:V390)=0,0,MIN(U390:V390))</f>
        <v>0</v>
      </c>
    </row>
    <row r="391" customFormat="false" ht="15" hidden="false" customHeight="true" outlineLevel="0" collapsed="false">
      <c r="A391" s="26" t="str">
        <f aca="false">IF(B391="","",IF(COUNTIF('My Colleges'!$B$8:$B$27,B391)&gt;0,"On list",""))</f>
        <v/>
      </c>
      <c r="B391" s="27" t="str">
        <f aca="false">IF(DB_Colleges!A385="","",DB_Colleges!A385)</f>
        <v/>
      </c>
      <c r="C391" s="26" t="str">
        <f aca="false">IF(B391="","",DB_Colleges!B385)</f>
        <v/>
      </c>
      <c r="D391" s="26" t="str">
        <f aca="false">IF(B391="","",DB_Colleges!C385&amp;", "&amp;DB_Colleges!D385)</f>
        <v/>
      </c>
      <c r="E391" s="26" t="str">
        <f aca="false">IF(B391="","",IF(AND(NOT(ISNUMBER($X$4)),NOT(ISNUMBER($Y$4))),"Add scores",IF(NOT(ISNUMBER(DB_Colleges!Y385)),IF(OR(C391="Ivy League",C391="Highly Selective"),"Reach",IF(COUNT(U391:V391)=0,"No data",CHOOSE(W391+2,"Reach","Target","Likely"))),IF(DB_Colleges!Y385&lt;0.15,"Reach",IF(DB_Colleges!Y385&gt;=0.75,IF(W391&gt;=0,"Likely","Target"),IF(DB_Colleges!Y385&gt;=0.4,CHOOSE(W391+2,"Reach","Target","Likely"),IF(W391=1,"Target","Reach")))))))</f>
        <v/>
      </c>
      <c r="F391" s="28" t="str">
        <f aca="false">IF(OR(B391="",NOT(ISNUMBER(DB_Colleges!Y385))),"",DB_Colleges!Y385)</f>
        <v/>
      </c>
      <c r="G391" s="26" t="str">
        <f aca="false">IF(OR(B391="",NOT(ISNUMBER(DB_Colleges!Z385))),"",DB_Colleges!Z385&amp;"-"&amp;DB_Colleges!AA385)</f>
        <v/>
      </c>
      <c r="H391" s="26" t="str">
        <f aca="false">IF(OR(B391="",NOT(ISNUMBER(DB_Colleges!AD385))),"",DB_Colleges!AD385)</f>
        <v/>
      </c>
      <c r="I391" s="29" t="str">
        <f aca="false">IF(B391="","",IF(COUNT(DB_Colleges!I385:O385)=0,IF(DB_Colleges!P385="Yes","Rolling","Check site"),MIN(DB_Colleges!I385:O385)))</f>
        <v/>
      </c>
      <c r="J391" s="26" t="str">
        <f aca="false">IF(OR(B391="",COUNT(DB_Colleges!I385:O385)=0),"",INDEX({"ED","ED II","EA","EA II","REA","RD","Priority"},MATCH(MIN(DB_Colleges!I385:O385),DB_Colleges!I385:O385,0)))</f>
        <v/>
      </c>
      <c r="K391" s="29" t="str">
        <f aca="false">IF(OR(B391="",NOT(ISNUMBER(DB_Colleges!N385))),"",DB_Colleges!N385)</f>
        <v/>
      </c>
      <c r="L391" s="26" t="str">
        <f aca="false">IF(B391="","",DB_Colleges!G385&amp;"")</f>
        <v/>
      </c>
      <c r="M391" s="30" t="str">
        <f aca="false">IF(OR(B391="",NOT(ISNUMBER(DB_Colleges!S385))),"",DB_Colleges!S385)</f>
        <v/>
      </c>
      <c r="N391" s="26" t="str">
        <f aca="false">IF(B391="","",DB_Colleges!U385&amp;"")</f>
        <v/>
      </c>
      <c r="O391" s="26" t="str">
        <f aca="false">IF(B391="","",IF(ISNUMBER(DB_Colleges!AH385),DB_Colleges!AH385,"Check"))</f>
        <v/>
      </c>
      <c r="P391" s="26" t="str">
        <f aca="false">IF(B391="","",DB_Colleges!W385&amp;"")</f>
        <v/>
      </c>
      <c r="Q391" s="30" t="str">
        <f aca="false">IF(OR(B391="",NOT(ISNUMBER(DB_Colleges!AF385))),"",DB_Colleges!AF385)</f>
        <v/>
      </c>
      <c r="R391" s="28" t="str">
        <f aca="false">IF(OR(B391="",NOT(ISNUMBER(DB_Colleges!AG385))),"",DB_Colleges!AG385)</f>
        <v/>
      </c>
      <c r="S391" s="26" t="str">
        <f aca="false">IF(B391="","",DB_Colleges!AK385&amp;"")</f>
        <v/>
      </c>
      <c r="T391" s="26" t="str">
        <f aca="false">IF(B391="","",DB_Colleges!AI385&amp;"")</f>
        <v/>
      </c>
      <c r="U391" s="1" t="str">
        <f aca="false">IF(AND(ISNUMBER($X$4),ISNUMBER(DB_Colleges!Z385),ISNUMBER(DB_Colleges!AA385)),IF($X$4&gt;=DB_Colleges!AA385,1,IF($X$4&lt;DB_Colleges!Z385,-1,0)),"")</f>
        <v/>
      </c>
      <c r="V391" s="1" t="str">
        <f aca="false">IF(AND(ISNUMBER($Y$4),ISNUMBER(DB_Colleges!AD385)),IF($Y$4&gt;=DB_Colleges!AD385+0.15,1,IF($Y$4&lt;DB_Colleges!AD385-0.2,-1,0)),"")</f>
        <v/>
      </c>
      <c r="W391" s="1" t="n">
        <f aca="false">IF(COUNT(U391:V391)=0,0,MIN(U391:V391))</f>
        <v>0</v>
      </c>
    </row>
    <row r="392" customFormat="false" ht="15" hidden="false" customHeight="true" outlineLevel="0" collapsed="false">
      <c r="A392" s="26" t="str">
        <f aca="false">IF(B392="","",IF(COUNTIF('My Colleges'!$B$8:$B$27,B392)&gt;0,"On list",""))</f>
        <v/>
      </c>
      <c r="B392" s="27" t="str">
        <f aca="false">IF(DB_Colleges!A386="","",DB_Colleges!A386)</f>
        <v/>
      </c>
      <c r="C392" s="26" t="str">
        <f aca="false">IF(B392="","",DB_Colleges!B386)</f>
        <v/>
      </c>
      <c r="D392" s="26" t="str">
        <f aca="false">IF(B392="","",DB_Colleges!C386&amp;", "&amp;DB_Colleges!D386)</f>
        <v/>
      </c>
      <c r="E392" s="26" t="str">
        <f aca="false">IF(B392="","",IF(AND(NOT(ISNUMBER($X$4)),NOT(ISNUMBER($Y$4))),"Add scores",IF(NOT(ISNUMBER(DB_Colleges!Y386)),IF(OR(C392="Ivy League",C392="Highly Selective"),"Reach",IF(COUNT(U392:V392)=0,"No data",CHOOSE(W392+2,"Reach","Target","Likely"))),IF(DB_Colleges!Y386&lt;0.15,"Reach",IF(DB_Colleges!Y386&gt;=0.75,IF(W392&gt;=0,"Likely","Target"),IF(DB_Colleges!Y386&gt;=0.4,CHOOSE(W392+2,"Reach","Target","Likely"),IF(W392=1,"Target","Reach")))))))</f>
        <v/>
      </c>
      <c r="F392" s="28" t="str">
        <f aca="false">IF(OR(B392="",NOT(ISNUMBER(DB_Colleges!Y386))),"",DB_Colleges!Y386)</f>
        <v/>
      </c>
      <c r="G392" s="26" t="str">
        <f aca="false">IF(OR(B392="",NOT(ISNUMBER(DB_Colleges!Z386))),"",DB_Colleges!Z386&amp;"-"&amp;DB_Colleges!AA386)</f>
        <v/>
      </c>
      <c r="H392" s="26" t="str">
        <f aca="false">IF(OR(B392="",NOT(ISNUMBER(DB_Colleges!AD386))),"",DB_Colleges!AD386)</f>
        <v/>
      </c>
      <c r="I392" s="29" t="str">
        <f aca="false">IF(B392="","",IF(COUNT(DB_Colleges!I386:O386)=0,IF(DB_Colleges!P386="Yes","Rolling","Check site"),MIN(DB_Colleges!I386:O386)))</f>
        <v/>
      </c>
      <c r="J392" s="26" t="str">
        <f aca="false">IF(OR(B392="",COUNT(DB_Colleges!I386:O386)=0),"",INDEX({"ED","ED II","EA","EA II","REA","RD","Priority"},MATCH(MIN(DB_Colleges!I386:O386),DB_Colleges!I386:O386,0)))</f>
        <v/>
      </c>
      <c r="K392" s="29" t="str">
        <f aca="false">IF(OR(B392="",NOT(ISNUMBER(DB_Colleges!N386))),"",DB_Colleges!N386)</f>
        <v/>
      </c>
      <c r="L392" s="26" t="str">
        <f aca="false">IF(B392="","",DB_Colleges!G386&amp;"")</f>
        <v/>
      </c>
      <c r="M392" s="30" t="str">
        <f aca="false">IF(OR(B392="",NOT(ISNUMBER(DB_Colleges!S386))),"",DB_Colleges!S386)</f>
        <v/>
      </c>
      <c r="N392" s="26" t="str">
        <f aca="false">IF(B392="","",DB_Colleges!U386&amp;"")</f>
        <v/>
      </c>
      <c r="O392" s="26" t="str">
        <f aca="false">IF(B392="","",IF(ISNUMBER(DB_Colleges!AH386),DB_Colleges!AH386,"Check"))</f>
        <v/>
      </c>
      <c r="P392" s="26" t="str">
        <f aca="false">IF(B392="","",DB_Colleges!W386&amp;"")</f>
        <v/>
      </c>
      <c r="Q392" s="30" t="str">
        <f aca="false">IF(OR(B392="",NOT(ISNUMBER(DB_Colleges!AF386))),"",DB_Colleges!AF386)</f>
        <v/>
      </c>
      <c r="R392" s="28" t="str">
        <f aca="false">IF(OR(B392="",NOT(ISNUMBER(DB_Colleges!AG386))),"",DB_Colleges!AG386)</f>
        <v/>
      </c>
      <c r="S392" s="26" t="str">
        <f aca="false">IF(B392="","",DB_Colleges!AK386&amp;"")</f>
        <v/>
      </c>
      <c r="T392" s="26" t="str">
        <f aca="false">IF(B392="","",DB_Colleges!AI386&amp;"")</f>
        <v/>
      </c>
      <c r="U392" s="1" t="str">
        <f aca="false">IF(AND(ISNUMBER($X$4),ISNUMBER(DB_Colleges!Z386),ISNUMBER(DB_Colleges!AA386)),IF($X$4&gt;=DB_Colleges!AA386,1,IF($X$4&lt;DB_Colleges!Z386,-1,0)),"")</f>
        <v/>
      </c>
      <c r="V392" s="1" t="str">
        <f aca="false">IF(AND(ISNUMBER($Y$4),ISNUMBER(DB_Colleges!AD386)),IF($Y$4&gt;=DB_Colleges!AD386+0.15,1,IF($Y$4&lt;DB_Colleges!AD386-0.2,-1,0)),"")</f>
        <v/>
      </c>
      <c r="W392" s="1" t="n">
        <f aca="false">IF(COUNT(U392:V392)=0,0,MIN(U392:V392))</f>
        <v>0</v>
      </c>
    </row>
    <row r="393" customFormat="false" ht="15" hidden="false" customHeight="true" outlineLevel="0" collapsed="false">
      <c r="A393" s="26" t="str">
        <f aca="false">IF(B393="","",IF(COUNTIF('My Colleges'!$B$8:$B$27,B393)&gt;0,"On list",""))</f>
        <v/>
      </c>
      <c r="B393" s="27" t="str">
        <f aca="false">IF(DB_Colleges!A387="","",DB_Colleges!A387)</f>
        <v/>
      </c>
      <c r="C393" s="26" t="str">
        <f aca="false">IF(B393="","",DB_Colleges!B387)</f>
        <v/>
      </c>
      <c r="D393" s="26" t="str">
        <f aca="false">IF(B393="","",DB_Colleges!C387&amp;", "&amp;DB_Colleges!D387)</f>
        <v/>
      </c>
      <c r="E393" s="26" t="str">
        <f aca="false">IF(B393="","",IF(AND(NOT(ISNUMBER($X$4)),NOT(ISNUMBER($Y$4))),"Add scores",IF(NOT(ISNUMBER(DB_Colleges!Y387)),IF(OR(C393="Ivy League",C393="Highly Selective"),"Reach",IF(COUNT(U393:V393)=0,"No data",CHOOSE(W393+2,"Reach","Target","Likely"))),IF(DB_Colleges!Y387&lt;0.15,"Reach",IF(DB_Colleges!Y387&gt;=0.75,IF(W393&gt;=0,"Likely","Target"),IF(DB_Colleges!Y387&gt;=0.4,CHOOSE(W393+2,"Reach","Target","Likely"),IF(W393=1,"Target","Reach")))))))</f>
        <v/>
      </c>
      <c r="F393" s="28" t="str">
        <f aca="false">IF(OR(B393="",NOT(ISNUMBER(DB_Colleges!Y387))),"",DB_Colleges!Y387)</f>
        <v/>
      </c>
      <c r="G393" s="26" t="str">
        <f aca="false">IF(OR(B393="",NOT(ISNUMBER(DB_Colleges!Z387))),"",DB_Colleges!Z387&amp;"-"&amp;DB_Colleges!AA387)</f>
        <v/>
      </c>
      <c r="H393" s="26" t="str">
        <f aca="false">IF(OR(B393="",NOT(ISNUMBER(DB_Colleges!AD387))),"",DB_Colleges!AD387)</f>
        <v/>
      </c>
      <c r="I393" s="29" t="str">
        <f aca="false">IF(B393="","",IF(COUNT(DB_Colleges!I387:O387)=0,IF(DB_Colleges!P387="Yes","Rolling","Check site"),MIN(DB_Colleges!I387:O387)))</f>
        <v/>
      </c>
      <c r="J393" s="26" t="str">
        <f aca="false">IF(OR(B393="",COUNT(DB_Colleges!I387:O387)=0),"",INDEX({"ED","ED II","EA","EA II","REA","RD","Priority"},MATCH(MIN(DB_Colleges!I387:O387),DB_Colleges!I387:O387,0)))</f>
        <v/>
      </c>
      <c r="K393" s="29" t="str">
        <f aca="false">IF(OR(B393="",NOT(ISNUMBER(DB_Colleges!N387))),"",DB_Colleges!N387)</f>
        <v/>
      </c>
      <c r="L393" s="26" t="str">
        <f aca="false">IF(B393="","",DB_Colleges!G387&amp;"")</f>
        <v/>
      </c>
      <c r="M393" s="30" t="str">
        <f aca="false">IF(OR(B393="",NOT(ISNUMBER(DB_Colleges!S387))),"",DB_Colleges!S387)</f>
        <v/>
      </c>
      <c r="N393" s="26" t="str">
        <f aca="false">IF(B393="","",DB_Colleges!U387&amp;"")</f>
        <v/>
      </c>
      <c r="O393" s="26" t="str">
        <f aca="false">IF(B393="","",IF(ISNUMBER(DB_Colleges!AH387),DB_Colleges!AH387,"Check"))</f>
        <v/>
      </c>
      <c r="P393" s="26" t="str">
        <f aca="false">IF(B393="","",DB_Colleges!W387&amp;"")</f>
        <v/>
      </c>
      <c r="Q393" s="30" t="str">
        <f aca="false">IF(OR(B393="",NOT(ISNUMBER(DB_Colleges!AF387))),"",DB_Colleges!AF387)</f>
        <v/>
      </c>
      <c r="R393" s="28" t="str">
        <f aca="false">IF(OR(B393="",NOT(ISNUMBER(DB_Colleges!AG387))),"",DB_Colleges!AG387)</f>
        <v/>
      </c>
      <c r="S393" s="26" t="str">
        <f aca="false">IF(B393="","",DB_Colleges!AK387&amp;"")</f>
        <v/>
      </c>
      <c r="T393" s="26" t="str">
        <f aca="false">IF(B393="","",DB_Colleges!AI387&amp;"")</f>
        <v/>
      </c>
      <c r="U393" s="1" t="str">
        <f aca="false">IF(AND(ISNUMBER($X$4),ISNUMBER(DB_Colleges!Z387),ISNUMBER(DB_Colleges!AA387)),IF($X$4&gt;=DB_Colleges!AA387,1,IF($X$4&lt;DB_Colleges!Z387,-1,0)),"")</f>
        <v/>
      </c>
      <c r="V393" s="1" t="str">
        <f aca="false">IF(AND(ISNUMBER($Y$4),ISNUMBER(DB_Colleges!AD387)),IF($Y$4&gt;=DB_Colleges!AD387+0.15,1,IF($Y$4&lt;DB_Colleges!AD387-0.2,-1,0)),"")</f>
        <v/>
      </c>
      <c r="W393" s="1" t="n">
        <f aca="false">IF(COUNT(U393:V393)=0,0,MIN(U393:V393))</f>
        <v>0</v>
      </c>
    </row>
    <row r="394" customFormat="false" ht="15" hidden="false" customHeight="true" outlineLevel="0" collapsed="false">
      <c r="A394" s="26" t="str">
        <f aca="false">IF(B394="","",IF(COUNTIF('My Colleges'!$B$8:$B$27,B394)&gt;0,"On list",""))</f>
        <v/>
      </c>
      <c r="B394" s="27" t="str">
        <f aca="false">IF(DB_Colleges!A388="","",DB_Colleges!A388)</f>
        <v/>
      </c>
      <c r="C394" s="26" t="str">
        <f aca="false">IF(B394="","",DB_Colleges!B388)</f>
        <v/>
      </c>
      <c r="D394" s="26" t="str">
        <f aca="false">IF(B394="","",DB_Colleges!C388&amp;", "&amp;DB_Colleges!D388)</f>
        <v/>
      </c>
      <c r="E394" s="26" t="str">
        <f aca="false">IF(B394="","",IF(AND(NOT(ISNUMBER($X$4)),NOT(ISNUMBER($Y$4))),"Add scores",IF(NOT(ISNUMBER(DB_Colleges!Y388)),IF(OR(C394="Ivy League",C394="Highly Selective"),"Reach",IF(COUNT(U394:V394)=0,"No data",CHOOSE(W394+2,"Reach","Target","Likely"))),IF(DB_Colleges!Y388&lt;0.15,"Reach",IF(DB_Colleges!Y388&gt;=0.75,IF(W394&gt;=0,"Likely","Target"),IF(DB_Colleges!Y388&gt;=0.4,CHOOSE(W394+2,"Reach","Target","Likely"),IF(W394=1,"Target","Reach")))))))</f>
        <v/>
      </c>
      <c r="F394" s="28" t="str">
        <f aca="false">IF(OR(B394="",NOT(ISNUMBER(DB_Colleges!Y388))),"",DB_Colleges!Y388)</f>
        <v/>
      </c>
      <c r="G394" s="26" t="str">
        <f aca="false">IF(OR(B394="",NOT(ISNUMBER(DB_Colleges!Z388))),"",DB_Colleges!Z388&amp;"-"&amp;DB_Colleges!AA388)</f>
        <v/>
      </c>
      <c r="H394" s="26" t="str">
        <f aca="false">IF(OR(B394="",NOT(ISNUMBER(DB_Colleges!AD388))),"",DB_Colleges!AD388)</f>
        <v/>
      </c>
      <c r="I394" s="29" t="str">
        <f aca="false">IF(B394="","",IF(COUNT(DB_Colleges!I388:O388)=0,IF(DB_Colleges!P388="Yes","Rolling","Check site"),MIN(DB_Colleges!I388:O388)))</f>
        <v/>
      </c>
      <c r="J394" s="26" t="str">
        <f aca="false">IF(OR(B394="",COUNT(DB_Colleges!I388:O388)=0),"",INDEX({"ED","ED II","EA","EA II","REA","RD","Priority"},MATCH(MIN(DB_Colleges!I388:O388),DB_Colleges!I388:O388,0)))</f>
        <v/>
      </c>
      <c r="K394" s="29" t="str">
        <f aca="false">IF(OR(B394="",NOT(ISNUMBER(DB_Colleges!N388))),"",DB_Colleges!N388)</f>
        <v/>
      </c>
      <c r="L394" s="26" t="str">
        <f aca="false">IF(B394="","",DB_Colleges!G388&amp;"")</f>
        <v/>
      </c>
      <c r="M394" s="30" t="str">
        <f aca="false">IF(OR(B394="",NOT(ISNUMBER(DB_Colleges!S388))),"",DB_Colleges!S388)</f>
        <v/>
      </c>
      <c r="N394" s="26" t="str">
        <f aca="false">IF(B394="","",DB_Colleges!U388&amp;"")</f>
        <v/>
      </c>
      <c r="O394" s="26" t="str">
        <f aca="false">IF(B394="","",IF(ISNUMBER(DB_Colleges!AH388),DB_Colleges!AH388,"Check"))</f>
        <v/>
      </c>
      <c r="P394" s="26" t="str">
        <f aca="false">IF(B394="","",DB_Colleges!W388&amp;"")</f>
        <v/>
      </c>
      <c r="Q394" s="30" t="str">
        <f aca="false">IF(OR(B394="",NOT(ISNUMBER(DB_Colleges!AF388))),"",DB_Colleges!AF388)</f>
        <v/>
      </c>
      <c r="R394" s="28" t="str">
        <f aca="false">IF(OR(B394="",NOT(ISNUMBER(DB_Colleges!AG388))),"",DB_Colleges!AG388)</f>
        <v/>
      </c>
      <c r="S394" s="26" t="str">
        <f aca="false">IF(B394="","",DB_Colleges!AK388&amp;"")</f>
        <v/>
      </c>
      <c r="T394" s="26" t="str">
        <f aca="false">IF(B394="","",DB_Colleges!AI388&amp;"")</f>
        <v/>
      </c>
      <c r="U394" s="1" t="str">
        <f aca="false">IF(AND(ISNUMBER($X$4),ISNUMBER(DB_Colleges!Z388),ISNUMBER(DB_Colleges!AA388)),IF($X$4&gt;=DB_Colleges!AA388,1,IF($X$4&lt;DB_Colleges!Z388,-1,0)),"")</f>
        <v/>
      </c>
      <c r="V394" s="1" t="str">
        <f aca="false">IF(AND(ISNUMBER($Y$4),ISNUMBER(DB_Colleges!AD388)),IF($Y$4&gt;=DB_Colleges!AD388+0.15,1,IF($Y$4&lt;DB_Colleges!AD388-0.2,-1,0)),"")</f>
        <v/>
      </c>
      <c r="W394" s="1" t="n">
        <f aca="false">IF(COUNT(U394:V394)=0,0,MIN(U394:V394))</f>
        <v>0</v>
      </c>
    </row>
    <row r="395" customFormat="false" ht="15" hidden="false" customHeight="true" outlineLevel="0" collapsed="false">
      <c r="A395" s="26" t="str">
        <f aca="false">IF(B395="","",IF(COUNTIF('My Colleges'!$B$8:$B$27,B395)&gt;0,"On list",""))</f>
        <v/>
      </c>
      <c r="B395" s="27" t="str">
        <f aca="false">IF(DB_Colleges!A389="","",DB_Colleges!A389)</f>
        <v/>
      </c>
      <c r="C395" s="26" t="str">
        <f aca="false">IF(B395="","",DB_Colleges!B389)</f>
        <v/>
      </c>
      <c r="D395" s="26" t="str">
        <f aca="false">IF(B395="","",DB_Colleges!C389&amp;", "&amp;DB_Colleges!D389)</f>
        <v/>
      </c>
      <c r="E395" s="26" t="str">
        <f aca="false">IF(B395="","",IF(AND(NOT(ISNUMBER($X$4)),NOT(ISNUMBER($Y$4))),"Add scores",IF(NOT(ISNUMBER(DB_Colleges!Y389)),IF(OR(C395="Ivy League",C395="Highly Selective"),"Reach",IF(COUNT(U395:V395)=0,"No data",CHOOSE(W395+2,"Reach","Target","Likely"))),IF(DB_Colleges!Y389&lt;0.15,"Reach",IF(DB_Colleges!Y389&gt;=0.75,IF(W395&gt;=0,"Likely","Target"),IF(DB_Colleges!Y389&gt;=0.4,CHOOSE(W395+2,"Reach","Target","Likely"),IF(W395=1,"Target","Reach")))))))</f>
        <v/>
      </c>
      <c r="F395" s="28" t="str">
        <f aca="false">IF(OR(B395="",NOT(ISNUMBER(DB_Colleges!Y389))),"",DB_Colleges!Y389)</f>
        <v/>
      </c>
      <c r="G395" s="26" t="str">
        <f aca="false">IF(OR(B395="",NOT(ISNUMBER(DB_Colleges!Z389))),"",DB_Colleges!Z389&amp;"-"&amp;DB_Colleges!AA389)</f>
        <v/>
      </c>
      <c r="H395" s="26" t="str">
        <f aca="false">IF(OR(B395="",NOT(ISNUMBER(DB_Colleges!AD389))),"",DB_Colleges!AD389)</f>
        <v/>
      </c>
      <c r="I395" s="29" t="str">
        <f aca="false">IF(B395="","",IF(COUNT(DB_Colleges!I389:O389)=0,IF(DB_Colleges!P389="Yes","Rolling","Check site"),MIN(DB_Colleges!I389:O389)))</f>
        <v/>
      </c>
      <c r="J395" s="26" t="str">
        <f aca="false">IF(OR(B395="",COUNT(DB_Colleges!I389:O389)=0),"",INDEX({"ED","ED II","EA","EA II","REA","RD","Priority"},MATCH(MIN(DB_Colleges!I389:O389),DB_Colleges!I389:O389,0)))</f>
        <v/>
      </c>
      <c r="K395" s="29" t="str">
        <f aca="false">IF(OR(B395="",NOT(ISNUMBER(DB_Colleges!N389))),"",DB_Colleges!N389)</f>
        <v/>
      </c>
      <c r="L395" s="26" t="str">
        <f aca="false">IF(B395="","",DB_Colleges!G389&amp;"")</f>
        <v/>
      </c>
      <c r="M395" s="30" t="str">
        <f aca="false">IF(OR(B395="",NOT(ISNUMBER(DB_Colleges!S389))),"",DB_Colleges!S389)</f>
        <v/>
      </c>
      <c r="N395" s="26" t="str">
        <f aca="false">IF(B395="","",DB_Colleges!U389&amp;"")</f>
        <v/>
      </c>
      <c r="O395" s="26" t="str">
        <f aca="false">IF(B395="","",IF(ISNUMBER(DB_Colleges!AH389),DB_Colleges!AH389,"Check"))</f>
        <v/>
      </c>
      <c r="P395" s="26" t="str">
        <f aca="false">IF(B395="","",DB_Colleges!W389&amp;"")</f>
        <v/>
      </c>
      <c r="Q395" s="30" t="str">
        <f aca="false">IF(OR(B395="",NOT(ISNUMBER(DB_Colleges!AF389))),"",DB_Colleges!AF389)</f>
        <v/>
      </c>
      <c r="R395" s="28" t="str">
        <f aca="false">IF(OR(B395="",NOT(ISNUMBER(DB_Colleges!AG389))),"",DB_Colleges!AG389)</f>
        <v/>
      </c>
      <c r="S395" s="26" t="str">
        <f aca="false">IF(B395="","",DB_Colleges!AK389&amp;"")</f>
        <v/>
      </c>
      <c r="T395" s="26" t="str">
        <f aca="false">IF(B395="","",DB_Colleges!AI389&amp;"")</f>
        <v/>
      </c>
      <c r="U395" s="1" t="str">
        <f aca="false">IF(AND(ISNUMBER($X$4),ISNUMBER(DB_Colleges!Z389),ISNUMBER(DB_Colleges!AA389)),IF($X$4&gt;=DB_Colleges!AA389,1,IF($X$4&lt;DB_Colleges!Z389,-1,0)),"")</f>
        <v/>
      </c>
      <c r="V395" s="1" t="str">
        <f aca="false">IF(AND(ISNUMBER($Y$4),ISNUMBER(DB_Colleges!AD389)),IF($Y$4&gt;=DB_Colleges!AD389+0.15,1,IF($Y$4&lt;DB_Colleges!AD389-0.2,-1,0)),"")</f>
        <v/>
      </c>
      <c r="W395" s="1" t="n">
        <f aca="false">IF(COUNT(U395:V395)=0,0,MIN(U395:V395))</f>
        <v>0</v>
      </c>
    </row>
    <row r="396" customFormat="false" ht="15" hidden="false" customHeight="true" outlineLevel="0" collapsed="false">
      <c r="A396" s="26" t="str">
        <f aca="false">IF(B396="","",IF(COUNTIF('My Colleges'!$B$8:$B$27,B396)&gt;0,"On list",""))</f>
        <v/>
      </c>
      <c r="B396" s="27" t="str">
        <f aca="false">IF(DB_Colleges!A390="","",DB_Colleges!A390)</f>
        <v/>
      </c>
      <c r="C396" s="26" t="str">
        <f aca="false">IF(B396="","",DB_Colleges!B390)</f>
        <v/>
      </c>
      <c r="D396" s="26" t="str">
        <f aca="false">IF(B396="","",DB_Colleges!C390&amp;", "&amp;DB_Colleges!D390)</f>
        <v/>
      </c>
      <c r="E396" s="26" t="str">
        <f aca="false">IF(B396="","",IF(AND(NOT(ISNUMBER($X$4)),NOT(ISNUMBER($Y$4))),"Add scores",IF(NOT(ISNUMBER(DB_Colleges!Y390)),IF(OR(C396="Ivy League",C396="Highly Selective"),"Reach",IF(COUNT(U396:V396)=0,"No data",CHOOSE(W396+2,"Reach","Target","Likely"))),IF(DB_Colleges!Y390&lt;0.15,"Reach",IF(DB_Colleges!Y390&gt;=0.75,IF(W396&gt;=0,"Likely","Target"),IF(DB_Colleges!Y390&gt;=0.4,CHOOSE(W396+2,"Reach","Target","Likely"),IF(W396=1,"Target","Reach")))))))</f>
        <v/>
      </c>
      <c r="F396" s="28" t="str">
        <f aca="false">IF(OR(B396="",NOT(ISNUMBER(DB_Colleges!Y390))),"",DB_Colleges!Y390)</f>
        <v/>
      </c>
      <c r="G396" s="26" t="str">
        <f aca="false">IF(OR(B396="",NOT(ISNUMBER(DB_Colleges!Z390))),"",DB_Colleges!Z390&amp;"-"&amp;DB_Colleges!AA390)</f>
        <v/>
      </c>
      <c r="H396" s="26" t="str">
        <f aca="false">IF(OR(B396="",NOT(ISNUMBER(DB_Colleges!AD390))),"",DB_Colleges!AD390)</f>
        <v/>
      </c>
      <c r="I396" s="29" t="str">
        <f aca="false">IF(B396="","",IF(COUNT(DB_Colleges!I390:O390)=0,IF(DB_Colleges!P390="Yes","Rolling","Check site"),MIN(DB_Colleges!I390:O390)))</f>
        <v/>
      </c>
      <c r="J396" s="26" t="str">
        <f aca="false">IF(OR(B396="",COUNT(DB_Colleges!I390:O390)=0),"",INDEX({"ED","ED II","EA","EA II","REA","RD","Priority"},MATCH(MIN(DB_Colleges!I390:O390),DB_Colleges!I390:O390,0)))</f>
        <v/>
      </c>
      <c r="K396" s="29" t="str">
        <f aca="false">IF(OR(B396="",NOT(ISNUMBER(DB_Colleges!N390))),"",DB_Colleges!N390)</f>
        <v/>
      </c>
      <c r="L396" s="26" t="str">
        <f aca="false">IF(B396="","",DB_Colleges!G390&amp;"")</f>
        <v/>
      </c>
      <c r="M396" s="30" t="str">
        <f aca="false">IF(OR(B396="",NOT(ISNUMBER(DB_Colleges!S390))),"",DB_Colleges!S390)</f>
        <v/>
      </c>
      <c r="N396" s="26" t="str">
        <f aca="false">IF(B396="","",DB_Colleges!U390&amp;"")</f>
        <v/>
      </c>
      <c r="O396" s="26" t="str">
        <f aca="false">IF(B396="","",IF(ISNUMBER(DB_Colleges!AH390),DB_Colleges!AH390,"Check"))</f>
        <v/>
      </c>
      <c r="P396" s="26" t="str">
        <f aca="false">IF(B396="","",DB_Colleges!W390&amp;"")</f>
        <v/>
      </c>
      <c r="Q396" s="30" t="str">
        <f aca="false">IF(OR(B396="",NOT(ISNUMBER(DB_Colleges!AF390))),"",DB_Colleges!AF390)</f>
        <v/>
      </c>
      <c r="R396" s="28" t="str">
        <f aca="false">IF(OR(B396="",NOT(ISNUMBER(DB_Colleges!AG390))),"",DB_Colleges!AG390)</f>
        <v/>
      </c>
      <c r="S396" s="26" t="str">
        <f aca="false">IF(B396="","",DB_Colleges!AK390&amp;"")</f>
        <v/>
      </c>
      <c r="T396" s="26" t="str">
        <f aca="false">IF(B396="","",DB_Colleges!AI390&amp;"")</f>
        <v/>
      </c>
      <c r="U396" s="1" t="str">
        <f aca="false">IF(AND(ISNUMBER($X$4),ISNUMBER(DB_Colleges!Z390),ISNUMBER(DB_Colleges!AA390)),IF($X$4&gt;=DB_Colleges!AA390,1,IF($X$4&lt;DB_Colleges!Z390,-1,0)),"")</f>
        <v/>
      </c>
      <c r="V396" s="1" t="str">
        <f aca="false">IF(AND(ISNUMBER($Y$4),ISNUMBER(DB_Colleges!AD390)),IF($Y$4&gt;=DB_Colleges!AD390+0.15,1,IF($Y$4&lt;DB_Colleges!AD390-0.2,-1,0)),"")</f>
        <v/>
      </c>
      <c r="W396" s="1" t="n">
        <f aca="false">IF(COUNT(U396:V396)=0,0,MIN(U396:V396))</f>
        <v>0</v>
      </c>
    </row>
    <row r="397" customFormat="false" ht="15" hidden="false" customHeight="true" outlineLevel="0" collapsed="false">
      <c r="A397" s="26" t="str">
        <f aca="false">IF(B397="","",IF(COUNTIF('My Colleges'!$B$8:$B$27,B397)&gt;0,"On list",""))</f>
        <v/>
      </c>
      <c r="B397" s="27" t="str">
        <f aca="false">IF(DB_Colleges!A391="","",DB_Colleges!A391)</f>
        <v/>
      </c>
      <c r="C397" s="26" t="str">
        <f aca="false">IF(B397="","",DB_Colleges!B391)</f>
        <v/>
      </c>
      <c r="D397" s="26" t="str">
        <f aca="false">IF(B397="","",DB_Colleges!C391&amp;", "&amp;DB_Colleges!D391)</f>
        <v/>
      </c>
      <c r="E397" s="26" t="str">
        <f aca="false">IF(B397="","",IF(AND(NOT(ISNUMBER($X$4)),NOT(ISNUMBER($Y$4))),"Add scores",IF(NOT(ISNUMBER(DB_Colleges!Y391)),IF(OR(C397="Ivy League",C397="Highly Selective"),"Reach",IF(COUNT(U397:V397)=0,"No data",CHOOSE(W397+2,"Reach","Target","Likely"))),IF(DB_Colleges!Y391&lt;0.15,"Reach",IF(DB_Colleges!Y391&gt;=0.75,IF(W397&gt;=0,"Likely","Target"),IF(DB_Colleges!Y391&gt;=0.4,CHOOSE(W397+2,"Reach","Target","Likely"),IF(W397=1,"Target","Reach")))))))</f>
        <v/>
      </c>
      <c r="F397" s="28" t="str">
        <f aca="false">IF(OR(B397="",NOT(ISNUMBER(DB_Colleges!Y391))),"",DB_Colleges!Y391)</f>
        <v/>
      </c>
      <c r="G397" s="26" t="str">
        <f aca="false">IF(OR(B397="",NOT(ISNUMBER(DB_Colleges!Z391))),"",DB_Colleges!Z391&amp;"-"&amp;DB_Colleges!AA391)</f>
        <v/>
      </c>
      <c r="H397" s="26" t="str">
        <f aca="false">IF(OR(B397="",NOT(ISNUMBER(DB_Colleges!AD391))),"",DB_Colleges!AD391)</f>
        <v/>
      </c>
      <c r="I397" s="29" t="str">
        <f aca="false">IF(B397="","",IF(COUNT(DB_Colleges!I391:O391)=0,IF(DB_Colleges!P391="Yes","Rolling","Check site"),MIN(DB_Colleges!I391:O391)))</f>
        <v/>
      </c>
      <c r="J397" s="26" t="str">
        <f aca="false">IF(OR(B397="",COUNT(DB_Colleges!I391:O391)=0),"",INDEX({"ED","ED II","EA","EA II","REA","RD","Priority"},MATCH(MIN(DB_Colleges!I391:O391),DB_Colleges!I391:O391,0)))</f>
        <v/>
      </c>
      <c r="K397" s="29" t="str">
        <f aca="false">IF(OR(B397="",NOT(ISNUMBER(DB_Colleges!N391))),"",DB_Colleges!N391)</f>
        <v/>
      </c>
      <c r="L397" s="26" t="str">
        <f aca="false">IF(B397="","",DB_Colleges!G391&amp;"")</f>
        <v/>
      </c>
      <c r="M397" s="30" t="str">
        <f aca="false">IF(OR(B397="",NOT(ISNUMBER(DB_Colleges!S391))),"",DB_Colleges!S391)</f>
        <v/>
      </c>
      <c r="N397" s="26" t="str">
        <f aca="false">IF(B397="","",DB_Colleges!U391&amp;"")</f>
        <v/>
      </c>
      <c r="O397" s="26" t="str">
        <f aca="false">IF(B397="","",IF(ISNUMBER(DB_Colleges!AH391),DB_Colleges!AH391,"Check"))</f>
        <v/>
      </c>
      <c r="P397" s="26" t="str">
        <f aca="false">IF(B397="","",DB_Colleges!W391&amp;"")</f>
        <v/>
      </c>
      <c r="Q397" s="30" t="str">
        <f aca="false">IF(OR(B397="",NOT(ISNUMBER(DB_Colleges!AF391))),"",DB_Colleges!AF391)</f>
        <v/>
      </c>
      <c r="R397" s="28" t="str">
        <f aca="false">IF(OR(B397="",NOT(ISNUMBER(DB_Colleges!AG391))),"",DB_Colleges!AG391)</f>
        <v/>
      </c>
      <c r="S397" s="26" t="str">
        <f aca="false">IF(B397="","",DB_Colleges!AK391&amp;"")</f>
        <v/>
      </c>
      <c r="T397" s="26" t="str">
        <f aca="false">IF(B397="","",DB_Colleges!AI391&amp;"")</f>
        <v/>
      </c>
      <c r="U397" s="1" t="str">
        <f aca="false">IF(AND(ISNUMBER($X$4),ISNUMBER(DB_Colleges!Z391),ISNUMBER(DB_Colleges!AA391)),IF($X$4&gt;=DB_Colleges!AA391,1,IF($X$4&lt;DB_Colleges!Z391,-1,0)),"")</f>
        <v/>
      </c>
      <c r="V397" s="1" t="str">
        <f aca="false">IF(AND(ISNUMBER($Y$4),ISNUMBER(DB_Colleges!AD391)),IF($Y$4&gt;=DB_Colleges!AD391+0.15,1,IF($Y$4&lt;DB_Colleges!AD391-0.2,-1,0)),"")</f>
        <v/>
      </c>
      <c r="W397" s="1" t="n">
        <f aca="false">IF(COUNT(U397:V397)=0,0,MIN(U397:V397))</f>
        <v>0</v>
      </c>
    </row>
    <row r="398" customFormat="false" ht="15" hidden="false" customHeight="true" outlineLevel="0" collapsed="false">
      <c r="A398" s="26" t="str">
        <f aca="false">IF(B398="","",IF(COUNTIF('My Colleges'!$B$8:$B$27,B398)&gt;0,"On list",""))</f>
        <v/>
      </c>
      <c r="B398" s="27" t="str">
        <f aca="false">IF(DB_Colleges!A392="","",DB_Colleges!A392)</f>
        <v/>
      </c>
      <c r="C398" s="26" t="str">
        <f aca="false">IF(B398="","",DB_Colleges!B392)</f>
        <v/>
      </c>
      <c r="D398" s="26" t="str">
        <f aca="false">IF(B398="","",DB_Colleges!C392&amp;", "&amp;DB_Colleges!D392)</f>
        <v/>
      </c>
      <c r="E398" s="26" t="str">
        <f aca="false">IF(B398="","",IF(AND(NOT(ISNUMBER($X$4)),NOT(ISNUMBER($Y$4))),"Add scores",IF(NOT(ISNUMBER(DB_Colleges!Y392)),IF(OR(C398="Ivy League",C398="Highly Selective"),"Reach",IF(COUNT(U398:V398)=0,"No data",CHOOSE(W398+2,"Reach","Target","Likely"))),IF(DB_Colleges!Y392&lt;0.15,"Reach",IF(DB_Colleges!Y392&gt;=0.75,IF(W398&gt;=0,"Likely","Target"),IF(DB_Colleges!Y392&gt;=0.4,CHOOSE(W398+2,"Reach","Target","Likely"),IF(W398=1,"Target","Reach")))))))</f>
        <v/>
      </c>
      <c r="F398" s="28" t="str">
        <f aca="false">IF(OR(B398="",NOT(ISNUMBER(DB_Colleges!Y392))),"",DB_Colleges!Y392)</f>
        <v/>
      </c>
      <c r="G398" s="26" t="str">
        <f aca="false">IF(OR(B398="",NOT(ISNUMBER(DB_Colleges!Z392))),"",DB_Colleges!Z392&amp;"-"&amp;DB_Colleges!AA392)</f>
        <v/>
      </c>
      <c r="H398" s="26" t="str">
        <f aca="false">IF(OR(B398="",NOT(ISNUMBER(DB_Colleges!AD392))),"",DB_Colleges!AD392)</f>
        <v/>
      </c>
      <c r="I398" s="29" t="str">
        <f aca="false">IF(B398="","",IF(COUNT(DB_Colleges!I392:O392)=0,IF(DB_Colleges!P392="Yes","Rolling","Check site"),MIN(DB_Colleges!I392:O392)))</f>
        <v/>
      </c>
      <c r="J398" s="26" t="str">
        <f aca="false">IF(OR(B398="",COUNT(DB_Colleges!I392:O392)=0),"",INDEX({"ED","ED II","EA","EA II","REA","RD","Priority"},MATCH(MIN(DB_Colleges!I392:O392),DB_Colleges!I392:O392,0)))</f>
        <v/>
      </c>
      <c r="K398" s="29" t="str">
        <f aca="false">IF(OR(B398="",NOT(ISNUMBER(DB_Colleges!N392))),"",DB_Colleges!N392)</f>
        <v/>
      </c>
      <c r="L398" s="26" t="str">
        <f aca="false">IF(B398="","",DB_Colleges!G392&amp;"")</f>
        <v/>
      </c>
      <c r="M398" s="30" t="str">
        <f aca="false">IF(OR(B398="",NOT(ISNUMBER(DB_Colleges!S392))),"",DB_Colleges!S392)</f>
        <v/>
      </c>
      <c r="N398" s="26" t="str">
        <f aca="false">IF(B398="","",DB_Colleges!U392&amp;"")</f>
        <v/>
      </c>
      <c r="O398" s="26" t="str">
        <f aca="false">IF(B398="","",IF(ISNUMBER(DB_Colleges!AH392),DB_Colleges!AH392,"Check"))</f>
        <v/>
      </c>
      <c r="P398" s="26" t="str">
        <f aca="false">IF(B398="","",DB_Colleges!W392&amp;"")</f>
        <v/>
      </c>
      <c r="Q398" s="30" t="str">
        <f aca="false">IF(OR(B398="",NOT(ISNUMBER(DB_Colleges!AF392))),"",DB_Colleges!AF392)</f>
        <v/>
      </c>
      <c r="R398" s="28" t="str">
        <f aca="false">IF(OR(B398="",NOT(ISNUMBER(DB_Colleges!AG392))),"",DB_Colleges!AG392)</f>
        <v/>
      </c>
      <c r="S398" s="26" t="str">
        <f aca="false">IF(B398="","",DB_Colleges!AK392&amp;"")</f>
        <v/>
      </c>
      <c r="T398" s="26" t="str">
        <f aca="false">IF(B398="","",DB_Colleges!AI392&amp;"")</f>
        <v/>
      </c>
      <c r="U398" s="1" t="str">
        <f aca="false">IF(AND(ISNUMBER($X$4),ISNUMBER(DB_Colleges!Z392),ISNUMBER(DB_Colleges!AA392)),IF($X$4&gt;=DB_Colleges!AA392,1,IF($X$4&lt;DB_Colleges!Z392,-1,0)),"")</f>
        <v/>
      </c>
      <c r="V398" s="1" t="str">
        <f aca="false">IF(AND(ISNUMBER($Y$4),ISNUMBER(DB_Colleges!AD392)),IF($Y$4&gt;=DB_Colleges!AD392+0.15,1,IF($Y$4&lt;DB_Colleges!AD392-0.2,-1,0)),"")</f>
        <v/>
      </c>
      <c r="W398" s="1" t="n">
        <f aca="false">IF(COUNT(U398:V398)=0,0,MIN(U398:V398))</f>
        <v>0</v>
      </c>
    </row>
    <row r="399" customFormat="false" ht="15" hidden="false" customHeight="true" outlineLevel="0" collapsed="false">
      <c r="A399" s="26" t="str">
        <f aca="false">IF(B399="","",IF(COUNTIF('My Colleges'!$B$8:$B$27,B399)&gt;0,"On list",""))</f>
        <v/>
      </c>
      <c r="B399" s="27" t="str">
        <f aca="false">IF(DB_Colleges!A393="","",DB_Colleges!A393)</f>
        <v/>
      </c>
      <c r="C399" s="26" t="str">
        <f aca="false">IF(B399="","",DB_Colleges!B393)</f>
        <v/>
      </c>
      <c r="D399" s="26" t="str">
        <f aca="false">IF(B399="","",DB_Colleges!C393&amp;", "&amp;DB_Colleges!D393)</f>
        <v/>
      </c>
      <c r="E399" s="26" t="str">
        <f aca="false">IF(B399="","",IF(AND(NOT(ISNUMBER($X$4)),NOT(ISNUMBER($Y$4))),"Add scores",IF(NOT(ISNUMBER(DB_Colleges!Y393)),IF(OR(C399="Ivy League",C399="Highly Selective"),"Reach",IF(COUNT(U399:V399)=0,"No data",CHOOSE(W399+2,"Reach","Target","Likely"))),IF(DB_Colleges!Y393&lt;0.15,"Reach",IF(DB_Colleges!Y393&gt;=0.75,IF(W399&gt;=0,"Likely","Target"),IF(DB_Colleges!Y393&gt;=0.4,CHOOSE(W399+2,"Reach","Target","Likely"),IF(W399=1,"Target","Reach")))))))</f>
        <v/>
      </c>
      <c r="F399" s="28" t="str">
        <f aca="false">IF(OR(B399="",NOT(ISNUMBER(DB_Colleges!Y393))),"",DB_Colleges!Y393)</f>
        <v/>
      </c>
      <c r="G399" s="26" t="str">
        <f aca="false">IF(OR(B399="",NOT(ISNUMBER(DB_Colleges!Z393))),"",DB_Colleges!Z393&amp;"-"&amp;DB_Colleges!AA393)</f>
        <v/>
      </c>
      <c r="H399" s="26" t="str">
        <f aca="false">IF(OR(B399="",NOT(ISNUMBER(DB_Colleges!AD393))),"",DB_Colleges!AD393)</f>
        <v/>
      </c>
      <c r="I399" s="29" t="str">
        <f aca="false">IF(B399="","",IF(COUNT(DB_Colleges!I393:O393)=0,IF(DB_Colleges!P393="Yes","Rolling","Check site"),MIN(DB_Colleges!I393:O393)))</f>
        <v/>
      </c>
      <c r="J399" s="26" t="str">
        <f aca="false">IF(OR(B399="",COUNT(DB_Colleges!I393:O393)=0),"",INDEX({"ED","ED II","EA","EA II","REA","RD","Priority"},MATCH(MIN(DB_Colleges!I393:O393),DB_Colleges!I393:O393,0)))</f>
        <v/>
      </c>
      <c r="K399" s="29" t="str">
        <f aca="false">IF(OR(B399="",NOT(ISNUMBER(DB_Colleges!N393))),"",DB_Colleges!N393)</f>
        <v/>
      </c>
      <c r="L399" s="26" t="str">
        <f aca="false">IF(B399="","",DB_Colleges!G393&amp;"")</f>
        <v/>
      </c>
      <c r="M399" s="30" t="str">
        <f aca="false">IF(OR(B399="",NOT(ISNUMBER(DB_Colleges!S393))),"",DB_Colleges!S393)</f>
        <v/>
      </c>
      <c r="N399" s="26" t="str">
        <f aca="false">IF(B399="","",DB_Colleges!U393&amp;"")</f>
        <v/>
      </c>
      <c r="O399" s="26" t="str">
        <f aca="false">IF(B399="","",IF(ISNUMBER(DB_Colleges!AH393),DB_Colleges!AH393,"Check"))</f>
        <v/>
      </c>
      <c r="P399" s="26" t="str">
        <f aca="false">IF(B399="","",DB_Colleges!W393&amp;"")</f>
        <v/>
      </c>
      <c r="Q399" s="30" t="str">
        <f aca="false">IF(OR(B399="",NOT(ISNUMBER(DB_Colleges!AF393))),"",DB_Colleges!AF393)</f>
        <v/>
      </c>
      <c r="R399" s="28" t="str">
        <f aca="false">IF(OR(B399="",NOT(ISNUMBER(DB_Colleges!AG393))),"",DB_Colleges!AG393)</f>
        <v/>
      </c>
      <c r="S399" s="26" t="str">
        <f aca="false">IF(B399="","",DB_Colleges!AK393&amp;"")</f>
        <v/>
      </c>
      <c r="T399" s="26" t="str">
        <f aca="false">IF(B399="","",DB_Colleges!AI393&amp;"")</f>
        <v/>
      </c>
      <c r="U399" s="1" t="str">
        <f aca="false">IF(AND(ISNUMBER($X$4),ISNUMBER(DB_Colleges!Z393),ISNUMBER(DB_Colleges!AA393)),IF($X$4&gt;=DB_Colleges!AA393,1,IF($X$4&lt;DB_Colleges!Z393,-1,0)),"")</f>
        <v/>
      </c>
      <c r="V399" s="1" t="str">
        <f aca="false">IF(AND(ISNUMBER($Y$4),ISNUMBER(DB_Colleges!AD393)),IF($Y$4&gt;=DB_Colleges!AD393+0.15,1,IF($Y$4&lt;DB_Colleges!AD393-0.2,-1,0)),"")</f>
        <v/>
      </c>
      <c r="W399" s="1" t="n">
        <f aca="false">IF(COUNT(U399:V399)=0,0,MIN(U399:V399))</f>
        <v>0</v>
      </c>
    </row>
    <row r="400" customFormat="false" ht="15" hidden="false" customHeight="true" outlineLevel="0" collapsed="false">
      <c r="A400" s="26" t="str">
        <f aca="false">IF(B400="","",IF(COUNTIF('My Colleges'!$B$8:$B$27,B400)&gt;0,"On list",""))</f>
        <v/>
      </c>
      <c r="B400" s="27" t="str">
        <f aca="false">IF(DB_Colleges!A394="","",DB_Colleges!A394)</f>
        <v/>
      </c>
      <c r="C400" s="26" t="str">
        <f aca="false">IF(B400="","",DB_Colleges!B394)</f>
        <v/>
      </c>
      <c r="D400" s="26" t="str">
        <f aca="false">IF(B400="","",DB_Colleges!C394&amp;", "&amp;DB_Colleges!D394)</f>
        <v/>
      </c>
      <c r="E400" s="26" t="str">
        <f aca="false">IF(B400="","",IF(AND(NOT(ISNUMBER($X$4)),NOT(ISNUMBER($Y$4))),"Add scores",IF(NOT(ISNUMBER(DB_Colleges!Y394)),IF(OR(C400="Ivy League",C400="Highly Selective"),"Reach",IF(COUNT(U400:V400)=0,"No data",CHOOSE(W400+2,"Reach","Target","Likely"))),IF(DB_Colleges!Y394&lt;0.15,"Reach",IF(DB_Colleges!Y394&gt;=0.75,IF(W400&gt;=0,"Likely","Target"),IF(DB_Colleges!Y394&gt;=0.4,CHOOSE(W400+2,"Reach","Target","Likely"),IF(W400=1,"Target","Reach")))))))</f>
        <v/>
      </c>
      <c r="F400" s="28" t="str">
        <f aca="false">IF(OR(B400="",NOT(ISNUMBER(DB_Colleges!Y394))),"",DB_Colleges!Y394)</f>
        <v/>
      </c>
      <c r="G400" s="26" t="str">
        <f aca="false">IF(OR(B400="",NOT(ISNUMBER(DB_Colleges!Z394))),"",DB_Colleges!Z394&amp;"-"&amp;DB_Colleges!AA394)</f>
        <v/>
      </c>
      <c r="H400" s="26" t="str">
        <f aca="false">IF(OR(B400="",NOT(ISNUMBER(DB_Colleges!AD394))),"",DB_Colleges!AD394)</f>
        <v/>
      </c>
      <c r="I400" s="29" t="str">
        <f aca="false">IF(B400="","",IF(COUNT(DB_Colleges!I394:O394)=0,IF(DB_Colleges!P394="Yes","Rolling","Check site"),MIN(DB_Colleges!I394:O394)))</f>
        <v/>
      </c>
      <c r="J400" s="26" t="str">
        <f aca="false">IF(OR(B400="",COUNT(DB_Colleges!I394:O394)=0),"",INDEX({"ED","ED II","EA","EA II","REA","RD","Priority"},MATCH(MIN(DB_Colleges!I394:O394),DB_Colleges!I394:O394,0)))</f>
        <v/>
      </c>
      <c r="K400" s="29" t="str">
        <f aca="false">IF(OR(B400="",NOT(ISNUMBER(DB_Colleges!N394))),"",DB_Colleges!N394)</f>
        <v/>
      </c>
      <c r="L400" s="26" t="str">
        <f aca="false">IF(B400="","",DB_Colleges!G394&amp;"")</f>
        <v/>
      </c>
      <c r="M400" s="30" t="str">
        <f aca="false">IF(OR(B400="",NOT(ISNUMBER(DB_Colleges!S394))),"",DB_Colleges!S394)</f>
        <v/>
      </c>
      <c r="N400" s="26" t="str">
        <f aca="false">IF(B400="","",DB_Colleges!U394&amp;"")</f>
        <v/>
      </c>
      <c r="O400" s="26" t="str">
        <f aca="false">IF(B400="","",IF(ISNUMBER(DB_Colleges!AH394),DB_Colleges!AH394,"Check"))</f>
        <v/>
      </c>
      <c r="P400" s="26" t="str">
        <f aca="false">IF(B400="","",DB_Colleges!W394&amp;"")</f>
        <v/>
      </c>
      <c r="Q400" s="30" t="str">
        <f aca="false">IF(OR(B400="",NOT(ISNUMBER(DB_Colleges!AF394))),"",DB_Colleges!AF394)</f>
        <v/>
      </c>
      <c r="R400" s="28" t="str">
        <f aca="false">IF(OR(B400="",NOT(ISNUMBER(DB_Colleges!AG394))),"",DB_Colleges!AG394)</f>
        <v/>
      </c>
      <c r="S400" s="26" t="str">
        <f aca="false">IF(B400="","",DB_Colleges!AK394&amp;"")</f>
        <v/>
      </c>
      <c r="T400" s="26" t="str">
        <f aca="false">IF(B400="","",DB_Colleges!AI394&amp;"")</f>
        <v/>
      </c>
      <c r="U400" s="1" t="str">
        <f aca="false">IF(AND(ISNUMBER($X$4),ISNUMBER(DB_Colleges!Z394),ISNUMBER(DB_Colleges!AA394)),IF($X$4&gt;=DB_Colleges!AA394,1,IF($X$4&lt;DB_Colleges!Z394,-1,0)),"")</f>
        <v/>
      </c>
      <c r="V400" s="1" t="str">
        <f aca="false">IF(AND(ISNUMBER($Y$4),ISNUMBER(DB_Colleges!AD394)),IF($Y$4&gt;=DB_Colleges!AD394+0.15,1,IF($Y$4&lt;DB_Colleges!AD394-0.2,-1,0)),"")</f>
        <v/>
      </c>
      <c r="W400" s="1" t="n">
        <f aca="false">IF(COUNT(U400:V400)=0,0,MIN(U400:V400))</f>
        <v>0</v>
      </c>
    </row>
    <row r="401" customFormat="false" ht="15" hidden="false" customHeight="true" outlineLevel="0" collapsed="false">
      <c r="A401" s="26" t="str">
        <f aca="false">IF(B401="","",IF(COUNTIF('My Colleges'!$B$8:$B$27,B401)&gt;0,"On list",""))</f>
        <v/>
      </c>
      <c r="B401" s="27" t="str">
        <f aca="false">IF(DB_Colleges!A395="","",DB_Colleges!A395)</f>
        <v/>
      </c>
      <c r="C401" s="26" t="str">
        <f aca="false">IF(B401="","",DB_Colleges!B395)</f>
        <v/>
      </c>
      <c r="D401" s="26" t="str">
        <f aca="false">IF(B401="","",DB_Colleges!C395&amp;", "&amp;DB_Colleges!D395)</f>
        <v/>
      </c>
      <c r="E401" s="26" t="str">
        <f aca="false">IF(B401="","",IF(AND(NOT(ISNUMBER($X$4)),NOT(ISNUMBER($Y$4))),"Add scores",IF(NOT(ISNUMBER(DB_Colleges!Y395)),IF(OR(C401="Ivy League",C401="Highly Selective"),"Reach",IF(COUNT(U401:V401)=0,"No data",CHOOSE(W401+2,"Reach","Target","Likely"))),IF(DB_Colleges!Y395&lt;0.15,"Reach",IF(DB_Colleges!Y395&gt;=0.75,IF(W401&gt;=0,"Likely","Target"),IF(DB_Colleges!Y395&gt;=0.4,CHOOSE(W401+2,"Reach","Target","Likely"),IF(W401=1,"Target","Reach")))))))</f>
        <v/>
      </c>
      <c r="F401" s="28" t="str">
        <f aca="false">IF(OR(B401="",NOT(ISNUMBER(DB_Colleges!Y395))),"",DB_Colleges!Y395)</f>
        <v/>
      </c>
      <c r="G401" s="26" t="str">
        <f aca="false">IF(OR(B401="",NOT(ISNUMBER(DB_Colleges!Z395))),"",DB_Colleges!Z395&amp;"-"&amp;DB_Colleges!AA395)</f>
        <v/>
      </c>
      <c r="H401" s="26" t="str">
        <f aca="false">IF(OR(B401="",NOT(ISNUMBER(DB_Colleges!AD395))),"",DB_Colleges!AD395)</f>
        <v/>
      </c>
      <c r="I401" s="29" t="str">
        <f aca="false">IF(B401="","",IF(COUNT(DB_Colleges!I395:O395)=0,IF(DB_Colleges!P395="Yes","Rolling","Check site"),MIN(DB_Colleges!I395:O395)))</f>
        <v/>
      </c>
      <c r="J401" s="26" t="str">
        <f aca="false">IF(OR(B401="",COUNT(DB_Colleges!I395:O395)=0),"",INDEX({"ED","ED II","EA","EA II","REA","RD","Priority"},MATCH(MIN(DB_Colleges!I395:O395),DB_Colleges!I395:O395,0)))</f>
        <v/>
      </c>
      <c r="K401" s="29" t="str">
        <f aca="false">IF(OR(B401="",NOT(ISNUMBER(DB_Colleges!N395))),"",DB_Colleges!N395)</f>
        <v/>
      </c>
      <c r="L401" s="26" t="str">
        <f aca="false">IF(B401="","",DB_Colleges!G395&amp;"")</f>
        <v/>
      </c>
      <c r="M401" s="30" t="str">
        <f aca="false">IF(OR(B401="",NOT(ISNUMBER(DB_Colleges!S395))),"",DB_Colleges!S395)</f>
        <v/>
      </c>
      <c r="N401" s="26" t="str">
        <f aca="false">IF(B401="","",DB_Colleges!U395&amp;"")</f>
        <v/>
      </c>
      <c r="O401" s="26" t="str">
        <f aca="false">IF(B401="","",IF(ISNUMBER(DB_Colleges!AH395),DB_Colleges!AH395,"Check"))</f>
        <v/>
      </c>
      <c r="P401" s="26" t="str">
        <f aca="false">IF(B401="","",DB_Colleges!W395&amp;"")</f>
        <v/>
      </c>
      <c r="Q401" s="30" t="str">
        <f aca="false">IF(OR(B401="",NOT(ISNUMBER(DB_Colleges!AF395))),"",DB_Colleges!AF395)</f>
        <v/>
      </c>
      <c r="R401" s="28" t="str">
        <f aca="false">IF(OR(B401="",NOT(ISNUMBER(DB_Colleges!AG395))),"",DB_Colleges!AG395)</f>
        <v/>
      </c>
      <c r="S401" s="26" t="str">
        <f aca="false">IF(B401="","",DB_Colleges!AK395&amp;"")</f>
        <v/>
      </c>
      <c r="T401" s="26" t="str">
        <f aca="false">IF(B401="","",DB_Colleges!AI395&amp;"")</f>
        <v/>
      </c>
      <c r="U401" s="1" t="str">
        <f aca="false">IF(AND(ISNUMBER($X$4),ISNUMBER(DB_Colleges!Z395),ISNUMBER(DB_Colleges!AA395)),IF($X$4&gt;=DB_Colleges!AA395,1,IF($X$4&lt;DB_Colleges!Z395,-1,0)),"")</f>
        <v/>
      </c>
      <c r="V401" s="1" t="str">
        <f aca="false">IF(AND(ISNUMBER($Y$4),ISNUMBER(DB_Colleges!AD395)),IF($Y$4&gt;=DB_Colleges!AD395+0.15,1,IF($Y$4&lt;DB_Colleges!AD395-0.2,-1,0)),"")</f>
        <v/>
      </c>
      <c r="W401" s="1" t="n">
        <f aca="false">IF(COUNT(U401:V401)=0,0,MIN(U401:V401))</f>
        <v>0</v>
      </c>
    </row>
    <row r="402" customFormat="false" ht="15" hidden="false" customHeight="true" outlineLevel="0" collapsed="false">
      <c r="A402" s="26" t="str">
        <f aca="false">IF(B402="","",IF(COUNTIF('My Colleges'!$B$8:$B$27,B402)&gt;0,"On list",""))</f>
        <v/>
      </c>
      <c r="B402" s="27" t="str">
        <f aca="false">IF(DB_Colleges!A396="","",DB_Colleges!A396)</f>
        <v/>
      </c>
      <c r="C402" s="26" t="str">
        <f aca="false">IF(B402="","",DB_Colleges!B396)</f>
        <v/>
      </c>
      <c r="D402" s="26" t="str">
        <f aca="false">IF(B402="","",DB_Colleges!C396&amp;", "&amp;DB_Colleges!D396)</f>
        <v/>
      </c>
      <c r="E402" s="26" t="str">
        <f aca="false">IF(B402="","",IF(AND(NOT(ISNUMBER($X$4)),NOT(ISNUMBER($Y$4))),"Add scores",IF(NOT(ISNUMBER(DB_Colleges!Y396)),IF(OR(C402="Ivy League",C402="Highly Selective"),"Reach",IF(COUNT(U402:V402)=0,"No data",CHOOSE(W402+2,"Reach","Target","Likely"))),IF(DB_Colleges!Y396&lt;0.15,"Reach",IF(DB_Colleges!Y396&gt;=0.75,IF(W402&gt;=0,"Likely","Target"),IF(DB_Colleges!Y396&gt;=0.4,CHOOSE(W402+2,"Reach","Target","Likely"),IF(W402=1,"Target","Reach")))))))</f>
        <v/>
      </c>
      <c r="F402" s="28" t="str">
        <f aca="false">IF(OR(B402="",NOT(ISNUMBER(DB_Colleges!Y396))),"",DB_Colleges!Y396)</f>
        <v/>
      </c>
      <c r="G402" s="26" t="str">
        <f aca="false">IF(OR(B402="",NOT(ISNUMBER(DB_Colleges!Z396))),"",DB_Colleges!Z396&amp;"-"&amp;DB_Colleges!AA396)</f>
        <v/>
      </c>
      <c r="H402" s="26" t="str">
        <f aca="false">IF(OR(B402="",NOT(ISNUMBER(DB_Colleges!AD396))),"",DB_Colleges!AD396)</f>
        <v/>
      </c>
      <c r="I402" s="29" t="str">
        <f aca="false">IF(B402="","",IF(COUNT(DB_Colleges!I396:O396)=0,IF(DB_Colleges!P396="Yes","Rolling","Check site"),MIN(DB_Colleges!I396:O396)))</f>
        <v/>
      </c>
      <c r="J402" s="26" t="str">
        <f aca="false">IF(OR(B402="",COUNT(DB_Colleges!I396:O396)=0),"",INDEX({"ED","ED II","EA","EA II","REA","RD","Priority"},MATCH(MIN(DB_Colleges!I396:O396),DB_Colleges!I396:O396,0)))</f>
        <v/>
      </c>
      <c r="K402" s="29" t="str">
        <f aca="false">IF(OR(B402="",NOT(ISNUMBER(DB_Colleges!N396))),"",DB_Colleges!N396)</f>
        <v/>
      </c>
      <c r="L402" s="26" t="str">
        <f aca="false">IF(B402="","",DB_Colleges!G396&amp;"")</f>
        <v/>
      </c>
      <c r="M402" s="30" t="str">
        <f aca="false">IF(OR(B402="",NOT(ISNUMBER(DB_Colleges!S396))),"",DB_Colleges!S396)</f>
        <v/>
      </c>
      <c r="N402" s="26" t="str">
        <f aca="false">IF(B402="","",DB_Colleges!U396&amp;"")</f>
        <v/>
      </c>
      <c r="O402" s="26" t="str">
        <f aca="false">IF(B402="","",IF(ISNUMBER(DB_Colleges!AH396),DB_Colleges!AH396,"Check"))</f>
        <v/>
      </c>
      <c r="P402" s="26" t="str">
        <f aca="false">IF(B402="","",DB_Colleges!W396&amp;"")</f>
        <v/>
      </c>
      <c r="Q402" s="30" t="str">
        <f aca="false">IF(OR(B402="",NOT(ISNUMBER(DB_Colleges!AF396))),"",DB_Colleges!AF396)</f>
        <v/>
      </c>
      <c r="R402" s="28" t="str">
        <f aca="false">IF(OR(B402="",NOT(ISNUMBER(DB_Colleges!AG396))),"",DB_Colleges!AG396)</f>
        <v/>
      </c>
      <c r="S402" s="26" t="str">
        <f aca="false">IF(B402="","",DB_Colleges!AK396&amp;"")</f>
        <v/>
      </c>
      <c r="T402" s="26" t="str">
        <f aca="false">IF(B402="","",DB_Colleges!AI396&amp;"")</f>
        <v/>
      </c>
      <c r="U402" s="1" t="str">
        <f aca="false">IF(AND(ISNUMBER($X$4),ISNUMBER(DB_Colleges!Z396),ISNUMBER(DB_Colleges!AA396)),IF($X$4&gt;=DB_Colleges!AA396,1,IF($X$4&lt;DB_Colleges!Z396,-1,0)),"")</f>
        <v/>
      </c>
      <c r="V402" s="1" t="str">
        <f aca="false">IF(AND(ISNUMBER($Y$4),ISNUMBER(DB_Colleges!AD396)),IF($Y$4&gt;=DB_Colleges!AD396+0.15,1,IF($Y$4&lt;DB_Colleges!AD396-0.2,-1,0)),"")</f>
        <v/>
      </c>
      <c r="W402" s="1" t="n">
        <f aca="false">IF(COUNT(U402:V402)=0,0,MIN(U402:V402))</f>
        <v>0</v>
      </c>
    </row>
    <row r="403" customFormat="false" ht="15" hidden="false" customHeight="true" outlineLevel="0" collapsed="false">
      <c r="A403" s="26" t="str">
        <f aca="false">IF(B403="","",IF(COUNTIF('My Colleges'!$B$8:$B$27,B403)&gt;0,"On list",""))</f>
        <v/>
      </c>
      <c r="B403" s="27" t="str">
        <f aca="false">IF(DB_Colleges!A397="","",DB_Colleges!A397)</f>
        <v/>
      </c>
      <c r="C403" s="26" t="str">
        <f aca="false">IF(B403="","",DB_Colleges!B397)</f>
        <v/>
      </c>
      <c r="D403" s="26" t="str">
        <f aca="false">IF(B403="","",DB_Colleges!C397&amp;", "&amp;DB_Colleges!D397)</f>
        <v/>
      </c>
      <c r="E403" s="26" t="str">
        <f aca="false">IF(B403="","",IF(AND(NOT(ISNUMBER($X$4)),NOT(ISNUMBER($Y$4))),"Add scores",IF(NOT(ISNUMBER(DB_Colleges!Y397)),IF(OR(C403="Ivy League",C403="Highly Selective"),"Reach",IF(COUNT(U403:V403)=0,"No data",CHOOSE(W403+2,"Reach","Target","Likely"))),IF(DB_Colleges!Y397&lt;0.15,"Reach",IF(DB_Colleges!Y397&gt;=0.75,IF(W403&gt;=0,"Likely","Target"),IF(DB_Colleges!Y397&gt;=0.4,CHOOSE(W403+2,"Reach","Target","Likely"),IF(W403=1,"Target","Reach")))))))</f>
        <v/>
      </c>
      <c r="F403" s="28" t="str">
        <f aca="false">IF(OR(B403="",NOT(ISNUMBER(DB_Colleges!Y397))),"",DB_Colleges!Y397)</f>
        <v/>
      </c>
      <c r="G403" s="26" t="str">
        <f aca="false">IF(OR(B403="",NOT(ISNUMBER(DB_Colleges!Z397))),"",DB_Colleges!Z397&amp;"-"&amp;DB_Colleges!AA397)</f>
        <v/>
      </c>
      <c r="H403" s="26" t="str">
        <f aca="false">IF(OR(B403="",NOT(ISNUMBER(DB_Colleges!AD397))),"",DB_Colleges!AD397)</f>
        <v/>
      </c>
      <c r="I403" s="29" t="str">
        <f aca="false">IF(B403="","",IF(COUNT(DB_Colleges!I397:O397)=0,IF(DB_Colleges!P397="Yes","Rolling","Check site"),MIN(DB_Colleges!I397:O397)))</f>
        <v/>
      </c>
      <c r="J403" s="26" t="str">
        <f aca="false">IF(OR(B403="",COUNT(DB_Colleges!I397:O397)=0),"",INDEX({"ED","ED II","EA","EA II","REA","RD","Priority"},MATCH(MIN(DB_Colleges!I397:O397),DB_Colleges!I397:O397,0)))</f>
        <v/>
      </c>
      <c r="K403" s="29" t="str">
        <f aca="false">IF(OR(B403="",NOT(ISNUMBER(DB_Colleges!N397))),"",DB_Colleges!N397)</f>
        <v/>
      </c>
      <c r="L403" s="26" t="str">
        <f aca="false">IF(B403="","",DB_Colleges!G397&amp;"")</f>
        <v/>
      </c>
      <c r="M403" s="30" t="str">
        <f aca="false">IF(OR(B403="",NOT(ISNUMBER(DB_Colleges!S397))),"",DB_Colleges!S397)</f>
        <v/>
      </c>
      <c r="N403" s="26" t="str">
        <f aca="false">IF(B403="","",DB_Colleges!U397&amp;"")</f>
        <v/>
      </c>
      <c r="O403" s="26" t="str">
        <f aca="false">IF(B403="","",IF(ISNUMBER(DB_Colleges!AH397),DB_Colleges!AH397,"Check"))</f>
        <v/>
      </c>
      <c r="P403" s="26" t="str">
        <f aca="false">IF(B403="","",DB_Colleges!W397&amp;"")</f>
        <v/>
      </c>
      <c r="Q403" s="30" t="str">
        <f aca="false">IF(OR(B403="",NOT(ISNUMBER(DB_Colleges!AF397))),"",DB_Colleges!AF397)</f>
        <v/>
      </c>
      <c r="R403" s="28" t="str">
        <f aca="false">IF(OR(B403="",NOT(ISNUMBER(DB_Colleges!AG397))),"",DB_Colleges!AG397)</f>
        <v/>
      </c>
      <c r="S403" s="26" t="str">
        <f aca="false">IF(B403="","",DB_Colleges!AK397&amp;"")</f>
        <v/>
      </c>
      <c r="T403" s="26" t="str">
        <f aca="false">IF(B403="","",DB_Colleges!AI397&amp;"")</f>
        <v/>
      </c>
      <c r="U403" s="1" t="str">
        <f aca="false">IF(AND(ISNUMBER($X$4),ISNUMBER(DB_Colleges!Z397),ISNUMBER(DB_Colleges!AA397)),IF($X$4&gt;=DB_Colleges!AA397,1,IF($X$4&lt;DB_Colleges!Z397,-1,0)),"")</f>
        <v/>
      </c>
      <c r="V403" s="1" t="str">
        <f aca="false">IF(AND(ISNUMBER($Y$4),ISNUMBER(DB_Colleges!AD397)),IF($Y$4&gt;=DB_Colleges!AD397+0.15,1,IF($Y$4&lt;DB_Colleges!AD397-0.2,-1,0)),"")</f>
        <v/>
      </c>
      <c r="W403" s="1" t="n">
        <f aca="false">IF(COUNT(U403:V403)=0,0,MIN(U403:V403))</f>
        <v>0</v>
      </c>
    </row>
    <row r="404" customFormat="false" ht="15" hidden="false" customHeight="true" outlineLevel="0" collapsed="false">
      <c r="A404" s="26" t="str">
        <f aca="false">IF(B404="","",IF(COUNTIF('My Colleges'!$B$8:$B$27,B404)&gt;0,"On list",""))</f>
        <v/>
      </c>
      <c r="B404" s="27" t="str">
        <f aca="false">IF(DB_Colleges!A398="","",DB_Colleges!A398)</f>
        <v/>
      </c>
      <c r="C404" s="26" t="str">
        <f aca="false">IF(B404="","",DB_Colleges!B398)</f>
        <v/>
      </c>
      <c r="D404" s="26" t="str">
        <f aca="false">IF(B404="","",DB_Colleges!C398&amp;", "&amp;DB_Colleges!D398)</f>
        <v/>
      </c>
      <c r="E404" s="26" t="str">
        <f aca="false">IF(B404="","",IF(AND(NOT(ISNUMBER($X$4)),NOT(ISNUMBER($Y$4))),"Add scores",IF(NOT(ISNUMBER(DB_Colleges!Y398)),IF(OR(C404="Ivy League",C404="Highly Selective"),"Reach",IF(COUNT(U404:V404)=0,"No data",CHOOSE(W404+2,"Reach","Target","Likely"))),IF(DB_Colleges!Y398&lt;0.15,"Reach",IF(DB_Colleges!Y398&gt;=0.75,IF(W404&gt;=0,"Likely","Target"),IF(DB_Colleges!Y398&gt;=0.4,CHOOSE(W404+2,"Reach","Target","Likely"),IF(W404=1,"Target","Reach")))))))</f>
        <v/>
      </c>
      <c r="F404" s="28" t="str">
        <f aca="false">IF(OR(B404="",NOT(ISNUMBER(DB_Colleges!Y398))),"",DB_Colleges!Y398)</f>
        <v/>
      </c>
      <c r="G404" s="26" t="str">
        <f aca="false">IF(OR(B404="",NOT(ISNUMBER(DB_Colleges!Z398))),"",DB_Colleges!Z398&amp;"-"&amp;DB_Colleges!AA398)</f>
        <v/>
      </c>
      <c r="H404" s="26" t="str">
        <f aca="false">IF(OR(B404="",NOT(ISNUMBER(DB_Colleges!AD398))),"",DB_Colleges!AD398)</f>
        <v/>
      </c>
      <c r="I404" s="29" t="str">
        <f aca="false">IF(B404="","",IF(COUNT(DB_Colleges!I398:O398)=0,IF(DB_Colleges!P398="Yes","Rolling","Check site"),MIN(DB_Colleges!I398:O398)))</f>
        <v/>
      </c>
      <c r="J404" s="26" t="str">
        <f aca="false">IF(OR(B404="",COUNT(DB_Colleges!I398:O398)=0),"",INDEX({"ED","ED II","EA","EA II","REA","RD","Priority"},MATCH(MIN(DB_Colleges!I398:O398),DB_Colleges!I398:O398,0)))</f>
        <v/>
      </c>
      <c r="K404" s="29" t="str">
        <f aca="false">IF(OR(B404="",NOT(ISNUMBER(DB_Colleges!N398))),"",DB_Colleges!N398)</f>
        <v/>
      </c>
      <c r="L404" s="26" t="str">
        <f aca="false">IF(B404="","",DB_Colleges!G398&amp;"")</f>
        <v/>
      </c>
      <c r="M404" s="30" t="str">
        <f aca="false">IF(OR(B404="",NOT(ISNUMBER(DB_Colleges!S398))),"",DB_Colleges!S398)</f>
        <v/>
      </c>
      <c r="N404" s="26" t="str">
        <f aca="false">IF(B404="","",DB_Colleges!U398&amp;"")</f>
        <v/>
      </c>
      <c r="O404" s="26" t="str">
        <f aca="false">IF(B404="","",IF(ISNUMBER(DB_Colleges!AH398),DB_Colleges!AH398,"Check"))</f>
        <v/>
      </c>
      <c r="P404" s="26" t="str">
        <f aca="false">IF(B404="","",DB_Colleges!W398&amp;"")</f>
        <v/>
      </c>
      <c r="Q404" s="30" t="str">
        <f aca="false">IF(OR(B404="",NOT(ISNUMBER(DB_Colleges!AF398))),"",DB_Colleges!AF398)</f>
        <v/>
      </c>
      <c r="R404" s="28" t="str">
        <f aca="false">IF(OR(B404="",NOT(ISNUMBER(DB_Colleges!AG398))),"",DB_Colleges!AG398)</f>
        <v/>
      </c>
      <c r="S404" s="26" t="str">
        <f aca="false">IF(B404="","",DB_Colleges!AK398&amp;"")</f>
        <v/>
      </c>
      <c r="T404" s="26" t="str">
        <f aca="false">IF(B404="","",DB_Colleges!AI398&amp;"")</f>
        <v/>
      </c>
      <c r="U404" s="1" t="str">
        <f aca="false">IF(AND(ISNUMBER($X$4),ISNUMBER(DB_Colleges!Z398),ISNUMBER(DB_Colleges!AA398)),IF($X$4&gt;=DB_Colleges!AA398,1,IF($X$4&lt;DB_Colleges!Z398,-1,0)),"")</f>
        <v/>
      </c>
      <c r="V404" s="1" t="str">
        <f aca="false">IF(AND(ISNUMBER($Y$4),ISNUMBER(DB_Colleges!AD398)),IF($Y$4&gt;=DB_Colleges!AD398+0.15,1,IF($Y$4&lt;DB_Colleges!AD398-0.2,-1,0)),"")</f>
        <v/>
      </c>
      <c r="W404" s="1" t="n">
        <f aca="false">IF(COUNT(U404:V404)=0,0,MIN(U404:V404))</f>
        <v>0</v>
      </c>
    </row>
    <row r="405" customFormat="false" ht="15" hidden="false" customHeight="true" outlineLevel="0" collapsed="false">
      <c r="A405" s="26" t="str">
        <f aca="false">IF(B405="","",IF(COUNTIF('My Colleges'!$B$8:$B$27,B405)&gt;0,"On list",""))</f>
        <v/>
      </c>
      <c r="B405" s="27" t="str">
        <f aca="false">IF(DB_Colleges!A399="","",DB_Colleges!A399)</f>
        <v/>
      </c>
      <c r="C405" s="26" t="str">
        <f aca="false">IF(B405="","",DB_Colleges!B399)</f>
        <v/>
      </c>
      <c r="D405" s="26" t="str">
        <f aca="false">IF(B405="","",DB_Colleges!C399&amp;", "&amp;DB_Colleges!D399)</f>
        <v/>
      </c>
      <c r="E405" s="26" t="str">
        <f aca="false">IF(B405="","",IF(AND(NOT(ISNUMBER($X$4)),NOT(ISNUMBER($Y$4))),"Add scores",IF(NOT(ISNUMBER(DB_Colleges!Y399)),IF(OR(C405="Ivy League",C405="Highly Selective"),"Reach",IF(COUNT(U405:V405)=0,"No data",CHOOSE(W405+2,"Reach","Target","Likely"))),IF(DB_Colleges!Y399&lt;0.15,"Reach",IF(DB_Colleges!Y399&gt;=0.75,IF(W405&gt;=0,"Likely","Target"),IF(DB_Colleges!Y399&gt;=0.4,CHOOSE(W405+2,"Reach","Target","Likely"),IF(W405=1,"Target","Reach")))))))</f>
        <v/>
      </c>
      <c r="F405" s="28" t="str">
        <f aca="false">IF(OR(B405="",NOT(ISNUMBER(DB_Colleges!Y399))),"",DB_Colleges!Y399)</f>
        <v/>
      </c>
      <c r="G405" s="26" t="str">
        <f aca="false">IF(OR(B405="",NOT(ISNUMBER(DB_Colleges!Z399))),"",DB_Colleges!Z399&amp;"-"&amp;DB_Colleges!AA399)</f>
        <v/>
      </c>
      <c r="H405" s="26" t="str">
        <f aca="false">IF(OR(B405="",NOT(ISNUMBER(DB_Colleges!AD399))),"",DB_Colleges!AD399)</f>
        <v/>
      </c>
      <c r="I405" s="29" t="str">
        <f aca="false">IF(B405="","",IF(COUNT(DB_Colleges!I399:O399)=0,IF(DB_Colleges!P399="Yes","Rolling","Check site"),MIN(DB_Colleges!I399:O399)))</f>
        <v/>
      </c>
      <c r="J405" s="26" t="str">
        <f aca="false">IF(OR(B405="",COUNT(DB_Colleges!I399:O399)=0),"",INDEX({"ED","ED II","EA","EA II","REA","RD","Priority"},MATCH(MIN(DB_Colleges!I399:O399),DB_Colleges!I399:O399,0)))</f>
        <v/>
      </c>
      <c r="K405" s="29" t="str">
        <f aca="false">IF(OR(B405="",NOT(ISNUMBER(DB_Colleges!N399))),"",DB_Colleges!N399)</f>
        <v/>
      </c>
      <c r="L405" s="26" t="str">
        <f aca="false">IF(B405="","",DB_Colleges!G399&amp;"")</f>
        <v/>
      </c>
      <c r="M405" s="30" t="str">
        <f aca="false">IF(OR(B405="",NOT(ISNUMBER(DB_Colleges!S399))),"",DB_Colleges!S399)</f>
        <v/>
      </c>
      <c r="N405" s="26" t="str">
        <f aca="false">IF(B405="","",DB_Colleges!U399&amp;"")</f>
        <v/>
      </c>
      <c r="O405" s="26" t="str">
        <f aca="false">IF(B405="","",IF(ISNUMBER(DB_Colleges!AH399),DB_Colleges!AH399,"Check"))</f>
        <v/>
      </c>
      <c r="P405" s="26" t="str">
        <f aca="false">IF(B405="","",DB_Colleges!W399&amp;"")</f>
        <v/>
      </c>
      <c r="Q405" s="30" t="str">
        <f aca="false">IF(OR(B405="",NOT(ISNUMBER(DB_Colleges!AF399))),"",DB_Colleges!AF399)</f>
        <v/>
      </c>
      <c r="R405" s="28" t="str">
        <f aca="false">IF(OR(B405="",NOT(ISNUMBER(DB_Colleges!AG399))),"",DB_Colleges!AG399)</f>
        <v/>
      </c>
      <c r="S405" s="26" t="str">
        <f aca="false">IF(B405="","",DB_Colleges!AK399&amp;"")</f>
        <v/>
      </c>
      <c r="T405" s="26" t="str">
        <f aca="false">IF(B405="","",DB_Colleges!AI399&amp;"")</f>
        <v/>
      </c>
      <c r="U405" s="1" t="str">
        <f aca="false">IF(AND(ISNUMBER($X$4),ISNUMBER(DB_Colleges!Z399),ISNUMBER(DB_Colleges!AA399)),IF($X$4&gt;=DB_Colleges!AA399,1,IF($X$4&lt;DB_Colleges!Z399,-1,0)),"")</f>
        <v/>
      </c>
      <c r="V405" s="1" t="str">
        <f aca="false">IF(AND(ISNUMBER($Y$4),ISNUMBER(DB_Colleges!AD399)),IF($Y$4&gt;=DB_Colleges!AD399+0.15,1,IF($Y$4&lt;DB_Colleges!AD399-0.2,-1,0)),"")</f>
        <v/>
      </c>
      <c r="W405" s="1" t="n">
        <f aca="false">IF(COUNT(U405:V405)=0,0,MIN(U405:V405))</f>
        <v>0</v>
      </c>
    </row>
    <row r="406" customFormat="false" ht="15" hidden="false" customHeight="true" outlineLevel="0" collapsed="false">
      <c r="A406" s="26" t="str">
        <f aca="false">IF(B406="","",IF(COUNTIF('My Colleges'!$B$8:$B$27,B406)&gt;0,"On list",""))</f>
        <v/>
      </c>
      <c r="B406" s="27" t="str">
        <f aca="false">IF(DB_Colleges!A400="","",DB_Colleges!A400)</f>
        <v/>
      </c>
      <c r="C406" s="26" t="str">
        <f aca="false">IF(B406="","",DB_Colleges!B400)</f>
        <v/>
      </c>
      <c r="D406" s="26" t="str">
        <f aca="false">IF(B406="","",DB_Colleges!C400&amp;", "&amp;DB_Colleges!D400)</f>
        <v/>
      </c>
      <c r="E406" s="26" t="str">
        <f aca="false">IF(B406="","",IF(AND(NOT(ISNUMBER($X$4)),NOT(ISNUMBER($Y$4))),"Add scores",IF(NOT(ISNUMBER(DB_Colleges!Y400)),IF(OR(C406="Ivy League",C406="Highly Selective"),"Reach",IF(COUNT(U406:V406)=0,"No data",CHOOSE(W406+2,"Reach","Target","Likely"))),IF(DB_Colleges!Y400&lt;0.15,"Reach",IF(DB_Colleges!Y400&gt;=0.75,IF(W406&gt;=0,"Likely","Target"),IF(DB_Colleges!Y400&gt;=0.4,CHOOSE(W406+2,"Reach","Target","Likely"),IF(W406=1,"Target","Reach")))))))</f>
        <v/>
      </c>
      <c r="F406" s="28" t="str">
        <f aca="false">IF(OR(B406="",NOT(ISNUMBER(DB_Colleges!Y400))),"",DB_Colleges!Y400)</f>
        <v/>
      </c>
      <c r="G406" s="26" t="str">
        <f aca="false">IF(OR(B406="",NOT(ISNUMBER(DB_Colleges!Z400))),"",DB_Colleges!Z400&amp;"-"&amp;DB_Colleges!AA400)</f>
        <v/>
      </c>
      <c r="H406" s="26" t="str">
        <f aca="false">IF(OR(B406="",NOT(ISNUMBER(DB_Colleges!AD400))),"",DB_Colleges!AD400)</f>
        <v/>
      </c>
      <c r="I406" s="29" t="str">
        <f aca="false">IF(B406="","",IF(COUNT(DB_Colleges!I400:O400)=0,IF(DB_Colleges!P400="Yes","Rolling","Check site"),MIN(DB_Colleges!I400:O400)))</f>
        <v/>
      </c>
      <c r="J406" s="26" t="str">
        <f aca="false">IF(OR(B406="",COUNT(DB_Colleges!I400:O400)=0),"",INDEX({"ED","ED II","EA","EA II","REA","RD","Priority"},MATCH(MIN(DB_Colleges!I400:O400),DB_Colleges!I400:O400,0)))</f>
        <v/>
      </c>
      <c r="K406" s="29" t="str">
        <f aca="false">IF(OR(B406="",NOT(ISNUMBER(DB_Colleges!N400))),"",DB_Colleges!N400)</f>
        <v/>
      </c>
      <c r="L406" s="26" t="str">
        <f aca="false">IF(B406="","",DB_Colleges!G400&amp;"")</f>
        <v/>
      </c>
      <c r="M406" s="30" t="str">
        <f aca="false">IF(OR(B406="",NOT(ISNUMBER(DB_Colleges!S400))),"",DB_Colleges!S400)</f>
        <v/>
      </c>
      <c r="N406" s="26" t="str">
        <f aca="false">IF(B406="","",DB_Colleges!U400&amp;"")</f>
        <v/>
      </c>
      <c r="O406" s="26" t="str">
        <f aca="false">IF(B406="","",IF(ISNUMBER(DB_Colleges!AH400),DB_Colleges!AH400,"Check"))</f>
        <v/>
      </c>
      <c r="P406" s="26" t="str">
        <f aca="false">IF(B406="","",DB_Colleges!W400&amp;"")</f>
        <v/>
      </c>
      <c r="Q406" s="30" t="str">
        <f aca="false">IF(OR(B406="",NOT(ISNUMBER(DB_Colleges!AF400))),"",DB_Colleges!AF400)</f>
        <v/>
      </c>
      <c r="R406" s="28" t="str">
        <f aca="false">IF(OR(B406="",NOT(ISNUMBER(DB_Colleges!AG400))),"",DB_Colleges!AG400)</f>
        <v/>
      </c>
      <c r="S406" s="26" t="str">
        <f aca="false">IF(B406="","",DB_Colleges!AK400&amp;"")</f>
        <v/>
      </c>
      <c r="T406" s="26" t="str">
        <f aca="false">IF(B406="","",DB_Colleges!AI400&amp;"")</f>
        <v/>
      </c>
      <c r="U406" s="1" t="str">
        <f aca="false">IF(AND(ISNUMBER($X$4),ISNUMBER(DB_Colleges!Z400),ISNUMBER(DB_Colleges!AA400)),IF($X$4&gt;=DB_Colleges!AA400,1,IF($X$4&lt;DB_Colleges!Z400,-1,0)),"")</f>
        <v/>
      </c>
      <c r="V406" s="1" t="str">
        <f aca="false">IF(AND(ISNUMBER($Y$4),ISNUMBER(DB_Colleges!AD400)),IF($Y$4&gt;=DB_Colleges!AD400+0.15,1,IF($Y$4&lt;DB_Colleges!AD400-0.2,-1,0)),"")</f>
        <v/>
      </c>
      <c r="W406" s="1" t="n">
        <f aca="false">IF(COUNT(U406:V406)=0,0,MIN(U406:V406))</f>
        <v>0</v>
      </c>
    </row>
  </sheetData>
  <autoFilter ref="A7:T406"/>
  <mergeCells count="1">
    <mergeCell ref="A2:T2"/>
  </mergeCells>
  <conditionalFormatting sqref="E8:E406">
    <cfRule type="expression" priority="2" aboveAverage="0" equalAverage="0" bottom="0" percent="0" rank="0" text="" dxfId="10">
      <formula>$E8="Likely"</formula>
    </cfRule>
    <cfRule type="expression" priority="3" aboveAverage="0" equalAverage="0" bottom="0" percent="0" rank="0" text="" dxfId="11">
      <formula>$E8="Target"</formula>
    </cfRule>
    <cfRule type="expression" priority="4" aboveAverage="0" equalAverage="0" bottom="0" percent="0" rank="0" text="" dxfId="12">
      <formula>$E8="Reach"</formula>
    </cfRule>
  </conditionalFormatting>
  <conditionalFormatting sqref="A8:A406">
    <cfRule type="expression" priority="5" aboveAverage="0" equalAverage="0" bottom="0" percent="0" rank="0" text="" dxfId="13">
      <formula>$A8="On list"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2"/>
    <col collapsed="false" customWidth="true" hidden="false" outlineLevel="0" max="3" min="3" style="1" width="11"/>
    <col collapsed="false" customWidth="true" hidden="false" outlineLevel="0" max="5" min="4" style="1" width="9"/>
    <col collapsed="false" customWidth="true" hidden="false" outlineLevel="0" max="9" min="6" style="1" width="14"/>
    <col collapsed="false" customWidth="true" hidden="false" outlineLevel="0" max="10" min="10" style="1" width="8"/>
    <col collapsed="false" customWidth="true" hidden="false" outlineLevel="0" max="11" min="11" style="1" width="20"/>
    <col collapsed="false" customWidth="true" hidden="false" outlineLevel="0" max="12" min="12" style="1" width="8"/>
    <col collapsed="false" customWidth="true" hidden="false" outlineLevel="0" max="14" min="13" style="1" width="11"/>
    <col collapsed="false" customWidth="true" hidden="false" outlineLevel="0" max="15" min="15" style="1" width="18"/>
    <col collapsed="false" customWidth="true" hidden="false" outlineLevel="0" max="16" min="16" style="1" width="8"/>
    <col collapsed="false" customWidth="true" hidden="false" outlineLevel="0" max="17" min="17" style="1" width="9"/>
    <col collapsed="false" customWidth="true" hidden="false" outlineLevel="0" max="18" min="18" style="1" width="26"/>
    <col collapsed="false" customWidth="true" hidden="false" outlineLevel="0" max="19" min="19" style="1" width="12"/>
    <col collapsed="false" customWidth="true" hidden="false" outlineLevel="0" max="20" min="20" style="1" width="14"/>
    <col collapsed="false" customWidth="true" hidden="false" outlineLevel="0" max="21" min="21" style="1" width="12"/>
    <col collapsed="false" customWidth="true" hidden="false" outlineLevel="0" max="23" min="22" style="1" width="10"/>
    <col collapsed="false" customWidth="true" hidden="false" outlineLevel="0" max="24" min="24" style="1" width="56"/>
    <col collapsed="false" customWidth="true" hidden="false" outlineLevel="0" max="25" min="25" style="1" width="30"/>
    <col collapsed="false" customWidth="true" hidden="true" outlineLevel="0" max="32" min="27" style="1" width="13"/>
  </cols>
  <sheetData>
    <row r="1" customFormat="false" ht="30" hidden="false" customHeight="true" outlineLevel="0" collapsed="false">
      <c r="A1" s="2" t="s">
        <v>146</v>
      </c>
      <c r="B1" s="3"/>
      <c r="C1" s="3"/>
      <c r="D1" s="3"/>
      <c r="E1" s="3"/>
      <c r="F1" s="3"/>
      <c r="G1" s="3"/>
      <c r="H1" s="3"/>
      <c r="I1" s="3"/>
      <c r="J1" s="3"/>
      <c r="K1" s="3"/>
      <c r="L1" s="3"/>
      <c r="M1" s="3"/>
      <c r="N1" s="3"/>
      <c r="O1" s="3"/>
      <c r="P1" s="3"/>
      <c r="Q1" s="3"/>
      <c r="R1" s="3"/>
      <c r="S1" s="3"/>
      <c r="T1" s="3"/>
      <c r="U1" s="3"/>
      <c r="V1" s="3"/>
      <c r="W1" s="3"/>
      <c r="X1" s="3"/>
      <c r="Y1" s="3"/>
    </row>
    <row r="2" customFormat="false" ht="43.5" hidden="false" customHeight="true" outlineLevel="0" collapsed="false">
      <c r="A2" s="4" t="s">
        <v>147</v>
      </c>
      <c r="B2" s="4"/>
      <c r="C2" s="4"/>
      <c r="D2" s="4"/>
      <c r="E2" s="4"/>
      <c r="F2" s="4"/>
      <c r="G2" s="4"/>
      <c r="H2" s="4"/>
      <c r="I2" s="4"/>
      <c r="J2" s="4"/>
      <c r="K2" s="4"/>
      <c r="L2" s="4"/>
      <c r="M2" s="4"/>
      <c r="N2" s="4"/>
      <c r="O2" s="4"/>
      <c r="P2" s="4"/>
      <c r="Q2" s="4"/>
      <c r="R2" s="4"/>
      <c r="S2" s="4"/>
      <c r="T2" s="4"/>
      <c r="U2" s="4"/>
      <c r="V2" s="4"/>
      <c r="W2" s="4"/>
      <c r="X2" s="4"/>
      <c r="Y2" s="4"/>
    </row>
    <row r="4" customFormat="false" ht="25.5" hidden="false" customHeight="true" outlineLevel="0" collapsed="false">
      <c r="B4" s="12" t="s">
        <v>148</v>
      </c>
      <c r="D4" s="12" t="s">
        <v>149</v>
      </c>
      <c r="F4" s="12" t="s">
        <v>150</v>
      </c>
      <c r="H4" s="12" t="s">
        <v>151</v>
      </c>
      <c r="I4" s="12" t="s">
        <v>152</v>
      </c>
      <c r="K4" s="12" t="s">
        <v>153</v>
      </c>
      <c r="M4" s="12" t="s">
        <v>154</v>
      </c>
    </row>
    <row r="5" customFormat="false" ht="17.25" hidden="false" customHeight="true" outlineLevel="0" collapsed="false">
      <c r="B5" s="14" t="n">
        <f aca="false">COUNTIFS(B8:B27,"?*",V8:V27,"&lt;&gt;No")</f>
        <v>0</v>
      </c>
      <c r="D5" s="14" t="str">
        <f aca="false">COUNTIFS(D8:D27,"Likely",V8:V27,"&lt;&gt;No")&amp;" / "&amp;COUNTIFS(D8:D27,"Target",V8:V27,"&lt;&gt;No")&amp;" / "&amp;COUNTIFS(D8:D27,"Reach",V8:V27,"&lt;&gt;No")</f>
        <v>0 / 0 / 0</v>
      </c>
      <c r="F5" s="31" t="str">
        <f aca="true">IF(COUNTIFS(I8:I27,"&gt;="&amp;TODAY(),T8:T27,"&lt;&gt;Submitted",T8:T27,"&lt;&gt;Complete in portal",V8:V27,"&lt;&gt;No")=0,"",_xlfn.MINIFS(I8:I27,I8:I27,"&gt;="&amp;TODAY(),T8:T27,"&lt;&gt;Submitted",T8:T27,"&lt;&gt;Complete in portal",V8:V27,"&lt;&gt;No"))</f>
        <v/>
      </c>
      <c r="H5" s="14" t="str">
        <f aca="true">IF(F5="","",F5-TODAY())</f>
        <v/>
      </c>
      <c r="I5" s="14" t="n">
        <f aca="false">COUNTIF(T8:T27,"Submitted")+COUNTIF(T8:T27,"Complete in portal")</f>
        <v>0</v>
      </c>
      <c r="K5" s="14" t="n">
        <f aca="false">COUNTIF(U8:U27,"Admitted")</f>
        <v>0</v>
      </c>
      <c r="M5" s="14" t="n">
        <f aca="false">COUNTIFS(B8:B27,"?*",W8:W27,"&lt;&gt;Yes",V8:V27,"&lt;&gt;No")</f>
        <v>0</v>
      </c>
    </row>
    <row r="7" customFormat="false" ht="31.5" hidden="false" customHeight="true" outlineLevel="0" collapsed="false">
      <c r="A7" s="16" t="s">
        <v>155</v>
      </c>
      <c r="B7" s="16" t="s">
        <v>50</v>
      </c>
      <c r="C7" s="16" t="s">
        <v>156</v>
      </c>
      <c r="D7" s="16" t="s">
        <v>157</v>
      </c>
      <c r="E7" s="16" t="s">
        <v>158</v>
      </c>
      <c r="F7" s="16" t="s">
        <v>159</v>
      </c>
      <c r="G7" s="16" t="s">
        <v>160</v>
      </c>
      <c r="H7" s="16" t="s">
        <v>161</v>
      </c>
      <c r="I7" s="16" t="s">
        <v>162</v>
      </c>
      <c r="J7" s="16" t="s">
        <v>49</v>
      </c>
      <c r="K7" s="16" t="s">
        <v>134</v>
      </c>
      <c r="L7" s="16" t="s">
        <v>135</v>
      </c>
      <c r="M7" s="16" t="s">
        <v>163</v>
      </c>
      <c r="N7" s="16" t="s">
        <v>136</v>
      </c>
      <c r="O7" s="16" t="s">
        <v>164</v>
      </c>
      <c r="P7" s="16" t="s">
        <v>137</v>
      </c>
      <c r="Q7" s="16" t="s">
        <v>165</v>
      </c>
      <c r="R7" s="16" t="s">
        <v>166</v>
      </c>
      <c r="S7" s="16" t="s">
        <v>167</v>
      </c>
      <c r="T7" s="16" t="s">
        <v>168</v>
      </c>
      <c r="U7" s="16" t="s">
        <v>169</v>
      </c>
      <c r="V7" s="16" t="s">
        <v>170</v>
      </c>
      <c r="W7" s="16" t="s">
        <v>171</v>
      </c>
      <c r="X7" s="16" t="s">
        <v>172</v>
      </c>
      <c r="Y7" s="16" t="s">
        <v>58</v>
      </c>
      <c r="AA7" s="25" t="s">
        <v>173</v>
      </c>
      <c r="AB7" s="25" t="s">
        <v>174</v>
      </c>
      <c r="AC7" s="25" t="s">
        <v>175</v>
      </c>
      <c r="AD7" s="25" t="s">
        <v>176</v>
      </c>
      <c r="AE7" s="25" t="s">
        <v>177</v>
      </c>
      <c r="AF7" s="25" t="s">
        <v>178</v>
      </c>
    </row>
    <row r="8" customFormat="false" ht="15" hidden="false" customHeight="true" outlineLevel="0" collapsed="false">
      <c r="A8" s="18" t="n">
        <v>1</v>
      </c>
      <c r="B8" s="32"/>
      <c r="C8" s="18" t="str">
        <f aca="false">IF($B8="","",IF(($AA8=0),"No: fill G","Yes"))</f>
        <v/>
      </c>
      <c r="D8" s="18" t="str">
        <f aca="false">IF(($AA8=0),"",INDEX(Explore!$E$8:$E$406,$AA8))</f>
        <v/>
      </c>
      <c r="E8" s="24"/>
      <c r="F8" s="17" t="str">
        <f aca="false">IF($B8="","",IF($E8="","Pick a round",IF($E8="Rolling","Rolling",IF(($AA8=0),"",IF(COUNT(INDEX(DB_Colleges!$I$2:$O$400,$AA8,0))=0,"No date on file",IF(ISNUMBER(INDEX(DB_Colleges!$I$2:$O$400,$AA8,MATCH($E8,{"ED","ED II","EA","EA II","REA","RD","Priority"},0))),INDEX(DB_Colleges!$I$2:$O$400,$AA8,MATCH($E8,{"ED","ED II","EA","EA II","REA","RD","Priority"},0)),"Not offered"))))))</f>
        <v/>
      </c>
      <c r="G8" s="33"/>
      <c r="H8" s="17" t="str">
        <f aca="false">IF(($AA8=0),"",IF(ISNUMBER(INDEX(DB_Colleges!$Q$2:$Q$400,$AA8)),INDEX(DB_Colleges!$Q$2:$Q$400,$AA8),""))</f>
        <v/>
      </c>
      <c r="I8" s="17" t="str">
        <f aca="false">IF($B8="","",IF(ISNUMBER($G8),IF(ISNUMBER($H8),MIN($G8,$H8),$G8),IF(ISNUMBER($F8),IF(ISNUMBER($H8),MIN($F8,$H8),$F8),IF(AND($E8="Rolling",ISNUMBER($H8)),$H8,""))))</f>
        <v/>
      </c>
      <c r="J8" s="18" t="str">
        <f aca="true">IF(AND(ISNUMBER($I8),$T8&lt;&gt;"Submitted",$T8&lt;&gt;"Complete in portal"),$I8-TODAY(),"")</f>
        <v/>
      </c>
      <c r="K8" s="18" t="str">
        <f aca="false">IF(($AA8=0),"",INDEX(DB_Colleges!$G$2:$G$400,$AA8)&amp;"")</f>
        <v/>
      </c>
      <c r="L8" s="34" t="str">
        <f aca="false">IF(($AA8=0),"",IF(ISNUMBER(INDEX(DB_Colleges!$S$2:$S$400,$AA8)),INDEX(DB_Colleges!$S$2:$S$400,$AA8),""))</f>
        <v/>
      </c>
      <c r="M8" s="24"/>
      <c r="N8" s="18" t="str">
        <f aca="false">IF(($AA8=0),"",INDEX(DB_Colleges!$U$2:$U$400,$AA8)&amp;"")</f>
        <v/>
      </c>
      <c r="O8" s="18" t="str">
        <f aca="false">IF(($AA8=0),"",INDEX(DB_Colleges!$V$2:$V$400,$AA8)&amp;"")</f>
        <v/>
      </c>
      <c r="P8" s="18" t="str">
        <f aca="false">IF(($AA8=0),"",IF(ISNUMBER(INDEX(DB_Colleges!$AH$2:$AH$400,$AA8)),INDEX(DB_Colleges!$AH$2:$AH$400,$AA8),"Check"))</f>
        <v/>
      </c>
      <c r="Q8" s="18" t="str">
        <f aca="false">IF($B8="","",'Next Steps'!$AA8&amp;" of "&amp;'Next Steps'!$AB8)</f>
        <v/>
      </c>
      <c r="R8" s="18" t="str">
        <f aca="false">IF($B8="","",'Next Steps'!$AC8)</f>
        <v/>
      </c>
      <c r="S8" s="17" t="str">
        <f aca="false">IF($B8="","",'Next Steps'!$AD8)</f>
        <v/>
      </c>
      <c r="T8" s="24"/>
      <c r="U8" s="24"/>
      <c r="V8" s="24"/>
      <c r="W8" s="24"/>
      <c r="X8" s="35" t="str">
        <f aca="false">IF($B8="","",IF($V8="No","Dropped from your list.",IF(AND(OR($E8="ED",$E8="ED II"),OR(ISNUMBER($F8),ISNUMBER($G8))),"BINDING: if admitted you must attend. ","")&amp;IF(AND(OR($E8="ED",$E8="ED II"),ISNUMBER($F8),SUMPRODUCT((($E$8:$E$27="ED")+($E$8:$E$27="ED II"))*ISNUMBER($F$8:$F$27)*($V$8:$V$27&lt;&gt;"No"))&gt;1),"Only one Early Decision can be active at a time. ","")&amp;IF($E8="REA","Restrictive Early Action: limits other private early applications. ","")&amp;IF(AND(OR($E8="REA",$E8="ED"),ISNUMBER($F8),SUMPRODUCT(($E$8:$E$27="REA")*ISNUMBER($F$8:$F$27)*($V$8:$V$27&lt;&gt;"No"))&gt;0,SUMPRODUCT((($E$8:$E$27="ED")+($E$8:$E$27="ED II"))*ISNUMBER($F$8:$F$27)*($V$8:$V$27&lt;&gt;"No"))&gt;0),"You have Restrictive Early Action and Early Decision at the same time: check the REA college's rules, this is usually not allowed. ","")&amp;IF($F8="Not offered","This college does not offer that round: pick another. ","")&amp;IF(AND($E8="Rolling",NOT(ISNUMBER($G8))),"Rolling: set a target date in column G. ","")&amp;IF(AND(NOT(($AA8=0)),NOT(ISNUMBER($F8)),NOT(ISNUMBER($G8)),$E8&lt;&gt;"",$E8&lt;&gt;"Rolling",$F8&lt;&gt;"Not offered"),"No date on file yet: find it on the college site and type it in column G. ","")&amp;IF(AND(ISNUMBER($H8),ISNUMBER($I8),$H8=$I8,ISNUMBER($F8),$H8&lt;$F8),"Scholarship deadline is earlier than the application deadline, so it is your real deadline. ","")&amp;IF($AE8="No","Not on Common App: apply on "&amp;$AF8&amp;". ","")&amp;IF(($AA8=0),"Not in the database: type the deadline in column G and check requirements on the college site. ","")&amp;IF(AND(NOT(($AA8=0)),$W8&lt;&gt;"Yes",$AD8&lt;&gt;"Official 2026-27"),"Date not yet confirmed: check the college site, then set Deadline Verified to Yes. ","")&amp;IF(LEFT($AB8,8)="Required",IF($AB8="Required","CSS Profile required. ","CSS Profile may be required: check the college's aid page. "),"")&amp;IF($AC8&lt;&gt;"","Interview: "&amp;$AC8&amp;". Watch your email, including spam, and reply the same day. ","")))</f>
        <v/>
      </c>
      <c r="Y8" s="24"/>
      <c r="AA8" s="1" t="n">
        <f aca="false">IF($B8="",0,IFERROR(MATCH($B8,DB_Colleges!$A$2:$A$400,0),0))</f>
        <v>0</v>
      </c>
      <c r="AB8" s="1" t="str">
        <f aca="false">IF(($AA8=0),"",INDEX(DB_Colleges!$W$2:$W$400,$AA8)&amp;"")</f>
        <v/>
      </c>
      <c r="AC8" s="1" t="str">
        <f aca="false">IF(($AA8=0),"",IF(OR(LEFT(INDEX(DB_Colleges!$X$2:$X$400,$AA8)&amp;"",4)="None",LEFT(INDEX(DB_Colleges!$X$2:$X$400,$AA8)&amp;"",3)="No ",LEFT(INDEX(DB_Colleges!$X$2:$X$400,$AA8)&amp;"",3)="Not"),"",INDEX(DB_Colleges!$X$2:$X$400,$AA8)&amp;""))</f>
        <v/>
      </c>
      <c r="AD8" s="1" t="str">
        <f aca="false">IF(($AA8=0),"",INDEX(DB_Colleges!$AK$2:$AK$400,$AA8)&amp;"")</f>
        <v/>
      </c>
      <c r="AE8" s="1" t="str">
        <f aca="false">IF(($AA8=0),"",INDEX(DB_Colleges!$H$2:$H$400,$AA8)&amp;"")</f>
        <v/>
      </c>
      <c r="AF8" s="1" t="str">
        <f aca="false">IF(($AA8=0),"",INDEX(DB_Colleges!$G$2:$G$400,$AA8)&amp;"")</f>
        <v/>
      </c>
    </row>
    <row r="9" customFormat="false" ht="15" hidden="false" customHeight="true" outlineLevel="0" collapsed="false">
      <c r="A9" s="18" t="n">
        <v>2</v>
      </c>
      <c r="B9" s="32"/>
      <c r="C9" s="18" t="str">
        <f aca="false">IF($B9="","",IF(($AA9=0),"No: fill G","Yes"))</f>
        <v/>
      </c>
      <c r="D9" s="18" t="str">
        <f aca="false">IF(($AA9=0),"",INDEX(Explore!$E$8:$E$406,$AA9))</f>
        <v/>
      </c>
      <c r="E9" s="24"/>
      <c r="F9" s="17" t="str">
        <f aca="false">IF($B9="","",IF($E9="","Pick a round",IF($E9="Rolling","Rolling",IF(($AA9=0),"",IF(COUNT(INDEX(DB_Colleges!$I$2:$O$400,$AA9,0))=0,"No date on file",IF(ISNUMBER(INDEX(DB_Colleges!$I$2:$O$400,$AA9,MATCH($E9,{"ED","ED II","EA","EA II","REA","RD","Priority"},0))),INDEX(DB_Colleges!$I$2:$O$400,$AA9,MATCH($E9,{"ED","ED II","EA","EA II","REA","RD","Priority"},0)),"Not offered"))))))</f>
        <v/>
      </c>
      <c r="G9" s="33"/>
      <c r="H9" s="17" t="str">
        <f aca="false">IF(($AA9=0),"",IF(ISNUMBER(INDEX(DB_Colleges!$Q$2:$Q$400,$AA9)),INDEX(DB_Colleges!$Q$2:$Q$400,$AA9),""))</f>
        <v/>
      </c>
      <c r="I9" s="17" t="str">
        <f aca="false">IF($B9="","",IF(ISNUMBER($G9),IF(ISNUMBER($H9),MIN($G9,$H9),$G9),IF(ISNUMBER($F9),IF(ISNUMBER($H9),MIN($F9,$H9),$F9),IF(AND($E9="Rolling",ISNUMBER($H9)),$H9,""))))</f>
        <v/>
      </c>
      <c r="J9" s="18" t="str">
        <f aca="true">IF(AND(ISNUMBER($I9),$T9&lt;&gt;"Submitted",$T9&lt;&gt;"Complete in portal"),$I9-TODAY(),"")</f>
        <v/>
      </c>
      <c r="K9" s="18" t="str">
        <f aca="false">IF(($AA9=0),"",INDEX(DB_Colleges!$G$2:$G$400,$AA9)&amp;"")</f>
        <v/>
      </c>
      <c r="L9" s="34" t="str">
        <f aca="false">IF(($AA9=0),"",IF(ISNUMBER(INDEX(DB_Colleges!$S$2:$S$400,$AA9)),INDEX(DB_Colleges!$S$2:$S$400,$AA9),""))</f>
        <v/>
      </c>
      <c r="M9" s="24"/>
      <c r="N9" s="18" t="str">
        <f aca="false">IF(($AA9=0),"",INDEX(DB_Colleges!$U$2:$U$400,$AA9)&amp;"")</f>
        <v/>
      </c>
      <c r="O9" s="18" t="str">
        <f aca="false">IF(($AA9=0),"",INDEX(DB_Colleges!$V$2:$V$400,$AA9)&amp;"")</f>
        <v/>
      </c>
      <c r="P9" s="18" t="str">
        <f aca="false">IF(($AA9=0),"",IF(ISNUMBER(INDEX(DB_Colleges!$AH$2:$AH$400,$AA9)),INDEX(DB_Colleges!$AH$2:$AH$400,$AA9),"Check"))</f>
        <v/>
      </c>
      <c r="Q9" s="18" t="str">
        <f aca="false">IF($B9="","",'Next Steps'!$AA9&amp;" of "&amp;'Next Steps'!$AB9)</f>
        <v/>
      </c>
      <c r="R9" s="18" t="str">
        <f aca="false">IF($B9="","",'Next Steps'!$AC9)</f>
        <v/>
      </c>
      <c r="S9" s="17" t="str">
        <f aca="false">IF($B9="","",'Next Steps'!$AD9)</f>
        <v/>
      </c>
      <c r="T9" s="24"/>
      <c r="U9" s="24"/>
      <c r="V9" s="24"/>
      <c r="W9" s="24"/>
      <c r="X9" s="35" t="str">
        <f aca="false">IF($B9="","",IF($V9="No","Dropped from your list.",IF(AND(OR($E9="ED",$E9="ED II"),OR(ISNUMBER($F9),ISNUMBER($G9))),"BINDING: if admitted you must attend. ","")&amp;IF(AND(OR($E9="ED",$E9="ED II"),ISNUMBER($F9),SUMPRODUCT((($E$8:$E$27="ED")+($E$8:$E$27="ED II"))*ISNUMBER($F$8:$F$27)*($V$8:$V$27&lt;&gt;"No"))&gt;1),"Only one Early Decision can be active at a time. ","")&amp;IF($E9="REA","Restrictive Early Action: limits other private early applications. ","")&amp;IF(AND(OR($E9="REA",$E9="ED"),ISNUMBER($F9),SUMPRODUCT(($E$8:$E$27="REA")*ISNUMBER($F$8:$F$27)*($V$8:$V$27&lt;&gt;"No"))&gt;0,SUMPRODUCT((($E$8:$E$27="ED")+($E$8:$E$27="ED II"))*ISNUMBER($F$8:$F$27)*($V$8:$V$27&lt;&gt;"No"))&gt;0),"You have Restrictive Early Action and Early Decision at the same time: check the REA college's rules, this is usually not allowed. ","")&amp;IF($F9="Not offered","This college does not offer that round: pick another. ","")&amp;IF(AND($E9="Rolling",NOT(ISNUMBER($G9))),"Rolling: set a target date in column G. ","")&amp;IF(AND(NOT(($AA9=0)),NOT(ISNUMBER($F9)),NOT(ISNUMBER($G9)),$E9&lt;&gt;"",$E9&lt;&gt;"Rolling",$F9&lt;&gt;"Not offered"),"No date on file yet: find it on the college site and type it in column G. ","")&amp;IF(AND(ISNUMBER($H9),ISNUMBER($I9),$H9=$I9,ISNUMBER($F9),$H9&lt;$F9),"Scholarship deadline is earlier than the application deadline, so it is your real deadline. ","")&amp;IF($AE9="No","Not on Common App: apply on "&amp;$AF9&amp;". ","")&amp;IF(($AA9=0),"Not in the database: type the deadline in column G and check requirements on the college site. ","")&amp;IF(AND(NOT(($AA9=0)),$W9&lt;&gt;"Yes",$AD9&lt;&gt;"Official 2026-27"),"Date not yet confirmed: check the college site, then set Deadline Verified to Yes. ","")&amp;IF(LEFT($AB9,8)="Required",IF($AB9="Required","CSS Profile required. ","CSS Profile may be required: check the college's aid page. "),"")&amp;IF($AC9&lt;&gt;"","Interview: "&amp;$AC9&amp;". Watch your email, including spam, and reply the same day. ","")))</f>
        <v/>
      </c>
      <c r="Y9" s="24"/>
      <c r="AA9" s="1" t="n">
        <f aca="false">IF($B9="",0,IFERROR(MATCH($B9,DB_Colleges!$A$2:$A$400,0),0))</f>
        <v>0</v>
      </c>
      <c r="AB9" s="1" t="str">
        <f aca="false">IF(($AA9=0),"",INDEX(DB_Colleges!$W$2:$W$400,$AA9)&amp;"")</f>
        <v/>
      </c>
      <c r="AC9" s="1" t="str">
        <f aca="false">IF(($AA9=0),"",IF(OR(LEFT(INDEX(DB_Colleges!$X$2:$X$400,$AA9)&amp;"",4)="None",LEFT(INDEX(DB_Colleges!$X$2:$X$400,$AA9)&amp;"",3)="No ",LEFT(INDEX(DB_Colleges!$X$2:$X$400,$AA9)&amp;"",3)="Not"),"",INDEX(DB_Colleges!$X$2:$X$400,$AA9)&amp;""))</f>
        <v/>
      </c>
      <c r="AD9" s="1" t="str">
        <f aca="false">IF(($AA9=0),"",INDEX(DB_Colleges!$AK$2:$AK$400,$AA9)&amp;"")</f>
        <v/>
      </c>
      <c r="AE9" s="1" t="str">
        <f aca="false">IF(($AA9=0),"",INDEX(DB_Colleges!$H$2:$H$400,$AA9)&amp;"")</f>
        <v/>
      </c>
      <c r="AF9" s="1" t="str">
        <f aca="false">IF(($AA9=0),"",INDEX(DB_Colleges!$G$2:$G$400,$AA9)&amp;"")</f>
        <v/>
      </c>
    </row>
    <row r="10" customFormat="false" ht="15" hidden="false" customHeight="true" outlineLevel="0" collapsed="false">
      <c r="A10" s="18" t="n">
        <v>3</v>
      </c>
      <c r="B10" s="32"/>
      <c r="C10" s="18" t="str">
        <f aca="false">IF($B10="","",IF(($AA10=0),"No: fill G","Yes"))</f>
        <v/>
      </c>
      <c r="D10" s="18" t="str">
        <f aca="false">IF(($AA10=0),"",INDEX(Explore!$E$8:$E$406,$AA10))</f>
        <v/>
      </c>
      <c r="E10" s="24"/>
      <c r="F10" s="17" t="str">
        <f aca="false">IF($B10="","",IF($E10="","Pick a round",IF($E10="Rolling","Rolling",IF(($AA10=0),"",IF(COUNT(INDEX(DB_Colleges!$I$2:$O$400,$AA10,0))=0,"No date on file",IF(ISNUMBER(INDEX(DB_Colleges!$I$2:$O$400,$AA10,MATCH($E10,{"ED","ED II","EA","EA II","REA","RD","Priority"},0))),INDEX(DB_Colleges!$I$2:$O$400,$AA10,MATCH($E10,{"ED","ED II","EA","EA II","REA","RD","Priority"},0)),"Not offered"))))))</f>
        <v/>
      </c>
      <c r="G10" s="33"/>
      <c r="H10" s="17" t="str">
        <f aca="false">IF(($AA10=0),"",IF(ISNUMBER(INDEX(DB_Colleges!$Q$2:$Q$400,$AA10)),INDEX(DB_Colleges!$Q$2:$Q$400,$AA10),""))</f>
        <v/>
      </c>
      <c r="I10" s="17" t="str">
        <f aca="false">IF($B10="","",IF(ISNUMBER($G10),IF(ISNUMBER($H10),MIN($G10,$H10),$G10),IF(ISNUMBER($F10),IF(ISNUMBER($H10),MIN($F10,$H10),$F10),IF(AND($E10="Rolling",ISNUMBER($H10)),$H10,""))))</f>
        <v/>
      </c>
      <c r="J10" s="18" t="str">
        <f aca="true">IF(AND(ISNUMBER($I10),$T10&lt;&gt;"Submitted",$T10&lt;&gt;"Complete in portal"),$I10-TODAY(),"")</f>
        <v/>
      </c>
      <c r="K10" s="18" t="str">
        <f aca="false">IF(($AA10=0),"",INDEX(DB_Colleges!$G$2:$G$400,$AA10)&amp;"")</f>
        <v/>
      </c>
      <c r="L10" s="34" t="str">
        <f aca="false">IF(($AA10=0),"",IF(ISNUMBER(INDEX(DB_Colleges!$S$2:$S$400,$AA10)),INDEX(DB_Colleges!$S$2:$S$400,$AA10),""))</f>
        <v/>
      </c>
      <c r="M10" s="24"/>
      <c r="N10" s="18" t="str">
        <f aca="false">IF(($AA10=0),"",INDEX(DB_Colleges!$U$2:$U$400,$AA10)&amp;"")</f>
        <v/>
      </c>
      <c r="O10" s="18" t="str">
        <f aca="false">IF(($AA10=0),"",INDEX(DB_Colleges!$V$2:$V$400,$AA10)&amp;"")</f>
        <v/>
      </c>
      <c r="P10" s="18" t="str">
        <f aca="false">IF(($AA10=0),"",IF(ISNUMBER(INDEX(DB_Colleges!$AH$2:$AH$400,$AA10)),INDEX(DB_Colleges!$AH$2:$AH$400,$AA10),"Check"))</f>
        <v/>
      </c>
      <c r="Q10" s="18" t="str">
        <f aca="false">IF($B10="","",'Next Steps'!$AA10&amp;" of "&amp;'Next Steps'!$AB10)</f>
        <v/>
      </c>
      <c r="R10" s="18" t="str">
        <f aca="false">IF($B10="","",'Next Steps'!$AC10)</f>
        <v/>
      </c>
      <c r="S10" s="17" t="str">
        <f aca="false">IF($B10="","",'Next Steps'!$AD10)</f>
        <v/>
      </c>
      <c r="T10" s="24"/>
      <c r="U10" s="24"/>
      <c r="V10" s="24"/>
      <c r="W10" s="24"/>
      <c r="X10" s="35" t="str">
        <f aca="false">IF($B10="","",IF($V10="No","Dropped from your list.",IF(AND(OR($E10="ED",$E10="ED II"),OR(ISNUMBER($F10),ISNUMBER($G10))),"BINDING: if admitted you must attend. ","")&amp;IF(AND(OR($E10="ED",$E10="ED II"),ISNUMBER($F10),SUMPRODUCT((($E$8:$E$27="ED")+($E$8:$E$27="ED II"))*ISNUMBER($F$8:$F$27)*($V$8:$V$27&lt;&gt;"No"))&gt;1),"Only one Early Decision can be active at a time. ","")&amp;IF($E10="REA","Restrictive Early Action: limits other private early applications. ","")&amp;IF(AND(OR($E10="REA",$E10="ED"),ISNUMBER($F10),SUMPRODUCT(($E$8:$E$27="REA")*ISNUMBER($F$8:$F$27)*($V$8:$V$27&lt;&gt;"No"))&gt;0,SUMPRODUCT((($E$8:$E$27="ED")+($E$8:$E$27="ED II"))*ISNUMBER($F$8:$F$27)*($V$8:$V$27&lt;&gt;"No"))&gt;0),"You have Restrictive Early Action and Early Decision at the same time: check the REA college's rules, this is usually not allowed. ","")&amp;IF($F10="Not offered","This college does not offer that round: pick another. ","")&amp;IF(AND($E10="Rolling",NOT(ISNUMBER($G10))),"Rolling: set a target date in column G. ","")&amp;IF(AND(NOT(($AA10=0)),NOT(ISNUMBER($F10)),NOT(ISNUMBER($G10)),$E10&lt;&gt;"",$E10&lt;&gt;"Rolling",$F10&lt;&gt;"Not offered"),"No date on file yet: find it on the college site and type it in column G. ","")&amp;IF(AND(ISNUMBER($H10),ISNUMBER($I10),$H10=$I10,ISNUMBER($F10),$H10&lt;$F10),"Scholarship deadline is earlier than the application deadline, so it is your real deadline. ","")&amp;IF($AE10="No","Not on Common App: apply on "&amp;$AF10&amp;". ","")&amp;IF(($AA10=0),"Not in the database: type the deadline in column G and check requirements on the college site. ","")&amp;IF(AND(NOT(($AA10=0)),$W10&lt;&gt;"Yes",$AD10&lt;&gt;"Official 2026-27"),"Date not yet confirmed: check the college site, then set Deadline Verified to Yes. ","")&amp;IF(LEFT($AB10,8)="Required",IF($AB10="Required","CSS Profile required. ","CSS Profile may be required: check the college's aid page. "),"")&amp;IF($AC10&lt;&gt;"","Interview: "&amp;$AC10&amp;". Watch your email, including spam, and reply the same day. ","")))</f>
        <v/>
      </c>
      <c r="Y10" s="24"/>
      <c r="AA10" s="1" t="n">
        <f aca="false">IF($B10="",0,IFERROR(MATCH($B10,DB_Colleges!$A$2:$A$400,0),0))</f>
        <v>0</v>
      </c>
      <c r="AB10" s="1" t="str">
        <f aca="false">IF(($AA10=0),"",INDEX(DB_Colleges!$W$2:$W$400,$AA10)&amp;"")</f>
        <v/>
      </c>
      <c r="AC10" s="1" t="str">
        <f aca="false">IF(($AA10=0),"",IF(OR(LEFT(INDEX(DB_Colleges!$X$2:$X$400,$AA10)&amp;"",4)="None",LEFT(INDEX(DB_Colleges!$X$2:$X$400,$AA10)&amp;"",3)="No ",LEFT(INDEX(DB_Colleges!$X$2:$X$400,$AA10)&amp;"",3)="Not"),"",INDEX(DB_Colleges!$X$2:$X$400,$AA10)&amp;""))</f>
        <v/>
      </c>
      <c r="AD10" s="1" t="str">
        <f aca="false">IF(($AA10=0),"",INDEX(DB_Colleges!$AK$2:$AK$400,$AA10)&amp;"")</f>
        <v/>
      </c>
      <c r="AE10" s="1" t="str">
        <f aca="false">IF(($AA10=0),"",INDEX(DB_Colleges!$H$2:$H$400,$AA10)&amp;"")</f>
        <v/>
      </c>
      <c r="AF10" s="1" t="str">
        <f aca="false">IF(($AA10=0),"",INDEX(DB_Colleges!$G$2:$G$400,$AA10)&amp;"")</f>
        <v/>
      </c>
    </row>
    <row r="11" customFormat="false" ht="15" hidden="false" customHeight="true" outlineLevel="0" collapsed="false">
      <c r="A11" s="18" t="n">
        <v>4</v>
      </c>
      <c r="B11" s="32"/>
      <c r="C11" s="18" t="str">
        <f aca="false">IF($B11="","",IF(($AA11=0),"No: fill G","Yes"))</f>
        <v/>
      </c>
      <c r="D11" s="18" t="str">
        <f aca="false">IF(($AA11=0),"",INDEX(Explore!$E$8:$E$406,$AA11))</f>
        <v/>
      </c>
      <c r="E11" s="24"/>
      <c r="F11" s="17" t="str">
        <f aca="false">IF($B11="","",IF($E11="","Pick a round",IF($E11="Rolling","Rolling",IF(($AA11=0),"",IF(COUNT(INDEX(DB_Colleges!$I$2:$O$400,$AA11,0))=0,"No date on file",IF(ISNUMBER(INDEX(DB_Colleges!$I$2:$O$400,$AA11,MATCH($E11,{"ED","ED II","EA","EA II","REA","RD","Priority"},0))),INDEX(DB_Colleges!$I$2:$O$400,$AA11,MATCH($E11,{"ED","ED II","EA","EA II","REA","RD","Priority"},0)),"Not offered"))))))</f>
        <v/>
      </c>
      <c r="G11" s="33"/>
      <c r="H11" s="17" t="str">
        <f aca="false">IF(($AA11=0),"",IF(ISNUMBER(INDEX(DB_Colleges!$Q$2:$Q$400,$AA11)),INDEX(DB_Colleges!$Q$2:$Q$400,$AA11),""))</f>
        <v/>
      </c>
      <c r="I11" s="17" t="str">
        <f aca="false">IF($B11="","",IF(ISNUMBER($G11),IF(ISNUMBER($H11),MIN($G11,$H11),$G11),IF(ISNUMBER($F11),IF(ISNUMBER($H11),MIN($F11,$H11),$F11),IF(AND($E11="Rolling",ISNUMBER($H11)),$H11,""))))</f>
        <v/>
      </c>
      <c r="J11" s="18" t="str">
        <f aca="true">IF(AND(ISNUMBER($I11),$T11&lt;&gt;"Submitted",$T11&lt;&gt;"Complete in portal"),$I11-TODAY(),"")</f>
        <v/>
      </c>
      <c r="K11" s="18" t="str">
        <f aca="false">IF(($AA11=0),"",INDEX(DB_Colleges!$G$2:$G$400,$AA11)&amp;"")</f>
        <v/>
      </c>
      <c r="L11" s="34" t="str">
        <f aca="false">IF(($AA11=0),"",IF(ISNUMBER(INDEX(DB_Colleges!$S$2:$S$400,$AA11)),INDEX(DB_Colleges!$S$2:$S$400,$AA11),""))</f>
        <v/>
      </c>
      <c r="M11" s="24"/>
      <c r="N11" s="18" t="str">
        <f aca="false">IF(($AA11=0),"",INDEX(DB_Colleges!$U$2:$U$400,$AA11)&amp;"")</f>
        <v/>
      </c>
      <c r="O11" s="18" t="str">
        <f aca="false">IF(($AA11=0),"",INDEX(DB_Colleges!$V$2:$V$400,$AA11)&amp;"")</f>
        <v/>
      </c>
      <c r="P11" s="18" t="str">
        <f aca="false">IF(($AA11=0),"",IF(ISNUMBER(INDEX(DB_Colleges!$AH$2:$AH$400,$AA11)),INDEX(DB_Colleges!$AH$2:$AH$400,$AA11),"Check"))</f>
        <v/>
      </c>
      <c r="Q11" s="18" t="str">
        <f aca="false">IF($B11="","",'Next Steps'!$AA11&amp;" of "&amp;'Next Steps'!$AB11)</f>
        <v/>
      </c>
      <c r="R11" s="18" t="str">
        <f aca="false">IF($B11="","",'Next Steps'!$AC11)</f>
        <v/>
      </c>
      <c r="S11" s="17" t="str">
        <f aca="false">IF($B11="","",'Next Steps'!$AD11)</f>
        <v/>
      </c>
      <c r="T11" s="24"/>
      <c r="U11" s="24"/>
      <c r="V11" s="24"/>
      <c r="W11" s="24"/>
      <c r="X11" s="35" t="str">
        <f aca="false">IF($B11="","",IF($V11="No","Dropped from your list.",IF(AND(OR($E11="ED",$E11="ED II"),OR(ISNUMBER($F11),ISNUMBER($G11))),"BINDING: if admitted you must attend. ","")&amp;IF(AND(OR($E11="ED",$E11="ED II"),ISNUMBER($F11),SUMPRODUCT((($E$8:$E$27="ED")+($E$8:$E$27="ED II"))*ISNUMBER($F$8:$F$27)*($V$8:$V$27&lt;&gt;"No"))&gt;1),"Only one Early Decision can be active at a time. ","")&amp;IF($E11="REA","Restrictive Early Action: limits other private early applications. ","")&amp;IF(AND(OR($E11="REA",$E11="ED"),ISNUMBER($F11),SUMPRODUCT(($E$8:$E$27="REA")*ISNUMBER($F$8:$F$27)*($V$8:$V$27&lt;&gt;"No"))&gt;0,SUMPRODUCT((($E$8:$E$27="ED")+($E$8:$E$27="ED II"))*ISNUMBER($F$8:$F$27)*($V$8:$V$27&lt;&gt;"No"))&gt;0),"You have Restrictive Early Action and Early Decision at the same time: check the REA college's rules, this is usually not allowed. ","")&amp;IF($F11="Not offered","This college does not offer that round: pick another. ","")&amp;IF(AND($E11="Rolling",NOT(ISNUMBER($G11))),"Rolling: set a target date in column G. ","")&amp;IF(AND(NOT(($AA11=0)),NOT(ISNUMBER($F11)),NOT(ISNUMBER($G11)),$E11&lt;&gt;"",$E11&lt;&gt;"Rolling",$F11&lt;&gt;"Not offered"),"No date on file yet: find it on the college site and type it in column G. ","")&amp;IF(AND(ISNUMBER($H11),ISNUMBER($I11),$H11=$I11,ISNUMBER($F11),$H11&lt;$F11),"Scholarship deadline is earlier than the application deadline, so it is your real deadline. ","")&amp;IF($AE11="No","Not on Common App: apply on "&amp;$AF11&amp;". ","")&amp;IF(($AA11=0),"Not in the database: type the deadline in column G and check requirements on the college site. ","")&amp;IF(AND(NOT(($AA11=0)),$W11&lt;&gt;"Yes",$AD11&lt;&gt;"Official 2026-27"),"Date not yet confirmed: check the college site, then set Deadline Verified to Yes. ","")&amp;IF(LEFT($AB11,8)="Required",IF($AB11="Required","CSS Profile required. ","CSS Profile may be required: check the college's aid page. "),"")&amp;IF($AC11&lt;&gt;"","Interview: "&amp;$AC11&amp;". Watch your email, including spam, and reply the same day. ","")))</f>
        <v/>
      </c>
      <c r="Y11" s="24"/>
      <c r="AA11" s="1" t="n">
        <f aca="false">IF($B11="",0,IFERROR(MATCH($B11,DB_Colleges!$A$2:$A$400,0),0))</f>
        <v>0</v>
      </c>
      <c r="AB11" s="1" t="str">
        <f aca="false">IF(($AA11=0),"",INDEX(DB_Colleges!$W$2:$W$400,$AA11)&amp;"")</f>
        <v/>
      </c>
      <c r="AC11" s="1" t="str">
        <f aca="false">IF(($AA11=0),"",IF(OR(LEFT(INDEX(DB_Colleges!$X$2:$X$400,$AA11)&amp;"",4)="None",LEFT(INDEX(DB_Colleges!$X$2:$X$400,$AA11)&amp;"",3)="No ",LEFT(INDEX(DB_Colleges!$X$2:$X$400,$AA11)&amp;"",3)="Not"),"",INDEX(DB_Colleges!$X$2:$X$400,$AA11)&amp;""))</f>
        <v/>
      </c>
      <c r="AD11" s="1" t="str">
        <f aca="false">IF(($AA11=0),"",INDEX(DB_Colleges!$AK$2:$AK$400,$AA11)&amp;"")</f>
        <v/>
      </c>
      <c r="AE11" s="1" t="str">
        <f aca="false">IF(($AA11=0),"",INDEX(DB_Colleges!$H$2:$H$400,$AA11)&amp;"")</f>
        <v/>
      </c>
      <c r="AF11" s="1" t="str">
        <f aca="false">IF(($AA11=0),"",INDEX(DB_Colleges!$G$2:$G$400,$AA11)&amp;"")</f>
        <v/>
      </c>
    </row>
    <row r="12" customFormat="false" ht="15" hidden="false" customHeight="true" outlineLevel="0" collapsed="false">
      <c r="A12" s="18" t="n">
        <v>5</v>
      </c>
      <c r="B12" s="32"/>
      <c r="C12" s="18" t="str">
        <f aca="false">IF($B12="","",IF(($AA12=0),"No: fill G","Yes"))</f>
        <v/>
      </c>
      <c r="D12" s="18" t="str">
        <f aca="false">IF(($AA12=0),"",INDEX(Explore!$E$8:$E$406,$AA12))</f>
        <v/>
      </c>
      <c r="E12" s="24"/>
      <c r="F12" s="17" t="str">
        <f aca="false">IF($B12="","",IF($E12="","Pick a round",IF($E12="Rolling","Rolling",IF(($AA12=0),"",IF(COUNT(INDEX(DB_Colleges!$I$2:$O$400,$AA12,0))=0,"No date on file",IF(ISNUMBER(INDEX(DB_Colleges!$I$2:$O$400,$AA12,MATCH($E12,{"ED","ED II","EA","EA II","REA","RD","Priority"},0))),INDEX(DB_Colleges!$I$2:$O$400,$AA12,MATCH($E12,{"ED","ED II","EA","EA II","REA","RD","Priority"},0)),"Not offered"))))))</f>
        <v/>
      </c>
      <c r="G12" s="33"/>
      <c r="H12" s="17" t="str">
        <f aca="false">IF(($AA12=0),"",IF(ISNUMBER(INDEX(DB_Colleges!$Q$2:$Q$400,$AA12)),INDEX(DB_Colleges!$Q$2:$Q$400,$AA12),""))</f>
        <v/>
      </c>
      <c r="I12" s="17" t="str">
        <f aca="false">IF($B12="","",IF(ISNUMBER($G12),IF(ISNUMBER($H12),MIN($G12,$H12),$G12),IF(ISNUMBER($F12),IF(ISNUMBER($H12),MIN($F12,$H12),$F12),IF(AND($E12="Rolling",ISNUMBER($H12)),$H12,""))))</f>
        <v/>
      </c>
      <c r="J12" s="18" t="str">
        <f aca="true">IF(AND(ISNUMBER($I12),$T12&lt;&gt;"Submitted",$T12&lt;&gt;"Complete in portal"),$I12-TODAY(),"")</f>
        <v/>
      </c>
      <c r="K12" s="18" t="str">
        <f aca="false">IF(($AA12=0),"",INDEX(DB_Colleges!$G$2:$G$400,$AA12)&amp;"")</f>
        <v/>
      </c>
      <c r="L12" s="34" t="str">
        <f aca="false">IF(($AA12=0),"",IF(ISNUMBER(INDEX(DB_Colleges!$S$2:$S$400,$AA12)),INDEX(DB_Colleges!$S$2:$S$400,$AA12),""))</f>
        <v/>
      </c>
      <c r="M12" s="24"/>
      <c r="N12" s="18" t="str">
        <f aca="false">IF(($AA12=0),"",INDEX(DB_Colleges!$U$2:$U$400,$AA12)&amp;"")</f>
        <v/>
      </c>
      <c r="O12" s="18" t="str">
        <f aca="false">IF(($AA12=0),"",INDEX(DB_Colleges!$V$2:$V$400,$AA12)&amp;"")</f>
        <v/>
      </c>
      <c r="P12" s="18" t="str">
        <f aca="false">IF(($AA12=0),"",IF(ISNUMBER(INDEX(DB_Colleges!$AH$2:$AH$400,$AA12)),INDEX(DB_Colleges!$AH$2:$AH$400,$AA12),"Check"))</f>
        <v/>
      </c>
      <c r="Q12" s="18" t="str">
        <f aca="false">IF($B12="","",'Next Steps'!$AA12&amp;" of "&amp;'Next Steps'!$AB12)</f>
        <v/>
      </c>
      <c r="R12" s="18" t="str">
        <f aca="false">IF($B12="","",'Next Steps'!$AC12)</f>
        <v/>
      </c>
      <c r="S12" s="17" t="str">
        <f aca="false">IF($B12="","",'Next Steps'!$AD12)</f>
        <v/>
      </c>
      <c r="T12" s="24"/>
      <c r="U12" s="24"/>
      <c r="V12" s="24"/>
      <c r="W12" s="24"/>
      <c r="X12" s="35" t="str">
        <f aca="false">IF($B12="","",IF($V12="No","Dropped from your list.",IF(AND(OR($E12="ED",$E12="ED II"),OR(ISNUMBER($F12),ISNUMBER($G12))),"BINDING: if admitted you must attend. ","")&amp;IF(AND(OR($E12="ED",$E12="ED II"),ISNUMBER($F12),SUMPRODUCT((($E$8:$E$27="ED")+($E$8:$E$27="ED II"))*ISNUMBER($F$8:$F$27)*($V$8:$V$27&lt;&gt;"No"))&gt;1),"Only one Early Decision can be active at a time. ","")&amp;IF($E12="REA","Restrictive Early Action: limits other private early applications. ","")&amp;IF(AND(OR($E12="REA",$E12="ED"),ISNUMBER($F12),SUMPRODUCT(($E$8:$E$27="REA")*ISNUMBER($F$8:$F$27)*($V$8:$V$27&lt;&gt;"No"))&gt;0,SUMPRODUCT((($E$8:$E$27="ED")+($E$8:$E$27="ED II"))*ISNUMBER($F$8:$F$27)*($V$8:$V$27&lt;&gt;"No"))&gt;0),"You have Restrictive Early Action and Early Decision at the same time: check the REA college's rules, this is usually not allowed. ","")&amp;IF($F12="Not offered","This college does not offer that round: pick another. ","")&amp;IF(AND($E12="Rolling",NOT(ISNUMBER($G12))),"Rolling: set a target date in column G. ","")&amp;IF(AND(NOT(($AA12=0)),NOT(ISNUMBER($F12)),NOT(ISNUMBER($G12)),$E12&lt;&gt;"",$E12&lt;&gt;"Rolling",$F12&lt;&gt;"Not offered"),"No date on file yet: find it on the college site and type it in column G. ","")&amp;IF(AND(ISNUMBER($H12),ISNUMBER($I12),$H12=$I12,ISNUMBER($F12),$H12&lt;$F12),"Scholarship deadline is earlier than the application deadline, so it is your real deadline. ","")&amp;IF($AE12="No","Not on Common App: apply on "&amp;$AF12&amp;". ","")&amp;IF(($AA12=0),"Not in the database: type the deadline in column G and check requirements on the college site. ","")&amp;IF(AND(NOT(($AA12=0)),$W12&lt;&gt;"Yes",$AD12&lt;&gt;"Official 2026-27"),"Date not yet confirmed: check the college site, then set Deadline Verified to Yes. ","")&amp;IF(LEFT($AB12,8)="Required",IF($AB12="Required","CSS Profile required. ","CSS Profile may be required: check the college's aid page. "),"")&amp;IF($AC12&lt;&gt;"","Interview: "&amp;$AC12&amp;". Watch your email, including spam, and reply the same day. ","")))</f>
        <v/>
      </c>
      <c r="Y12" s="24"/>
      <c r="AA12" s="1" t="n">
        <f aca="false">IF($B12="",0,IFERROR(MATCH($B12,DB_Colleges!$A$2:$A$400,0),0))</f>
        <v>0</v>
      </c>
      <c r="AB12" s="1" t="str">
        <f aca="false">IF(($AA12=0),"",INDEX(DB_Colleges!$W$2:$W$400,$AA12)&amp;"")</f>
        <v/>
      </c>
      <c r="AC12" s="1" t="str">
        <f aca="false">IF(($AA12=0),"",IF(OR(LEFT(INDEX(DB_Colleges!$X$2:$X$400,$AA12)&amp;"",4)="None",LEFT(INDEX(DB_Colleges!$X$2:$X$400,$AA12)&amp;"",3)="No ",LEFT(INDEX(DB_Colleges!$X$2:$X$400,$AA12)&amp;"",3)="Not"),"",INDEX(DB_Colleges!$X$2:$X$400,$AA12)&amp;""))</f>
        <v/>
      </c>
      <c r="AD12" s="1" t="str">
        <f aca="false">IF(($AA12=0),"",INDEX(DB_Colleges!$AK$2:$AK$400,$AA12)&amp;"")</f>
        <v/>
      </c>
      <c r="AE12" s="1" t="str">
        <f aca="false">IF(($AA12=0),"",INDEX(DB_Colleges!$H$2:$H$400,$AA12)&amp;"")</f>
        <v/>
      </c>
      <c r="AF12" s="1" t="str">
        <f aca="false">IF(($AA12=0),"",INDEX(DB_Colleges!$G$2:$G$400,$AA12)&amp;"")</f>
        <v/>
      </c>
    </row>
    <row r="13" customFormat="false" ht="15" hidden="false" customHeight="true" outlineLevel="0" collapsed="false">
      <c r="A13" s="18" t="n">
        <v>6</v>
      </c>
      <c r="B13" s="32"/>
      <c r="C13" s="18" t="str">
        <f aca="false">IF($B13="","",IF(($AA13=0),"No: fill G","Yes"))</f>
        <v/>
      </c>
      <c r="D13" s="18" t="str">
        <f aca="false">IF(($AA13=0),"",INDEX(Explore!$E$8:$E$406,$AA13))</f>
        <v/>
      </c>
      <c r="E13" s="24"/>
      <c r="F13" s="17" t="str">
        <f aca="false">IF($B13="","",IF($E13="","Pick a round",IF($E13="Rolling","Rolling",IF(($AA13=0),"",IF(COUNT(INDEX(DB_Colleges!$I$2:$O$400,$AA13,0))=0,"No date on file",IF(ISNUMBER(INDEX(DB_Colleges!$I$2:$O$400,$AA13,MATCH($E13,{"ED","ED II","EA","EA II","REA","RD","Priority"},0))),INDEX(DB_Colleges!$I$2:$O$400,$AA13,MATCH($E13,{"ED","ED II","EA","EA II","REA","RD","Priority"},0)),"Not offered"))))))</f>
        <v/>
      </c>
      <c r="G13" s="33"/>
      <c r="H13" s="17" t="str">
        <f aca="false">IF(($AA13=0),"",IF(ISNUMBER(INDEX(DB_Colleges!$Q$2:$Q$400,$AA13)),INDEX(DB_Colleges!$Q$2:$Q$400,$AA13),""))</f>
        <v/>
      </c>
      <c r="I13" s="17" t="str">
        <f aca="false">IF($B13="","",IF(ISNUMBER($G13),IF(ISNUMBER($H13),MIN($G13,$H13),$G13),IF(ISNUMBER($F13),IF(ISNUMBER($H13),MIN($F13,$H13),$F13),IF(AND($E13="Rolling",ISNUMBER($H13)),$H13,""))))</f>
        <v/>
      </c>
      <c r="J13" s="18" t="str">
        <f aca="true">IF(AND(ISNUMBER($I13),$T13&lt;&gt;"Submitted",$T13&lt;&gt;"Complete in portal"),$I13-TODAY(),"")</f>
        <v/>
      </c>
      <c r="K13" s="18" t="str">
        <f aca="false">IF(($AA13=0),"",INDEX(DB_Colleges!$G$2:$G$400,$AA13)&amp;"")</f>
        <v/>
      </c>
      <c r="L13" s="34" t="str">
        <f aca="false">IF(($AA13=0),"",IF(ISNUMBER(INDEX(DB_Colleges!$S$2:$S$400,$AA13)),INDEX(DB_Colleges!$S$2:$S$400,$AA13),""))</f>
        <v/>
      </c>
      <c r="M13" s="24"/>
      <c r="N13" s="18" t="str">
        <f aca="false">IF(($AA13=0),"",INDEX(DB_Colleges!$U$2:$U$400,$AA13)&amp;"")</f>
        <v/>
      </c>
      <c r="O13" s="18" t="str">
        <f aca="false">IF(($AA13=0),"",INDEX(DB_Colleges!$V$2:$V$400,$AA13)&amp;"")</f>
        <v/>
      </c>
      <c r="P13" s="18" t="str">
        <f aca="false">IF(($AA13=0),"",IF(ISNUMBER(INDEX(DB_Colleges!$AH$2:$AH$400,$AA13)),INDEX(DB_Colleges!$AH$2:$AH$400,$AA13),"Check"))</f>
        <v/>
      </c>
      <c r="Q13" s="18" t="str">
        <f aca="false">IF($B13="","",'Next Steps'!$AA13&amp;" of "&amp;'Next Steps'!$AB13)</f>
        <v/>
      </c>
      <c r="R13" s="18" t="str">
        <f aca="false">IF($B13="","",'Next Steps'!$AC13)</f>
        <v/>
      </c>
      <c r="S13" s="17" t="str">
        <f aca="false">IF($B13="","",'Next Steps'!$AD13)</f>
        <v/>
      </c>
      <c r="T13" s="24"/>
      <c r="U13" s="24"/>
      <c r="V13" s="24"/>
      <c r="W13" s="24"/>
      <c r="X13" s="35" t="str">
        <f aca="false">IF($B13="","",IF($V13="No","Dropped from your list.",IF(AND(OR($E13="ED",$E13="ED II"),OR(ISNUMBER($F13),ISNUMBER($G13))),"BINDING: if admitted you must attend. ","")&amp;IF(AND(OR($E13="ED",$E13="ED II"),ISNUMBER($F13),SUMPRODUCT((($E$8:$E$27="ED")+($E$8:$E$27="ED II"))*ISNUMBER($F$8:$F$27)*($V$8:$V$27&lt;&gt;"No"))&gt;1),"Only one Early Decision can be active at a time. ","")&amp;IF($E13="REA","Restrictive Early Action: limits other private early applications. ","")&amp;IF(AND(OR($E13="REA",$E13="ED"),ISNUMBER($F13),SUMPRODUCT(($E$8:$E$27="REA")*ISNUMBER($F$8:$F$27)*($V$8:$V$27&lt;&gt;"No"))&gt;0,SUMPRODUCT((($E$8:$E$27="ED")+($E$8:$E$27="ED II"))*ISNUMBER($F$8:$F$27)*($V$8:$V$27&lt;&gt;"No"))&gt;0),"You have Restrictive Early Action and Early Decision at the same time: check the REA college's rules, this is usually not allowed. ","")&amp;IF($F13="Not offered","This college does not offer that round: pick another. ","")&amp;IF(AND($E13="Rolling",NOT(ISNUMBER($G13))),"Rolling: set a target date in column G. ","")&amp;IF(AND(NOT(($AA13=0)),NOT(ISNUMBER($F13)),NOT(ISNUMBER($G13)),$E13&lt;&gt;"",$E13&lt;&gt;"Rolling",$F13&lt;&gt;"Not offered"),"No date on file yet: find it on the college site and type it in column G. ","")&amp;IF(AND(ISNUMBER($H13),ISNUMBER($I13),$H13=$I13,ISNUMBER($F13),$H13&lt;$F13),"Scholarship deadline is earlier than the application deadline, so it is your real deadline. ","")&amp;IF($AE13="No","Not on Common App: apply on "&amp;$AF13&amp;". ","")&amp;IF(($AA13=0),"Not in the database: type the deadline in column G and check requirements on the college site. ","")&amp;IF(AND(NOT(($AA13=0)),$W13&lt;&gt;"Yes",$AD13&lt;&gt;"Official 2026-27"),"Date not yet confirmed: check the college site, then set Deadline Verified to Yes. ","")&amp;IF(LEFT($AB13,8)="Required",IF($AB13="Required","CSS Profile required. ","CSS Profile may be required: check the college's aid page. "),"")&amp;IF($AC13&lt;&gt;"","Interview: "&amp;$AC13&amp;". Watch your email, including spam, and reply the same day. ","")))</f>
        <v/>
      </c>
      <c r="Y13" s="24"/>
      <c r="AA13" s="1" t="n">
        <f aca="false">IF($B13="",0,IFERROR(MATCH($B13,DB_Colleges!$A$2:$A$400,0),0))</f>
        <v>0</v>
      </c>
      <c r="AB13" s="1" t="str">
        <f aca="false">IF(($AA13=0),"",INDEX(DB_Colleges!$W$2:$W$400,$AA13)&amp;"")</f>
        <v/>
      </c>
      <c r="AC13" s="1" t="str">
        <f aca="false">IF(($AA13=0),"",IF(OR(LEFT(INDEX(DB_Colleges!$X$2:$X$400,$AA13)&amp;"",4)="None",LEFT(INDEX(DB_Colleges!$X$2:$X$400,$AA13)&amp;"",3)="No ",LEFT(INDEX(DB_Colleges!$X$2:$X$400,$AA13)&amp;"",3)="Not"),"",INDEX(DB_Colleges!$X$2:$X$400,$AA13)&amp;""))</f>
        <v/>
      </c>
      <c r="AD13" s="1" t="str">
        <f aca="false">IF(($AA13=0),"",INDEX(DB_Colleges!$AK$2:$AK$400,$AA13)&amp;"")</f>
        <v/>
      </c>
      <c r="AE13" s="1" t="str">
        <f aca="false">IF(($AA13=0),"",INDEX(DB_Colleges!$H$2:$H$400,$AA13)&amp;"")</f>
        <v/>
      </c>
      <c r="AF13" s="1" t="str">
        <f aca="false">IF(($AA13=0),"",INDEX(DB_Colleges!$G$2:$G$400,$AA13)&amp;"")</f>
        <v/>
      </c>
    </row>
    <row r="14" customFormat="false" ht="15" hidden="false" customHeight="true" outlineLevel="0" collapsed="false">
      <c r="A14" s="18" t="n">
        <v>7</v>
      </c>
      <c r="B14" s="32"/>
      <c r="C14" s="18" t="str">
        <f aca="false">IF($B14="","",IF(($AA14=0),"No: fill G","Yes"))</f>
        <v/>
      </c>
      <c r="D14" s="18" t="str">
        <f aca="false">IF(($AA14=0),"",INDEX(Explore!$E$8:$E$406,$AA14))</f>
        <v/>
      </c>
      <c r="E14" s="24"/>
      <c r="F14" s="17" t="str">
        <f aca="false">IF($B14="","",IF($E14="","Pick a round",IF($E14="Rolling","Rolling",IF(($AA14=0),"",IF(COUNT(INDEX(DB_Colleges!$I$2:$O$400,$AA14,0))=0,"No date on file",IF(ISNUMBER(INDEX(DB_Colleges!$I$2:$O$400,$AA14,MATCH($E14,{"ED","ED II","EA","EA II","REA","RD","Priority"},0))),INDEX(DB_Colleges!$I$2:$O$400,$AA14,MATCH($E14,{"ED","ED II","EA","EA II","REA","RD","Priority"},0)),"Not offered"))))))</f>
        <v/>
      </c>
      <c r="G14" s="33"/>
      <c r="H14" s="17" t="str">
        <f aca="false">IF(($AA14=0),"",IF(ISNUMBER(INDEX(DB_Colleges!$Q$2:$Q$400,$AA14)),INDEX(DB_Colleges!$Q$2:$Q$400,$AA14),""))</f>
        <v/>
      </c>
      <c r="I14" s="17" t="str">
        <f aca="false">IF($B14="","",IF(ISNUMBER($G14),IF(ISNUMBER($H14),MIN($G14,$H14),$G14),IF(ISNUMBER($F14),IF(ISNUMBER($H14),MIN($F14,$H14),$F14),IF(AND($E14="Rolling",ISNUMBER($H14)),$H14,""))))</f>
        <v/>
      </c>
      <c r="J14" s="18" t="str">
        <f aca="true">IF(AND(ISNUMBER($I14),$T14&lt;&gt;"Submitted",$T14&lt;&gt;"Complete in portal"),$I14-TODAY(),"")</f>
        <v/>
      </c>
      <c r="K14" s="18" t="str">
        <f aca="false">IF(($AA14=0),"",INDEX(DB_Colleges!$G$2:$G$400,$AA14)&amp;"")</f>
        <v/>
      </c>
      <c r="L14" s="34" t="str">
        <f aca="false">IF(($AA14=0),"",IF(ISNUMBER(INDEX(DB_Colleges!$S$2:$S$400,$AA14)),INDEX(DB_Colleges!$S$2:$S$400,$AA14),""))</f>
        <v/>
      </c>
      <c r="M14" s="24"/>
      <c r="N14" s="18" t="str">
        <f aca="false">IF(($AA14=0),"",INDEX(DB_Colleges!$U$2:$U$400,$AA14)&amp;"")</f>
        <v/>
      </c>
      <c r="O14" s="18" t="str">
        <f aca="false">IF(($AA14=0),"",INDEX(DB_Colleges!$V$2:$V$400,$AA14)&amp;"")</f>
        <v/>
      </c>
      <c r="P14" s="18" t="str">
        <f aca="false">IF(($AA14=0),"",IF(ISNUMBER(INDEX(DB_Colleges!$AH$2:$AH$400,$AA14)),INDEX(DB_Colleges!$AH$2:$AH$400,$AA14),"Check"))</f>
        <v/>
      </c>
      <c r="Q14" s="18" t="str">
        <f aca="false">IF($B14="","",'Next Steps'!$AA14&amp;" of "&amp;'Next Steps'!$AB14)</f>
        <v/>
      </c>
      <c r="R14" s="18" t="str">
        <f aca="false">IF($B14="","",'Next Steps'!$AC14)</f>
        <v/>
      </c>
      <c r="S14" s="17" t="str">
        <f aca="false">IF($B14="","",'Next Steps'!$AD14)</f>
        <v/>
      </c>
      <c r="T14" s="24"/>
      <c r="U14" s="24"/>
      <c r="V14" s="24"/>
      <c r="W14" s="24"/>
      <c r="X14" s="35" t="str">
        <f aca="false">IF($B14="","",IF($V14="No","Dropped from your list.",IF(AND(OR($E14="ED",$E14="ED II"),OR(ISNUMBER($F14),ISNUMBER($G14))),"BINDING: if admitted you must attend. ","")&amp;IF(AND(OR($E14="ED",$E14="ED II"),ISNUMBER($F14),SUMPRODUCT((($E$8:$E$27="ED")+($E$8:$E$27="ED II"))*ISNUMBER($F$8:$F$27)*($V$8:$V$27&lt;&gt;"No"))&gt;1),"Only one Early Decision can be active at a time. ","")&amp;IF($E14="REA","Restrictive Early Action: limits other private early applications. ","")&amp;IF(AND(OR($E14="REA",$E14="ED"),ISNUMBER($F14),SUMPRODUCT(($E$8:$E$27="REA")*ISNUMBER($F$8:$F$27)*($V$8:$V$27&lt;&gt;"No"))&gt;0,SUMPRODUCT((($E$8:$E$27="ED")+($E$8:$E$27="ED II"))*ISNUMBER($F$8:$F$27)*($V$8:$V$27&lt;&gt;"No"))&gt;0),"You have Restrictive Early Action and Early Decision at the same time: check the REA college's rules, this is usually not allowed. ","")&amp;IF($F14="Not offered","This college does not offer that round: pick another. ","")&amp;IF(AND($E14="Rolling",NOT(ISNUMBER($G14))),"Rolling: set a target date in column G. ","")&amp;IF(AND(NOT(($AA14=0)),NOT(ISNUMBER($F14)),NOT(ISNUMBER($G14)),$E14&lt;&gt;"",$E14&lt;&gt;"Rolling",$F14&lt;&gt;"Not offered"),"No date on file yet: find it on the college site and type it in column G. ","")&amp;IF(AND(ISNUMBER($H14),ISNUMBER($I14),$H14=$I14,ISNUMBER($F14),$H14&lt;$F14),"Scholarship deadline is earlier than the application deadline, so it is your real deadline. ","")&amp;IF($AE14="No","Not on Common App: apply on "&amp;$AF14&amp;". ","")&amp;IF(($AA14=0),"Not in the database: type the deadline in column G and check requirements on the college site. ","")&amp;IF(AND(NOT(($AA14=0)),$W14&lt;&gt;"Yes",$AD14&lt;&gt;"Official 2026-27"),"Date not yet confirmed: check the college site, then set Deadline Verified to Yes. ","")&amp;IF(LEFT($AB14,8)="Required",IF($AB14="Required","CSS Profile required. ","CSS Profile may be required: check the college's aid page. "),"")&amp;IF($AC14&lt;&gt;"","Interview: "&amp;$AC14&amp;". Watch your email, including spam, and reply the same day. ","")))</f>
        <v/>
      </c>
      <c r="Y14" s="24"/>
      <c r="AA14" s="1" t="n">
        <f aca="false">IF($B14="",0,IFERROR(MATCH($B14,DB_Colleges!$A$2:$A$400,0),0))</f>
        <v>0</v>
      </c>
      <c r="AB14" s="1" t="str">
        <f aca="false">IF(($AA14=0),"",INDEX(DB_Colleges!$W$2:$W$400,$AA14)&amp;"")</f>
        <v/>
      </c>
      <c r="AC14" s="1" t="str">
        <f aca="false">IF(($AA14=0),"",IF(OR(LEFT(INDEX(DB_Colleges!$X$2:$X$400,$AA14)&amp;"",4)="None",LEFT(INDEX(DB_Colleges!$X$2:$X$400,$AA14)&amp;"",3)="No ",LEFT(INDEX(DB_Colleges!$X$2:$X$400,$AA14)&amp;"",3)="Not"),"",INDEX(DB_Colleges!$X$2:$X$400,$AA14)&amp;""))</f>
        <v/>
      </c>
      <c r="AD14" s="1" t="str">
        <f aca="false">IF(($AA14=0),"",INDEX(DB_Colleges!$AK$2:$AK$400,$AA14)&amp;"")</f>
        <v/>
      </c>
      <c r="AE14" s="1" t="str">
        <f aca="false">IF(($AA14=0),"",INDEX(DB_Colleges!$H$2:$H$400,$AA14)&amp;"")</f>
        <v/>
      </c>
      <c r="AF14" s="1" t="str">
        <f aca="false">IF(($AA14=0),"",INDEX(DB_Colleges!$G$2:$G$400,$AA14)&amp;"")</f>
        <v/>
      </c>
    </row>
    <row r="15" customFormat="false" ht="15" hidden="false" customHeight="true" outlineLevel="0" collapsed="false">
      <c r="A15" s="18" t="n">
        <v>8</v>
      </c>
      <c r="B15" s="32"/>
      <c r="C15" s="18" t="str">
        <f aca="false">IF($B15="","",IF(($AA15=0),"No: fill G","Yes"))</f>
        <v/>
      </c>
      <c r="D15" s="18" t="str">
        <f aca="false">IF(($AA15=0),"",INDEX(Explore!$E$8:$E$406,$AA15))</f>
        <v/>
      </c>
      <c r="E15" s="24"/>
      <c r="F15" s="17" t="str">
        <f aca="false">IF($B15="","",IF($E15="","Pick a round",IF($E15="Rolling","Rolling",IF(($AA15=0),"",IF(COUNT(INDEX(DB_Colleges!$I$2:$O$400,$AA15,0))=0,"No date on file",IF(ISNUMBER(INDEX(DB_Colleges!$I$2:$O$400,$AA15,MATCH($E15,{"ED","ED II","EA","EA II","REA","RD","Priority"},0))),INDEX(DB_Colleges!$I$2:$O$400,$AA15,MATCH($E15,{"ED","ED II","EA","EA II","REA","RD","Priority"},0)),"Not offered"))))))</f>
        <v/>
      </c>
      <c r="G15" s="33"/>
      <c r="H15" s="17" t="str">
        <f aca="false">IF(($AA15=0),"",IF(ISNUMBER(INDEX(DB_Colleges!$Q$2:$Q$400,$AA15)),INDEX(DB_Colleges!$Q$2:$Q$400,$AA15),""))</f>
        <v/>
      </c>
      <c r="I15" s="17" t="str">
        <f aca="false">IF($B15="","",IF(ISNUMBER($G15),IF(ISNUMBER($H15),MIN($G15,$H15),$G15),IF(ISNUMBER($F15),IF(ISNUMBER($H15),MIN($F15,$H15),$F15),IF(AND($E15="Rolling",ISNUMBER($H15)),$H15,""))))</f>
        <v/>
      </c>
      <c r="J15" s="18" t="str">
        <f aca="true">IF(AND(ISNUMBER($I15),$T15&lt;&gt;"Submitted",$T15&lt;&gt;"Complete in portal"),$I15-TODAY(),"")</f>
        <v/>
      </c>
      <c r="K15" s="18" t="str">
        <f aca="false">IF(($AA15=0),"",INDEX(DB_Colleges!$G$2:$G$400,$AA15)&amp;"")</f>
        <v/>
      </c>
      <c r="L15" s="34" t="str">
        <f aca="false">IF(($AA15=0),"",IF(ISNUMBER(INDEX(DB_Colleges!$S$2:$S$400,$AA15)),INDEX(DB_Colleges!$S$2:$S$400,$AA15),""))</f>
        <v/>
      </c>
      <c r="M15" s="24"/>
      <c r="N15" s="18" t="str">
        <f aca="false">IF(($AA15=0),"",INDEX(DB_Colleges!$U$2:$U$400,$AA15)&amp;"")</f>
        <v/>
      </c>
      <c r="O15" s="18" t="str">
        <f aca="false">IF(($AA15=0),"",INDEX(DB_Colleges!$V$2:$V$400,$AA15)&amp;"")</f>
        <v/>
      </c>
      <c r="P15" s="18" t="str">
        <f aca="false">IF(($AA15=0),"",IF(ISNUMBER(INDEX(DB_Colleges!$AH$2:$AH$400,$AA15)),INDEX(DB_Colleges!$AH$2:$AH$400,$AA15),"Check"))</f>
        <v/>
      </c>
      <c r="Q15" s="18" t="str">
        <f aca="false">IF($B15="","",'Next Steps'!$AA15&amp;" of "&amp;'Next Steps'!$AB15)</f>
        <v/>
      </c>
      <c r="R15" s="18" t="str">
        <f aca="false">IF($B15="","",'Next Steps'!$AC15)</f>
        <v/>
      </c>
      <c r="S15" s="17" t="str">
        <f aca="false">IF($B15="","",'Next Steps'!$AD15)</f>
        <v/>
      </c>
      <c r="T15" s="24"/>
      <c r="U15" s="24"/>
      <c r="V15" s="24"/>
      <c r="W15" s="24"/>
      <c r="X15" s="35" t="str">
        <f aca="false">IF($B15="","",IF($V15="No","Dropped from your list.",IF(AND(OR($E15="ED",$E15="ED II"),OR(ISNUMBER($F15),ISNUMBER($G15))),"BINDING: if admitted you must attend. ","")&amp;IF(AND(OR($E15="ED",$E15="ED II"),ISNUMBER($F15),SUMPRODUCT((($E$8:$E$27="ED")+($E$8:$E$27="ED II"))*ISNUMBER($F$8:$F$27)*($V$8:$V$27&lt;&gt;"No"))&gt;1),"Only one Early Decision can be active at a time. ","")&amp;IF($E15="REA","Restrictive Early Action: limits other private early applications. ","")&amp;IF(AND(OR($E15="REA",$E15="ED"),ISNUMBER($F15),SUMPRODUCT(($E$8:$E$27="REA")*ISNUMBER($F$8:$F$27)*($V$8:$V$27&lt;&gt;"No"))&gt;0,SUMPRODUCT((($E$8:$E$27="ED")+($E$8:$E$27="ED II"))*ISNUMBER($F$8:$F$27)*($V$8:$V$27&lt;&gt;"No"))&gt;0),"You have Restrictive Early Action and Early Decision at the same time: check the REA college's rules, this is usually not allowed. ","")&amp;IF($F15="Not offered","This college does not offer that round: pick another. ","")&amp;IF(AND($E15="Rolling",NOT(ISNUMBER($G15))),"Rolling: set a target date in column G. ","")&amp;IF(AND(NOT(($AA15=0)),NOT(ISNUMBER($F15)),NOT(ISNUMBER($G15)),$E15&lt;&gt;"",$E15&lt;&gt;"Rolling",$F15&lt;&gt;"Not offered"),"No date on file yet: find it on the college site and type it in column G. ","")&amp;IF(AND(ISNUMBER($H15),ISNUMBER($I15),$H15=$I15,ISNUMBER($F15),$H15&lt;$F15),"Scholarship deadline is earlier than the application deadline, so it is your real deadline. ","")&amp;IF($AE15="No","Not on Common App: apply on "&amp;$AF15&amp;". ","")&amp;IF(($AA15=0),"Not in the database: type the deadline in column G and check requirements on the college site. ","")&amp;IF(AND(NOT(($AA15=0)),$W15&lt;&gt;"Yes",$AD15&lt;&gt;"Official 2026-27"),"Date not yet confirmed: check the college site, then set Deadline Verified to Yes. ","")&amp;IF(LEFT($AB15,8)="Required",IF($AB15="Required","CSS Profile required. ","CSS Profile may be required: check the college's aid page. "),"")&amp;IF($AC15&lt;&gt;"","Interview: "&amp;$AC15&amp;". Watch your email, including spam, and reply the same day. ","")))</f>
        <v/>
      </c>
      <c r="Y15" s="24"/>
      <c r="AA15" s="1" t="n">
        <f aca="false">IF($B15="",0,IFERROR(MATCH($B15,DB_Colleges!$A$2:$A$400,0),0))</f>
        <v>0</v>
      </c>
      <c r="AB15" s="1" t="str">
        <f aca="false">IF(($AA15=0),"",INDEX(DB_Colleges!$W$2:$W$400,$AA15)&amp;"")</f>
        <v/>
      </c>
      <c r="AC15" s="1" t="str">
        <f aca="false">IF(($AA15=0),"",IF(OR(LEFT(INDEX(DB_Colleges!$X$2:$X$400,$AA15)&amp;"",4)="None",LEFT(INDEX(DB_Colleges!$X$2:$X$400,$AA15)&amp;"",3)="No ",LEFT(INDEX(DB_Colleges!$X$2:$X$400,$AA15)&amp;"",3)="Not"),"",INDEX(DB_Colleges!$X$2:$X$400,$AA15)&amp;""))</f>
        <v/>
      </c>
      <c r="AD15" s="1" t="str">
        <f aca="false">IF(($AA15=0),"",INDEX(DB_Colleges!$AK$2:$AK$400,$AA15)&amp;"")</f>
        <v/>
      </c>
      <c r="AE15" s="1" t="str">
        <f aca="false">IF(($AA15=0),"",INDEX(DB_Colleges!$H$2:$H$400,$AA15)&amp;"")</f>
        <v/>
      </c>
      <c r="AF15" s="1" t="str">
        <f aca="false">IF(($AA15=0),"",INDEX(DB_Colleges!$G$2:$G$400,$AA15)&amp;"")</f>
        <v/>
      </c>
    </row>
    <row r="16" customFormat="false" ht="15" hidden="false" customHeight="true" outlineLevel="0" collapsed="false">
      <c r="A16" s="18" t="n">
        <v>9</v>
      </c>
      <c r="B16" s="32"/>
      <c r="C16" s="18" t="str">
        <f aca="false">IF($B16="","",IF(($AA16=0),"No: fill G","Yes"))</f>
        <v/>
      </c>
      <c r="D16" s="18" t="str">
        <f aca="false">IF(($AA16=0),"",INDEX(Explore!$E$8:$E$406,$AA16))</f>
        <v/>
      </c>
      <c r="E16" s="24"/>
      <c r="F16" s="17" t="str">
        <f aca="false">IF($B16="","",IF($E16="","Pick a round",IF($E16="Rolling","Rolling",IF(($AA16=0),"",IF(COUNT(INDEX(DB_Colleges!$I$2:$O$400,$AA16,0))=0,"No date on file",IF(ISNUMBER(INDEX(DB_Colleges!$I$2:$O$400,$AA16,MATCH($E16,{"ED","ED II","EA","EA II","REA","RD","Priority"},0))),INDEX(DB_Colleges!$I$2:$O$400,$AA16,MATCH($E16,{"ED","ED II","EA","EA II","REA","RD","Priority"},0)),"Not offered"))))))</f>
        <v/>
      </c>
      <c r="G16" s="33"/>
      <c r="H16" s="17" t="str">
        <f aca="false">IF(($AA16=0),"",IF(ISNUMBER(INDEX(DB_Colleges!$Q$2:$Q$400,$AA16)),INDEX(DB_Colleges!$Q$2:$Q$400,$AA16),""))</f>
        <v/>
      </c>
      <c r="I16" s="17" t="str">
        <f aca="false">IF($B16="","",IF(ISNUMBER($G16),IF(ISNUMBER($H16),MIN($G16,$H16),$G16),IF(ISNUMBER($F16),IF(ISNUMBER($H16),MIN($F16,$H16),$F16),IF(AND($E16="Rolling",ISNUMBER($H16)),$H16,""))))</f>
        <v/>
      </c>
      <c r="J16" s="18" t="str">
        <f aca="true">IF(AND(ISNUMBER($I16),$T16&lt;&gt;"Submitted",$T16&lt;&gt;"Complete in portal"),$I16-TODAY(),"")</f>
        <v/>
      </c>
      <c r="K16" s="18" t="str">
        <f aca="false">IF(($AA16=0),"",INDEX(DB_Colleges!$G$2:$G$400,$AA16)&amp;"")</f>
        <v/>
      </c>
      <c r="L16" s="34" t="str">
        <f aca="false">IF(($AA16=0),"",IF(ISNUMBER(INDEX(DB_Colleges!$S$2:$S$400,$AA16)),INDEX(DB_Colleges!$S$2:$S$400,$AA16),""))</f>
        <v/>
      </c>
      <c r="M16" s="24"/>
      <c r="N16" s="18" t="str">
        <f aca="false">IF(($AA16=0),"",INDEX(DB_Colleges!$U$2:$U$400,$AA16)&amp;"")</f>
        <v/>
      </c>
      <c r="O16" s="18" t="str">
        <f aca="false">IF(($AA16=0),"",INDEX(DB_Colleges!$V$2:$V$400,$AA16)&amp;"")</f>
        <v/>
      </c>
      <c r="P16" s="18" t="str">
        <f aca="false">IF(($AA16=0),"",IF(ISNUMBER(INDEX(DB_Colleges!$AH$2:$AH$400,$AA16)),INDEX(DB_Colleges!$AH$2:$AH$400,$AA16),"Check"))</f>
        <v/>
      </c>
      <c r="Q16" s="18" t="str">
        <f aca="false">IF($B16="","",'Next Steps'!$AA16&amp;" of "&amp;'Next Steps'!$AB16)</f>
        <v/>
      </c>
      <c r="R16" s="18" t="str">
        <f aca="false">IF($B16="","",'Next Steps'!$AC16)</f>
        <v/>
      </c>
      <c r="S16" s="17" t="str">
        <f aca="false">IF($B16="","",'Next Steps'!$AD16)</f>
        <v/>
      </c>
      <c r="T16" s="24"/>
      <c r="U16" s="24"/>
      <c r="V16" s="24"/>
      <c r="W16" s="24"/>
      <c r="X16" s="35" t="str">
        <f aca="false">IF($B16="","",IF($V16="No","Dropped from your list.",IF(AND(OR($E16="ED",$E16="ED II"),OR(ISNUMBER($F16),ISNUMBER($G16))),"BINDING: if admitted you must attend. ","")&amp;IF(AND(OR($E16="ED",$E16="ED II"),ISNUMBER($F16),SUMPRODUCT((($E$8:$E$27="ED")+($E$8:$E$27="ED II"))*ISNUMBER($F$8:$F$27)*($V$8:$V$27&lt;&gt;"No"))&gt;1),"Only one Early Decision can be active at a time. ","")&amp;IF($E16="REA","Restrictive Early Action: limits other private early applications. ","")&amp;IF(AND(OR($E16="REA",$E16="ED"),ISNUMBER($F16),SUMPRODUCT(($E$8:$E$27="REA")*ISNUMBER($F$8:$F$27)*($V$8:$V$27&lt;&gt;"No"))&gt;0,SUMPRODUCT((($E$8:$E$27="ED")+($E$8:$E$27="ED II"))*ISNUMBER($F$8:$F$27)*($V$8:$V$27&lt;&gt;"No"))&gt;0),"You have Restrictive Early Action and Early Decision at the same time: check the REA college's rules, this is usually not allowed. ","")&amp;IF($F16="Not offered","This college does not offer that round: pick another. ","")&amp;IF(AND($E16="Rolling",NOT(ISNUMBER($G16))),"Rolling: set a target date in column G. ","")&amp;IF(AND(NOT(($AA16=0)),NOT(ISNUMBER($F16)),NOT(ISNUMBER($G16)),$E16&lt;&gt;"",$E16&lt;&gt;"Rolling",$F16&lt;&gt;"Not offered"),"No date on file yet: find it on the college site and type it in column G. ","")&amp;IF(AND(ISNUMBER($H16),ISNUMBER($I16),$H16=$I16,ISNUMBER($F16),$H16&lt;$F16),"Scholarship deadline is earlier than the application deadline, so it is your real deadline. ","")&amp;IF($AE16="No","Not on Common App: apply on "&amp;$AF16&amp;". ","")&amp;IF(($AA16=0),"Not in the database: type the deadline in column G and check requirements on the college site. ","")&amp;IF(AND(NOT(($AA16=0)),$W16&lt;&gt;"Yes",$AD16&lt;&gt;"Official 2026-27"),"Date not yet confirmed: check the college site, then set Deadline Verified to Yes. ","")&amp;IF(LEFT($AB16,8)="Required",IF($AB16="Required","CSS Profile required. ","CSS Profile may be required: check the college's aid page. "),"")&amp;IF($AC16&lt;&gt;"","Interview: "&amp;$AC16&amp;". Watch your email, including spam, and reply the same day. ","")))</f>
        <v/>
      </c>
      <c r="Y16" s="24"/>
      <c r="AA16" s="1" t="n">
        <f aca="false">IF($B16="",0,IFERROR(MATCH($B16,DB_Colleges!$A$2:$A$400,0),0))</f>
        <v>0</v>
      </c>
      <c r="AB16" s="1" t="str">
        <f aca="false">IF(($AA16=0),"",INDEX(DB_Colleges!$W$2:$W$400,$AA16)&amp;"")</f>
        <v/>
      </c>
      <c r="AC16" s="1" t="str">
        <f aca="false">IF(($AA16=0),"",IF(OR(LEFT(INDEX(DB_Colleges!$X$2:$X$400,$AA16)&amp;"",4)="None",LEFT(INDEX(DB_Colleges!$X$2:$X$400,$AA16)&amp;"",3)="No ",LEFT(INDEX(DB_Colleges!$X$2:$X$400,$AA16)&amp;"",3)="Not"),"",INDEX(DB_Colleges!$X$2:$X$400,$AA16)&amp;""))</f>
        <v/>
      </c>
      <c r="AD16" s="1" t="str">
        <f aca="false">IF(($AA16=0),"",INDEX(DB_Colleges!$AK$2:$AK$400,$AA16)&amp;"")</f>
        <v/>
      </c>
      <c r="AE16" s="1" t="str">
        <f aca="false">IF(($AA16=0),"",INDEX(DB_Colleges!$H$2:$H$400,$AA16)&amp;"")</f>
        <v/>
      </c>
      <c r="AF16" s="1" t="str">
        <f aca="false">IF(($AA16=0),"",INDEX(DB_Colleges!$G$2:$G$400,$AA16)&amp;"")</f>
        <v/>
      </c>
    </row>
    <row r="17" customFormat="false" ht="15" hidden="false" customHeight="true" outlineLevel="0" collapsed="false">
      <c r="A17" s="18" t="n">
        <v>10</v>
      </c>
      <c r="B17" s="32"/>
      <c r="C17" s="18" t="str">
        <f aca="false">IF($B17="","",IF(($AA17=0),"No: fill G","Yes"))</f>
        <v/>
      </c>
      <c r="D17" s="18" t="str">
        <f aca="false">IF(($AA17=0),"",INDEX(Explore!$E$8:$E$406,$AA17))</f>
        <v/>
      </c>
      <c r="E17" s="24"/>
      <c r="F17" s="17" t="str">
        <f aca="false">IF($B17="","",IF($E17="","Pick a round",IF($E17="Rolling","Rolling",IF(($AA17=0),"",IF(COUNT(INDEX(DB_Colleges!$I$2:$O$400,$AA17,0))=0,"No date on file",IF(ISNUMBER(INDEX(DB_Colleges!$I$2:$O$400,$AA17,MATCH($E17,{"ED","ED II","EA","EA II","REA","RD","Priority"},0))),INDEX(DB_Colleges!$I$2:$O$400,$AA17,MATCH($E17,{"ED","ED II","EA","EA II","REA","RD","Priority"},0)),"Not offered"))))))</f>
        <v/>
      </c>
      <c r="G17" s="33"/>
      <c r="H17" s="17" t="str">
        <f aca="false">IF(($AA17=0),"",IF(ISNUMBER(INDEX(DB_Colleges!$Q$2:$Q$400,$AA17)),INDEX(DB_Colleges!$Q$2:$Q$400,$AA17),""))</f>
        <v/>
      </c>
      <c r="I17" s="17" t="str">
        <f aca="false">IF($B17="","",IF(ISNUMBER($G17),IF(ISNUMBER($H17),MIN($G17,$H17),$G17),IF(ISNUMBER($F17),IF(ISNUMBER($H17),MIN($F17,$H17),$F17),IF(AND($E17="Rolling",ISNUMBER($H17)),$H17,""))))</f>
        <v/>
      </c>
      <c r="J17" s="18" t="str">
        <f aca="true">IF(AND(ISNUMBER($I17),$T17&lt;&gt;"Submitted",$T17&lt;&gt;"Complete in portal"),$I17-TODAY(),"")</f>
        <v/>
      </c>
      <c r="K17" s="18" t="str">
        <f aca="false">IF(($AA17=0),"",INDEX(DB_Colleges!$G$2:$G$400,$AA17)&amp;"")</f>
        <v/>
      </c>
      <c r="L17" s="34" t="str">
        <f aca="false">IF(($AA17=0),"",IF(ISNUMBER(INDEX(DB_Colleges!$S$2:$S$400,$AA17)),INDEX(DB_Colleges!$S$2:$S$400,$AA17),""))</f>
        <v/>
      </c>
      <c r="M17" s="24"/>
      <c r="N17" s="18" t="str">
        <f aca="false">IF(($AA17=0),"",INDEX(DB_Colleges!$U$2:$U$400,$AA17)&amp;"")</f>
        <v/>
      </c>
      <c r="O17" s="18" t="str">
        <f aca="false">IF(($AA17=0),"",INDEX(DB_Colleges!$V$2:$V$400,$AA17)&amp;"")</f>
        <v/>
      </c>
      <c r="P17" s="18" t="str">
        <f aca="false">IF(($AA17=0),"",IF(ISNUMBER(INDEX(DB_Colleges!$AH$2:$AH$400,$AA17)),INDEX(DB_Colleges!$AH$2:$AH$400,$AA17),"Check"))</f>
        <v/>
      </c>
      <c r="Q17" s="18" t="str">
        <f aca="false">IF($B17="","",'Next Steps'!$AA17&amp;" of "&amp;'Next Steps'!$AB17)</f>
        <v/>
      </c>
      <c r="R17" s="18" t="str">
        <f aca="false">IF($B17="","",'Next Steps'!$AC17)</f>
        <v/>
      </c>
      <c r="S17" s="17" t="str">
        <f aca="false">IF($B17="","",'Next Steps'!$AD17)</f>
        <v/>
      </c>
      <c r="T17" s="24"/>
      <c r="U17" s="24"/>
      <c r="V17" s="24"/>
      <c r="W17" s="24"/>
      <c r="X17" s="35" t="str">
        <f aca="false">IF($B17="","",IF($V17="No","Dropped from your list.",IF(AND(OR($E17="ED",$E17="ED II"),OR(ISNUMBER($F17),ISNUMBER($G17))),"BINDING: if admitted you must attend. ","")&amp;IF(AND(OR($E17="ED",$E17="ED II"),ISNUMBER($F17),SUMPRODUCT((($E$8:$E$27="ED")+($E$8:$E$27="ED II"))*ISNUMBER($F$8:$F$27)*($V$8:$V$27&lt;&gt;"No"))&gt;1),"Only one Early Decision can be active at a time. ","")&amp;IF($E17="REA","Restrictive Early Action: limits other private early applications. ","")&amp;IF(AND(OR($E17="REA",$E17="ED"),ISNUMBER($F17),SUMPRODUCT(($E$8:$E$27="REA")*ISNUMBER($F$8:$F$27)*($V$8:$V$27&lt;&gt;"No"))&gt;0,SUMPRODUCT((($E$8:$E$27="ED")+($E$8:$E$27="ED II"))*ISNUMBER($F$8:$F$27)*($V$8:$V$27&lt;&gt;"No"))&gt;0),"You have Restrictive Early Action and Early Decision at the same time: check the REA college's rules, this is usually not allowed. ","")&amp;IF($F17="Not offered","This college does not offer that round: pick another. ","")&amp;IF(AND($E17="Rolling",NOT(ISNUMBER($G17))),"Rolling: set a target date in column G. ","")&amp;IF(AND(NOT(($AA17=0)),NOT(ISNUMBER($F17)),NOT(ISNUMBER($G17)),$E17&lt;&gt;"",$E17&lt;&gt;"Rolling",$F17&lt;&gt;"Not offered"),"No date on file yet: find it on the college site and type it in column G. ","")&amp;IF(AND(ISNUMBER($H17),ISNUMBER($I17),$H17=$I17,ISNUMBER($F17),$H17&lt;$F17),"Scholarship deadline is earlier than the application deadline, so it is your real deadline. ","")&amp;IF($AE17="No","Not on Common App: apply on "&amp;$AF17&amp;". ","")&amp;IF(($AA17=0),"Not in the database: type the deadline in column G and check requirements on the college site. ","")&amp;IF(AND(NOT(($AA17=0)),$W17&lt;&gt;"Yes",$AD17&lt;&gt;"Official 2026-27"),"Date not yet confirmed: check the college site, then set Deadline Verified to Yes. ","")&amp;IF(LEFT($AB17,8)="Required",IF($AB17="Required","CSS Profile required. ","CSS Profile may be required: check the college's aid page. "),"")&amp;IF($AC17&lt;&gt;"","Interview: "&amp;$AC17&amp;". Watch your email, including spam, and reply the same day. ","")))</f>
        <v/>
      </c>
      <c r="Y17" s="24"/>
      <c r="AA17" s="1" t="n">
        <f aca="false">IF($B17="",0,IFERROR(MATCH($B17,DB_Colleges!$A$2:$A$400,0),0))</f>
        <v>0</v>
      </c>
      <c r="AB17" s="1" t="str">
        <f aca="false">IF(($AA17=0),"",INDEX(DB_Colleges!$W$2:$W$400,$AA17)&amp;"")</f>
        <v/>
      </c>
      <c r="AC17" s="1" t="str">
        <f aca="false">IF(($AA17=0),"",IF(OR(LEFT(INDEX(DB_Colleges!$X$2:$X$400,$AA17)&amp;"",4)="None",LEFT(INDEX(DB_Colleges!$X$2:$X$400,$AA17)&amp;"",3)="No ",LEFT(INDEX(DB_Colleges!$X$2:$X$400,$AA17)&amp;"",3)="Not"),"",INDEX(DB_Colleges!$X$2:$X$400,$AA17)&amp;""))</f>
        <v/>
      </c>
      <c r="AD17" s="1" t="str">
        <f aca="false">IF(($AA17=0),"",INDEX(DB_Colleges!$AK$2:$AK$400,$AA17)&amp;"")</f>
        <v/>
      </c>
      <c r="AE17" s="1" t="str">
        <f aca="false">IF(($AA17=0),"",INDEX(DB_Colleges!$H$2:$H$400,$AA17)&amp;"")</f>
        <v/>
      </c>
      <c r="AF17" s="1" t="str">
        <f aca="false">IF(($AA17=0),"",INDEX(DB_Colleges!$G$2:$G$400,$AA17)&amp;"")</f>
        <v/>
      </c>
    </row>
    <row r="18" customFormat="false" ht="15" hidden="false" customHeight="true" outlineLevel="0" collapsed="false">
      <c r="A18" s="18" t="n">
        <v>11</v>
      </c>
      <c r="B18" s="32"/>
      <c r="C18" s="18" t="str">
        <f aca="false">IF($B18="","",IF(($AA18=0),"No: fill G","Yes"))</f>
        <v/>
      </c>
      <c r="D18" s="18" t="str">
        <f aca="false">IF(($AA18=0),"",INDEX(Explore!$E$8:$E$406,$AA18))</f>
        <v/>
      </c>
      <c r="E18" s="24"/>
      <c r="F18" s="17" t="str">
        <f aca="false">IF($B18="","",IF($E18="","Pick a round",IF($E18="Rolling","Rolling",IF(($AA18=0),"",IF(COUNT(INDEX(DB_Colleges!$I$2:$O$400,$AA18,0))=0,"No date on file",IF(ISNUMBER(INDEX(DB_Colleges!$I$2:$O$400,$AA18,MATCH($E18,{"ED","ED II","EA","EA II","REA","RD","Priority"},0))),INDEX(DB_Colleges!$I$2:$O$400,$AA18,MATCH($E18,{"ED","ED II","EA","EA II","REA","RD","Priority"},0)),"Not offered"))))))</f>
        <v/>
      </c>
      <c r="G18" s="33"/>
      <c r="H18" s="17" t="str">
        <f aca="false">IF(($AA18=0),"",IF(ISNUMBER(INDEX(DB_Colleges!$Q$2:$Q$400,$AA18)),INDEX(DB_Colleges!$Q$2:$Q$400,$AA18),""))</f>
        <v/>
      </c>
      <c r="I18" s="17" t="str">
        <f aca="false">IF($B18="","",IF(ISNUMBER($G18),IF(ISNUMBER($H18),MIN($G18,$H18),$G18),IF(ISNUMBER($F18),IF(ISNUMBER($H18),MIN($F18,$H18),$F18),IF(AND($E18="Rolling",ISNUMBER($H18)),$H18,""))))</f>
        <v/>
      </c>
      <c r="J18" s="18" t="str">
        <f aca="true">IF(AND(ISNUMBER($I18),$T18&lt;&gt;"Submitted",$T18&lt;&gt;"Complete in portal"),$I18-TODAY(),"")</f>
        <v/>
      </c>
      <c r="K18" s="18" t="str">
        <f aca="false">IF(($AA18=0),"",INDEX(DB_Colleges!$G$2:$G$400,$AA18)&amp;"")</f>
        <v/>
      </c>
      <c r="L18" s="34" t="str">
        <f aca="false">IF(($AA18=0),"",IF(ISNUMBER(INDEX(DB_Colleges!$S$2:$S$400,$AA18)),INDEX(DB_Colleges!$S$2:$S$400,$AA18),""))</f>
        <v/>
      </c>
      <c r="M18" s="24"/>
      <c r="N18" s="18" t="str">
        <f aca="false">IF(($AA18=0),"",INDEX(DB_Colleges!$U$2:$U$400,$AA18)&amp;"")</f>
        <v/>
      </c>
      <c r="O18" s="18" t="str">
        <f aca="false">IF(($AA18=0),"",INDEX(DB_Colleges!$V$2:$V$400,$AA18)&amp;"")</f>
        <v/>
      </c>
      <c r="P18" s="18" t="str">
        <f aca="false">IF(($AA18=0),"",IF(ISNUMBER(INDEX(DB_Colleges!$AH$2:$AH$400,$AA18)),INDEX(DB_Colleges!$AH$2:$AH$400,$AA18),"Check"))</f>
        <v/>
      </c>
      <c r="Q18" s="18" t="str">
        <f aca="false">IF($B18="","",'Next Steps'!$AA18&amp;" of "&amp;'Next Steps'!$AB18)</f>
        <v/>
      </c>
      <c r="R18" s="18" t="str">
        <f aca="false">IF($B18="","",'Next Steps'!$AC18)</f>
        <v/>
      </c>
      <c r="S18" s="17" t="str">
        <f aca="false">IF($B18="","",'Next Steps'!$AD18)</f>
        <v/>
      </c>
      <c r="T18" s="24"/>
      <c r="U18" s="24"/>
      <c r="V18" s="24"/>
      <c r="W18" s="24"/>
      <c r="X18" s="35" t="str">
        <f aca="false">IF($B18="","",IF($V18="No","Dropped from your list.",IF(AND(OR($E18="ED",$E18="ED II"),OR(ISNUMBER($F18),ISNUMBER($G18))),"BINDING: if admitted you must attend. ","")&amp;IF(AND(OR($E18="ED",$E18="ED II"),ISNUMBER($F18),SUMPRODUCT((($E$8:$E$27="ED")+($E$8:$E$27="ED II"))*ISNUMBER($F$8:$F$27)*($V$8:$V$27&lt;&gt;"No"))&gt;1),"Only one Early Decision can be active at a time. ","")&amp;IF($E18="REA","Restrictive Early Action: limits other private early applications. ","")&amp;IF(AND(OR($E18="REA",$E18="ED"),ISNUMBER($F18),SUMPRODUCT(($E$8:$E$27="REA")*ISNUMBER($F$8:$F$27)*($V$8:$V$27&lt;&gt;"No"))&gt;0,SUMPRODUCT((($E$8:$E$27="ED")+($E$8:$E$27="ED II"))*ISNUMBER($F$8:$F$27)*($V$8:$V$27&lt;&gt;"No"))&gt;0),"You have Restrictive Early Action and Early Decision at the same time: check the REA college's rules, this is usually not allowed. ","")&amp;IF($F18="Not offered","This college does not offer that round: pick another. ","")&amp;IF(AND($E18="Rolling",NOT(ISNUMBER($G18))),"Rolling: set a target date in column G. ","")&amp;IF(AND(NOT(($AA18=0)),NOT(ISNUMBER($F18)),NOT(ISNUMBER($G18)),$E18&lt;&gt;"",$E18&lt;&gt;"Rolling",$F18&lt;&gt;"Not offered"),"No date on file yet: find it on the college site and type it in column G. ","")&amp;IF(AND(ISNUMBER($H18),ISNUMBER($I18),$H18=$I18,ISNUMBER($F18),$H18&lt;$F18),"Scholarship deadline is earlier than the application deadline, so it is your real deadline. ","")&amp;IF($AE18="No","Not on Common App: apply on "&amp;$AF18&amp;". ","")&amp;IF(($AA18=0),"Not in the database: type the deadline in column G and check requirements on the college site. ","")&amp;IF(AND(NOT(($AA18=0)),$W18&lt;&gt;"Yes",$AD18&lt;&gt;"Official 2026-27"),"Date not yet confirmed: check the college site, then set Deadline Verified to Yes. ","")&amp;IF(LEFT($AB18,8)="Required",IF($AB18="Required","CSS Profile required. ","CSS Profile may be required: check the college's aid page. "),"")&amp;IF($AC18&lt;&gt;"","Interview: "&amp;$AC18&amp;". Watch your email, including spam, and reply the same day. ","")))</f>
        <v/>
      </c>
      <c r="Y18" s="24"/>
      <c r="AA18" s="1" t="n">
        <f aca="false">IF($B18="",0,IFERROR(MATCH($B18,DB_Colleges!$A$2:$A$400,0),0))</f>
        <v>0</v>
      </c>
      <c r="AB18" s="1" t="str">
        <f aca="false">IF(($AA18=0),"",INDEX(DB_Colleges!$W$2:$W$400,$AA18)&amp;"")</f>
        <v/>
      </c>
      <c r="AC18" s="1" t="str">
        <f aca="false">IF(($AA18=0),"",IF(OR(LEFT(INDEX(DB_Colleges!$X$2:$X$400,$AA18)&amp;"",4)="None",LEFT(INDEX(DB_Colleges!$X$2:$X$400,$AA18)&amp;"",3)="No ",LEFT(INDEX(DB_Colleges!$X$2:$X$400,$AA18)&amp;"",3)="Not"),"",INDEX(DB_Colleges!$X$2:$X$400,$AA18)&amp;""))</f>
        <v/>
      </c>
      <c r="AD18" s="1" t="str">
        <f aca="false">IF(($AA18=0),"",INDEX(DB_Colleges!$AK$2:$AK$400,$AA18)&amp;"")</f>
        <v/>
      </c>
      <c r="AE18" s="1" t="str">
        <f aca="false">IF(($AA18=0),"",INDEX(DB_Colleges!$H$2:$H$400,$AA18)&amp;"")</f>
        <v/>
      </c>
      <c r="AF18" s="1" t="str">
        <f aca="false">IF(($AA18=0),"",INDEX(DB_Colleges!$G$2:$G$400,$AA18)&amp;"")</f>
        <v/>
      </c>
    </row>
    <row r="19" customFormat="false" ht="15" hidden="false" customHeight="true" outlineLevel="0" collapsed="false">
      <c r="A19" s="18" t="n">
        <v>12</v>
      </c>
      <c r="B19" s="32"/>
      <c r="C19" s="18" t="str">
        <f aca="false">IF($B19="","",IF(($AA19=0),"No: fill G","Yes"))</f>
        <v/>
      </c>
      <c r="D19" s="18" t="str">
        <f aca="false">IF(($AA19=0),"",INDEX(Explore!$E$8:$E$406,$AA19))</f>
        <v/>
      </c>
      <c r="E19" s="24"/>
      <c r="F19" s="17" t="str">
        <f aca="false">IF($B19="","",IF($E19="","Pick a round",IF($E19="Rolling","Rolling",IF(($AA19=0),"",IF(COUNT(INDEX(DB_Colleges!$I$2:$O$400,$AA19,0))=0,"No date on file",IF(ISNUMBER(INDEX(DB_Colleges!$I$2:$O$400,$AA19,MATCH($E19,{"ED","ED II","EA","EA II","REA","RD","Priority"},0))),INDEX(DB_Colleges!$I$2:$O$400,$AA19,MATCH($E19,{"ED","ED II","EA","EA II","REA","RD","Priority"},0)),"Not offered"))))))</f>
        <v/>
      </c>
      <c r="G19" s="33"/>
      <c r="H19" s="17" t="str">
        <f aca="false">IF(($AA19=0),"",IF(ISNUMBER(INDEX(DB_Colleges!$Q$2:$Q$400,$AA19)),INDEX(DB_Colleges!$Q$2:$Q$400,$AA19),""))</f>
        <v/>
      </c>
      <c r="I19" s="17" t="str">
        <f aca="false">IF($B19="","",IF(ISNUMBER($G19),IF(ISNUMBER($H19),MIN($G19,$H19),$G19),IF(ISNUMBER($F19),IF(ISNUMBER($H19),MIN($F19,$H19),$F19),IF(AND($E19="Rolling",ISNUMBER($H19)),$H19,""))))</f>
        <v/>
      </c>
      <c r="J19" s="18" t="str">
        <f aca="true">IF(AND(ISNUMBER($I19),$T19&lt;&gt;"Submitted",$T19&lt;&gt;"Complete in portal"),$I19-TODAY(),"")</f>
        <v/>
      </c>
      <c r="K19" s="18" t="str">
        <f aca="false">IF(($AA19=0),"",INDEX(DB_Colleges!$G$2:$G$400,$AA19)&amp;"")</f>
        <v/>
      </c>
      <c r="L19" s="34" t="str">
        <f aca="false">IF(($AA19=0),"",IF(ISNUMBER(INDEX(DB_Colleges!$S$2:$S$400,$AA19)),INDEX(DB_Colleges!$S$2:$S$400,$AA19),""))</f>
        <v/>
      </c>
      <c r="M19" s="24"/>
      <c r="N19" s="18" t="str">
        <f aca="false">IF(($AA19=0),"",INDEX(DB_Colleges!$U$2:$U$400,$AA19)&amp;"")</f>
        <v/>
      </c>
      <c r="O19" s="18" t="str">
        <f aca="false">IF(($AA19=0),"",INDEX(DB_Colleges!$V$2:$V$400,$AA19)&amp;"")</f>
        <v/>
      </c>
      <c r="P19" s="18" t="str">
        <f aca="false">IF(($AA19=0),"",IF(ISNUMBER(INDEX(DB_Colleges!$AH$2:$AH$400,$AA19)),INDEX(DB_Colleges!$AH$2:$AH$400,$AA19),"Check"))</f>
        <v/>
      </c>
      <c r="Q19" s="18" t="str">
        <f aca="false">IF($B19="","",'Next Steps'!$AA19&amp;" of "&amp;'Next Steps'!$AB19)</f>
        <v/>
      </c>
      <c r="R19" s="18" t="str">
        <f aca="false">IF($B19="","",'Next Steps'!$AC19)</f>
        <v/>
      </c>
      <c r="S19" s="17" t="str">
        <f aca="false">IF($B19="","",'Next Steps'!$AD19)</f>
        <v/>
      </c>
      <c r="T19" s="24"/>
      <c r="U19" s="24"/>
      <c r="V19" s="24"/>
      <c r="W19" s="24"/>
      <c r="X19" s="35" t="str">
        <f aca="false">IF($B19="","",IF($V19="No","Dropped from your list.",IF(AND(OR($E19="ED",$E19="ED II"),OR(ISNUMBER($F19),ISNUMBER($G19))),"BINDING: if admitted you must attend. ","")&amp;IF(AND(OR($E19="ED",$E19="ED II"),ISNUMBER($F19),SUMPRODUCT((($E$8:$E$27="ED")+($E$8:$E$27="ED II"))*ISNUMBER($F$8:$F$27)*($V$8:$V$27&lt;&gt;"No"))&gt;1),"Only one Early Decision can be active at a time. ","")&amp;IF($E19="REA","Restrictive Early Action: limits other private early applications. ","")&amp;IF(AND(OR($E19="REA",$E19="ED"),ISNUMBER($F19),SUMPRODUCT(($E$8:$E$27="REA")*ISNUMBER($F$8:$F$27)*($V$8:$V$27&lt;&gt;"No"))&gt;0,SUMPRODUCT((($E$8:$E$27="ED")+($E$8:$E$27="ED II"))*ISNUMBER($F$8:$F$27)*($V$8:$V$27&lt;&gt;"No"))&gt;0),"You have Restrictive Early Action and Early Decision at the same time: check the REA college's rules, this is usually not allowed. ","")&amp;IF($F19="Not offered","This college does not offer that round: pick another. ","")&amp;IF(AND($E19="Rolling",NOT(ISNUMBER($G19))),"Rolling: set a target date in column G. ","")&amp;IF(AND(NOT(($AA19=0)),NOT(ISNUMBER($F19)),NOT(ISNUMBER($G19)),$E19&lt;&gt;"",$E19&lt;&gt;"Rolling",$F19&lt;&gt;"Not offered"),"No date on file yet: find it on the college site and type it in column G. ","")&amp;IF(AND(ISNUMBER($H19),ISNUMBER($I19),$H19=$I19,ISNUMBER($F19),$H19&lt;$F19),"Scholarship deadline is earlier than the application deadline, so it is your real deadline. ","")&amp;IF($AE19="No","Not on Common App: apply on "&amp;$AF19&amp;". ","")&amp;IF(($AA19=0),"Not in the database: type the deadline in column G and check requirements on the college site. ","")&amp;IF(AND(NOT(($AA19=0)),$W19&lt;&gt;"Yes",$AD19&lt;&gt;"Official 2026-27"),"Date not yet confirmed: check the college site, then set Deadline Verified to Yes. ","")&amp;IF(LEFT($AB19,8)="Required",IF($AB19="Required","CSS Profile required. ","CSS Profile may be required: check the college's aid page. "),"")&amp;IF($AC19&lt;&gt;"","Interview: "&amp;$AC19&amp;". Watch your email, including spam, and reply the same day. ","")))</f>
        <v/>
      </c>
      <c r="Y19" s="24"/>
      <c r="AA19" s="1" t="n">
        <f aca="false">IF($B19="",0,IFERROR(MATCH($B19,DB_Colleges!$A$2:$A$400,0),0))</f>
        <v>0</v>
      </c>
      <c r="AB19" s="1" t="str">
        <f aca="false">IF(($AA19=0),"",INDEX(DB_Colleges!$W$2:$W$400,$AA19)&amp;"")</f>
        <v/>
      </c>
      <c r="AC19" s="1" t="str">
        <f aca="false">IF(($AA19=0),"",IF(OR(LEFT(INDEX(DB_Colleges!$X$2:$X$400,$AA19)&amp;"",4)="None",LEFT(INDEX(DB_Colleges!$X$2:$X$400,$AA19)&amp;"",3)="No ",LEFT(INDEX(DB_Colleges!$X$2:$X$400,$AA19)&amp;"",3)="Not"),"",INDEX(DB_Colleges!$X$2:$X$400,$AA19)&amp;""))</f>
        <v/>
      </c>
      <c r="AD19" s="1" t="str">
        <f aca="false">IF(($AA19=0),"",INDEX(DB_Colleges!$AK$2:$AK$400,$AA19)&amp;"")</f>
        <v/>
      </c>
      <c r="AE19" s="1" t="str">
        <f aca="false">IF(($AA19=0),"",INDEX(DB_Colleges!$H$2:$H$400,$AA19)&amp;"")</f>
        <v/>
      </c>
      <c r="AF19" s="1" t="str">
        <f aca="false">IF(($AA19=0),"",INDEX(DB_Colleges!$G$2:$G$400,$AA19)&amp;"")</f>
        <v/>
      </c>
    </row>
    <row r="20" customFormat="false" ht="15" hidden="false" customHeight="true" outlineLevel="0" collapsed="false">
      <c r="A20" s="18" t="n">
        <v>13</v>
      </c>
      <c r="B20" s="32"/>
      <c r="C20" s="18" t="str">
        <f aca="false">IF($B20="","",IF(($AA20=0),"No: fill G","Yes"))</f>
        <v/>
      </c>
      <c r="D20" s="18" t="str">
        <f aca="false">IF(($AA20=0),"",INDEX(Explore!$E$8:$E$406,$AA20))</f>
        <v/>
      </c>
      <c r="E20" s="24"/>
      <c r="F20" s="17" t="str">
        <f aca="false">IF($B20="","",IF($E20="","Pick a round",IF($E20="Rolling","Rolling",IF(($AA20=0),"",IF(COUNT(INDEX(DB_Colleges!$I$2:$O$400,$AA20,0))=0,"No date on file",IF(ISNUMBER(INDEX(DB_Colleges!$I$2:$O$400,$AA20,MATCH($E20,{"ED","ED II","EA","EA II","REA","RD","Priority"},0))),INDEX(DB_Colleges!$I$2:$O$400,$AA20,MATCH($E20,{"ED","ED II","EA","EA II","REA","RD","Priority"},0)),"Not offered"))))))</f>
        <v/>
      </c>
      <c r="G20" s="33"/>
      <c r="H20" s="17" t="str">
        <f aca="false">IF(($AA20=0),"",IF(ISNUMBER(INDEX(DB_Colleges!$Q$2:$Q$400,$AA20)),INDEX(DB_Colleges!$Q$2:$Q$400,$AA20),""))</f>
        <v/>
      </c>
      <c r="I20" s="17" t="str">
        <f aca="false">IF($B20="","",IF(ISNUMBER($G20),IF(ISNUMBER($H20),MIN($G20,$H20),$G20),IF(ISNUMBER($F20),IF(ISNUMBER($H20),MIN($F20,$H20),$F20),IF(AND($E20="Rolling",ISNUMBER($H20)),$H20,""))))</f>
        <v/>
      </c>
      <c r="J20" s="18" t="str">
        <f aca="true">IF(AND(ISNUMBER($I20),$T20&lt;&gt;"Submitted",$T20&lt;&gt;"Complete in portal"),$I20-TODAY(),"")</f>
        <v/>
      </c>
      <c r="K20" s="18" t="str">
        <f aca="false">IF(($AA20=0),"",INDEX(DB_Colleges!$G$2:$G$400,$AA20)&amp;"")</f>
        <v/>
      </c>
      <c r="L20" s="34" t="str">
        <f aca="false">IF(($AA20=0),"",IF(ISNUMBER(INDEX(DB_Colleges!$S$2:$S$400,$AA20)),INDEX(DB_Colleges!$S$2:$S$400,$AA20),""))</f>
        <v/>
      </c>
      <c r="M20" s="24"/>
      <c r="N20" s="18" t="str">
        <f aca="false">IF(($AA20=0),"",INDEX(DB_Colleges!$U$2:$U$400,$AA20)&amp;"")</f>
        <v/>
      </c>
      <c r="O20" s="18" t="str">
        <f aca="false">IF(($AA20=0),"",INDEX(DB_Colleges!$V$2:$V$400,$AA20)&amp;"")</f>
        <v/>
      </c>
      <c r="P20" s="18" t="str">
        <f aca="false">IF(($AA20=0),"",IF(ISNUMBER(INDEX(DB_Colleges!$AH$2:$AH$400,$AA20)),INDEX(DB_Colleges!$AH$2:$AH$400,$AA20),"Check"))</f>
        <v/>
      </c>
      <c r="Q20" s="18" t="str">
        <f aca="false">IF($B20="","",'Next Steps'!$AA20&amp;" of "&amp;'Next Steps'!$AB20)</f>
        <v/>
      </c>
      <c r="R20" s="18" t="str">
        <f aca="false">IF($B20="","",'Next Steps'!$AC20)</f>
        <v/>
      </c>
      <c r="S20" s="17" t="str">
        <f aca="false">IF($B20="","",'Next Steps'!$AD20)</f>
        <v/>
      </c>
      <c r="T20" s="24"/>
      <c r="U20" s="24"/>
      <c r="V20" s="24"/>
      <c r="W20" s="24"/>
      <c r="X20" s="35" t="str">
        <f aca="false">IF($B20="","",IF($V20="No","Dropped from your list.",IF(AND(OR($E20="ED",$E20="ED II"),OR(ISNUMBER($F20),ISNUMBER($G20))),"BINDING: if admitted you must attend. ","")&amp;IF(AND(OR($E20="ED",$E20="ED II"),ISNUMBER($F20),SUMPRODUCT((($E$8:$E$27="ED")+($E$8:$E$27="ED II"))*ISNUMBER($F$8:$F$27)*($V$8:$V$27&lt;&gt;"No"))&gt;1),"Only one Early Decision can be active at a time. ","")&amp;IF($E20="REA","Restrictive Early Action: limits other private early applications. ","")&amp;IF(AND(OR($E20="REA",$E20="ED"),ISNUMBER($F20),SUMPRODUCT(($E$8:$E$27="REA")*ISNUMBER($F$8:$F$27)*($V$8:$V$27&lt;&gt;"No"))&gt;0,SUMPRODUCT((($E$8:$E$27="ED")+($E$8:$E$27="ED II"))*ISNUMBER($F$8:$F$27)*($V$8:$V$27&lt;&gt;"No"))&gt;0),"You have Restrictive Early Action and Early Decision at the same time: check the REA college's rules, this is usually not allowed. ","")&amp;IF($F20="Not offered","This college does not offer that round: pick another. ","")&amp;IF(AND($E20="Rolling",NOT(ISNUMBER($G20))),"Rolling: set a target date in column G. ","")&amp;IF(AND(NOT(($AA20=0)),NOT(ISNUMBER($F20)),NOT(ISNUMBER($G20)),$E20&lt;&gt;"",$E20&lt;&gt;"Rolling",$F20&lt;&gt;"Not offered"),"No date on file yet: find it on the college site and type it in column G. ","")&amp;IF(AND(ISNUMBER($H20),ISNUMBER($I20),$H20=$I20,ISNUMBER($F20),$H20&lt;$F20),"Scholarship deadline is earlier than the application deadline, so it is your real deadline. ","")&amp;IF($AE20="No","Not on Common App: apply on "&amp;$AF20&amp;". ","")&amp;IF(($AA20=0),"Not in the database: type the deadline in column G and check requirements on the college site. ","")&amp;IF(AND(NOT(($AA20=0)),$W20&lt;&gt;"Yes",$AD20&lt;&gt;"Official 2026-27"),"Date not yet confirmed: check the college site, then set Deadline Verified to Yes. ","")&amp;IF(LEFT($AB20,8)="Required",IF($AB20="Required","CSS Profile required. ","CSS Profile may be required: check the college's aid page. "),"")&amp;IF($AC20&lt;&gt;"","Interview: "&amp;$AC20&amp;". Watch your email, including spam, and reply the same day. ","")))</f>
        <v/>
      </c>
      <c r="Y20" s="24"/>
      <c r="AA20" s="1" t="n">
        <f aca="false">IF($B20="",0,IFERROR(MATCH($B20,DB_Colleges!$A$2:$A$400,0),0))</f>
        <v>0</v>
      </c>
      <c r="AB20" s="1" t="str">
        <f aca="false">IF(($AA20=0),"",INDEX(DB_Colleges!$W$2:$W$400,$AA20)&amp;"")</f>
        <v/>
      </c>
      <c r="AC20" s="1" t="str">
        <f aca="false">IF(($AA20=0),"",IF(OR(LEFT(INDEX(DB_Colleges!$X$2:$X$400,$AA20)&amp;"",4)="None",LEFT(INDEX(DB_Colleges!$X$2:$X$400,$AA20)&amp;"",3)="No ",LEFT(INDEX(DB_Colleges!$X$2:$X$400,$AA20)&amp;"",3)="Not"),"",INDEX(DB_Colleges!$X$2:$X$400,$AA20)&amp;""))</f>
        <v/>
      </c>
      <c r="AD20" s="1" t="str">
        <f aca="false">IF(($AA20=0),"",INDEX(DB_Colleges!$AK$2:$AK$400,$AA20)&amp;"")</f>
        <v/>
      </c>
      <c r="AE20" s="1" t="str">
        <f aca="false">IF(($AA20=0),"",INDEX(DB_Colleges!$H$2:$H$400,$AA20)&amp;"")</f>
        <v/>
      </c>
      <c r="AF20" s="1" t="str">
        <f aca="false">IF(($AA20=0),"",INDEX(DB_Colleges!$G$2:$G$400,$AA20)&amp;"")</f>
        <v/>
      </c>
    </row>
    <row r="21" customFormat="false" ht="15" hidden="false" customHeight="true" outlineLevel="0" collapsed="false">
      <c r="A21" s="18" t="n">
        <v>14</v>
      </c>
      <c r="B21" s="32"/>
      <c r="C21" s="18" t="str">
        <f aca="false">IF($B21="","",IF(($AA21=0),"No: fill G","Yes"))</f>
        <v/>
      </c>
      <c r="D21" s="18" t="str">
        <f aca="false">IF(($AA21=0),"",INDEX(Explore!$E$8:$E$406,$AA21))</f>
        <v/>
      </c>
      <c r="E21" s="24"/>
      <c r="F21" s="17" t="str">
        <f aca="false">IF($B21="","",IF($E21="","Pick a round",IF($E21="Rolling","Rolling",IF(($AA21=0),"",IF(COUNT(INDEX(DB_Colleges!$I$2:$O$400,$AA21,0))=0,"No date on file",IF(ISNUMBER(INDEX(DB_Colleges!$I$2:$O$400,$AA21,MATCH($E21,{"ED","ED II","EA","EA II","REA","RD","Priority"},0))),INDEX(DB_Colleges!$I$2:$O$400,$AA21,MATCH($E21,{"ED","ED II","EA","EA II","REA","RD","Priority"},0)),"Not offered"))))))</f>
        <v/>
      </c>
      <c r="G21" s="33"/>
      <c r="H21" s="17" t="str">
        <f aca="false">IF(($AA21=0),"",IF(ISNUMBER(INDEX(DB_Colleges!$Q$2:$Q$400,$AA21)),INDEX(DB_Colleges!$Q$2:$Q$400,$AA21),""))</f>
        <v/>
      </c>
      <c r="I21" s="17" t="str">
        <f aca="false">IF($B21="","",IF(ISNUMBER($G21),IF(ISNUMBER($H21),MIN($G21,$H21),$G21),IF(ISNUMBER($F21),IF(ISNUMBER($H21),MIN($F21,$H21),$F21),IF(AND($E21="Rolling",ISNUMBER($H21)),$H21,""))))</f>
        <v/>
      </c>
      <c r="J21" s="18" t="str">
        <f aca="true">IF(AND(ISNUMBER($I21),$T21&lt;&gt;"Submitted",$T21&lt;&gt;"Complete in portal"),$I21-TODAY(),"")</f>
        <v/>
      </c>
      <c r="K21" s="18" t="str">
        <f aca="false">IF(($AA21=0),"",INDEX(DB_Colleges!$G$2:$G$400,$AA21)&amp;"")</f>
        <v/>
      </c>
      <c r="L21" s="34" t="str">
        <f aca="false">IF(($AA21=0),"",IF(ISNUMBER(INDEX(DB_Colleges!$S$2:$S$400,$AA21)),INDEX(DB_Colleges!$S$2:$S$400,$AA21),""))</f>
        <v/>
      </c>
      <c r="M21" s="24"/>
      <c r="N21" s="18" t="str">
        <f aca="false">IF(($AA21=0),"",INDEX(DB_Colleges!$U$2:$U$400,$AA21)&amp;"")</f>
        <v/>
      </c>
      <c r="O21" s="18" t="str">
        <f aca="false">IF(($AA21=0),"",INDEX(DB_Colleges!$V$2:$V$400,$AA21)&amp;"")</f>
        <v/>
      </c>
      <c r="P21" s="18" t="str">
        <f aca="false">IF(($AA21=0),"",IF(ISNUMBER(INDEX(DB_Colleges!$AH$2:$AH$400,$AA21)),INDEX(DB_Colleges!$AH$2:$AH$400,$AA21),"Check"))</f>
        <v/>
      </c>
      <c r="Q21" s="18" t="str">
        <f aca="false">IF($B21="","",'Next Steps'!$AA21&amp;" of "&amp;'Next Steps'!$AB21)</f>
        <v/>
      </c>
      <c r="R21" s="18" t="str">
        <f aca="false">IF($B21="","",'Next Steps'!$AC21)</f>
        <v/>
      </c>
      <c r="S21" s="17" t="str">
        <f aca="false">IF($B21="","",'Next Steps'!$AD21)</f>
        <v/>
      </c>
      <c r="T21" s="24"/>
      <c r="U21" s="24"/>
      <c r="V21" s="24"/>
      <c r="W21" s="24"/>
      <c r="X21" s="35" t="str">
        <f aca="false">IF($B21="","",IF($V21="No","Dropped from your list.",IF(AND(OR($E21="ED",$E21="ED II"),OR(ISNUMBER($F21),ISNUMBER($G21))),"BINDING: if admitted you must attend. ","")&amp;IF(AND(OR($E21="ED",$E21="ED II"),ISNUMBER($F21),SUMPRODUCT((($E$8:$E$27="ED")+($E$8:$E$27="ED II"))*ISNUMBER($F$8:$F$27)*($V$8:$V$27&lt;&gt;"No"))&gt;1),"Only one Early Decision can be active at a time. ","")&amp;IF($E21="REA","Restrictive Early Action: limits other private early applications. ","")&amp;IF(AND(OR($E21="REA",$E21="ED"),ISNUMBER($F21),SUMPRODUCT(($E$8:$E$27="REA")*ISNUMBER($F$8:$F$27)*($V$8:$V$27&lt;&gt;"No"))&gt;0,SUMPRODUCT((($E$8:$E$27="ED")+($E$8:$E$27="ED II"))*ISNUMBER($F$8:$F$27)*($V$8:$V$27&lt;&gt;"No"))&gt;0),"You have Restrictive Early Action and Early Decision at the same time: check the REA college's rules, this is usually not allowed. ","")&amp;IF($F21="Not offered","This college does not offer that round: pick another. ","")&amp;IF(AND($E21="Rolling",NOT(ISNUMBER($G21))),"Rolling: set a target date in column G. ","")&amp;IF(AND(NOT(($AA21=0)),NOT(ISNUMBER($F21)),NOT(ISNUMBER($G21)),$E21&lt;&gt;"",$E21&lt;&gt;"Rolling",$F21&lt;&gt;"Not offered"),"No date on file yet: find it on the college site and type it in column G. ","")&amp;IF(AND(ISNUMBER($H21),ISNUMBER($I21),$H21=$I21,ISNUMBER($F21),$H21&lt;$F21),"Scholarship deadline is earlier than the application deadline, so it is your real deadline. ","")&amp;IF($AE21="No","Not on Common App: apply on "&amp;$AF21&amp;". ","")&amp;IF(($AA21=0),"Not in the database: type the deadline in column G and check requirements on the college site. ","")&amp;IF(AND(NOT(($AA21=0)),$W21&lt;&gt;"Yes",$AD21&lt;&gt;"Official 2026-27"),"Date not yet confirmed: check the college site, then set Deadline Verified to Yes. ","")&amp;IF(LEFT($AB21,8)="Required",IF($AB21="Required","CSS Profile required. ","CSS Profile may be required: check the college's aid page. "),"")&amp;IF($AC21&lt;&gt;"","Interview: "&amp;$AC21&amp;". Watch your email, including spam, and reply the same day. ","")))</f>
        <v/>
      </c>
      <c r="Y21" s="24"/>
      <c r="AA21" s="1" t="n">
        <f aca="false">IF($B21="",0,IFERROR(MATCH($B21,DB_Colleges!$A$2:$A$400,0),0))</f>
        <v>0</v>
      </c>
      <c r="AB21" s="1" t="str">
        <f aca="false">IF(($AA21=0),"",INDEX(DB_Colleges!$W$2:$W$400,$AA21)&amp;"")</f>
        <v/>
      </c>
      <c r="AC21" s="1" t="str">
        <f aca="false">IF(($AA21=0),"",IF(OR(LEFT(INDEX(DB_Colleges!$X$2:$X$400,$AA21)&amp;"",4)="None",LEFT(INDEX(DB_Colleges!$X$2:$X$400,$AA21)&amp;"",3)="No ",LEFT(INDEX(DB_Colleges!$X$2:$X$400,$AA21)&amp;"",3)="Not"),"",INDEX(DB_Colleges!$X$2:$X$400,$AA21)&amp;""))</f>
        <v/>
      </c>
      <c r="AD21" s="1" t="str">
        <f aca="false">IF(($AA21=0),"",INDEX(DB_Colleges!$AK$2:$AK$400,$AA21)&amp;"")</f>
        <v/>
      </c>
      <c r="AE21" s="1" t="str">
        <f aca="false">IF(($AA21=0),"",INDEX(DB_Colleges!$H$2:$H$400,$AA21)&amp;"")</f>
        <v/>
      </c>
      <c r="AF21" s="1" t="str">
        <f aca="false">IF(($AA21=0),"",INDEX(DB_Colleges!$G$2:$G$400,$AA21)&amp;"")</f>
        <v/>
      </c>
    </row>
    <row r="22" customFormat="false" ht="15" hidden="false" customHeight="true" outlineLevel="0" collapsed="false">
      <c r="A22" s="18" t="n">
        <v>15</v>
      </c>
      <c r="B22" s="32"/>
      <c r="C22" s="18" t="str">
        <f aca="false">IF($B22="","",IF(($AA22=0),"No: fill G","Yes"))</f>
        <v/>
      </c>
      <c r="D22" s="18" t="str">
        <f aca="false">IF(($AA22=0),"",INDEX(Explore!$E$8:$E$406,$AA22))</f>
        <v/>
      </c>
      <c r="E22" s="24"/>
      <c r="F22" s="17" t="str">
        <f aca="false">IF($B22="","",IF($E22="","Pick a round",IF($E22="Rolling","Rolling",IF(($AA22=0),"",IF(COUNT(INDEX(DB_Colleges!$I$2:$O$400,$AA22,0))=0,"No date on file",IF(ISNUMBER(INDEX(DB_Colleges!$I$2:$O$400,$AA22,MATCH($E22,{"ED","ED II","EA","EA II","REA","RD","Priority"},0))),INDEX(DB_Colleges!$I$2:$O$400,$AA22,MATCH($E22,{"ED","ED II","EA","EA II","REA","RD","Priority"},0)),"Not offered"))))))</f>
        <v/>
      </c>
      <c r="G22" s="33"/>
      <c r="H22" s="17" t="str">
        <f aca="false">IF(($AA22=0),"",IF(ISNUMBER(INDEX(DB_Colleges!$Q$2:$Q$400,$AA22)),INDEX(DB_Colleges!$Q$2:$Q$400,$AA22),""))</f>
        <v/>
      </c>
      <c r="I22" s="17" t="str">
        <f aca="false">IF($B22="","",IF(ISNUMBER($G22),IF(ISNUMBER($H22),MIN($G22,$H22),$G22),IF(ISNUMBER($F22),IF(ISNUMBER($H22),MIN($F22,$H22),$F22),IF(AND($E22="Rolling",ISNUMBER($H22)),$H22,""))))</f>
        <v/>
      </c>
      <c r="J22" s="18" t="str">
        <f aca="true">IF(AND(ISNUMBER($I22),$T22&lt;&gt;"Submitted",$T22&lt;&gt;"Complete in portal"),$I22-TODAY(),"")</f>
        <v/>
      </c>
      <c r="K22" s="18" t="str">
        <f aca="false">IF(($AA22=0),"",INDEX(DB_Colleges!$G$2:$G$400,$AA22)&amp;"")</f>
        <v/>
      </c>
      <c r="L22" s="34" t="str">
        <f aca="false">IF(($AA22=0),"",IF(ISNUMBER(INDEX(DB_Colleges!$S$2:$S$400,$AA22)),INDEX(DB_Colleges!$S$2:$S$400,$AA22),""))</f>
        <v/>
      </c>
      <c r="M22" s="24"/>
      <c r="N22" s="18" t="str">
        <f aca="false">IF(($AA22=0),"",INDEX(DB_Colleges!$U$2:$U$400,$AA22)&amp;"")</f>
        <v/>
      </c>
      <c r="O22" s="18" t="str">
        <f aca="false">IF(($AA22=0),"",INDEX(DB_Colleges!$V$2:$V$400,$AA22)&amp;"")</f>
        <v/>
      </c>
      <c r="P22" s="18" t="str">
        <f aca="false">IF(($AA22=0),"",IF(ISNUMBER(INDEX(DB_Colleges!$AH$2:$AH$400,$AA22)),INDEX(DB_Colleges!$AH$2:$AH$400,$AA22),"Check"))</f>
        <v/>
      </c>
      <c r="Q22" s="18" t="str">
        <f aca="false">IF($B22="","",'Next Steps'!$AA22&amp;" of "&amp;'Next Steps'!$AB22)</f>
        <v/>
      </c>
      <c r="R22" s="18" t="str">
        <f aca="false">IF($B22="","",'Next Steps'!$AC22)</f>
        <v/>
      </c>
      <c r="S22" s="17" t="str">
        <f aca="false">IF($B22="","",'Next Steps'!$AD22)</f>
        <v/>
      </c>
      <c r="T22" s="24"/>
      <c r="U22" s="24"/>
      <c r="V22" s="24"/>
      <c r="W22" s="24"/>
      <c r="X22" s="35" t="str">
        <f aca="false">IF($B22="","",IF($V22="No","Dropped from your list.",IF(AND(OR($E22="ED",$E22="ED II"),OR(ISNUMBER($F22),ISNUMBER($G22))),"BINDING: if admitted you must attend. ","")&amp;IF(AND(OR($E22="ED",$E22="ED II"),ISNUMBER($F22),SUMPRODUCT((($E$8:$E$27="ED")+($E$8:$E$27="ED II"))*ISNUMBER($F$8:$F$27)*($V$8:$V$27&lt;&gt;"No"))&gt;1),"Only one Early Decision can be active at a time. ","")&amp;IF($E22="REA","Restrictive Early Action: limits other private early applications. ","")&amp;IF(AND(OR($E22="REA",$E22="ED"),ISNUMBER($F22),SUMPRODUCT(($E$8:$E$27="REA")*ISNUMBER($F$8:$F$27)*($V$8:$V$27&lt;&gt;"No"))&gt;0,SUMPRODUCT((($E$8:$E$27="ED")+($E$8:$E$27="ED II"))*ISNUMBER($F$8:$F$27)*($V$8:$V$27&lt;&gt;"No"))&gt;0),"You have Restrictive Early Action and Early Decision at the same time: check the REA college's rules, this is usually not allowed. ","")&amp;IF($F22="Not offered","This college does not offer that round: pick another. ","")&amp;IF(AND($E22="Rolling",NOT(ISNUMBER($G22))),"Rolling: set a target date in column G. ","")&amp;IF(AND(NOT(($AA22=0)),NOT(ISNUMBER($F22)),NOT(ISNUMBER($G22)),$E22&lt;&gt;"",$E22&lt;&gt;"Rolling",$F22&lt;&gt;"Not offered"),"No date on file yet: find it on the college site and type it in column G. ","")&amp;IF(AND(ISNUMBER($H22),ISNUMBER($I22),$H22=$I22,ISNUMBER($F22),$H22&lt;$F22),"Scholarship deadline is earlier than the application deadline, so it is your real deadline. ","")&amp;IF($AE22="No","Not on Common App: apply on "&amp;$AF22&amp;". ","")&amp;IF(($AA22=0),"Not in the database: type the deadline in column G and check requirements on the college site. ","")&amp;IF(AND(NOT(($AA22=0)),$W22&lt;&gt;"Yes",$AD22&lt;&gt;"Official 2026-27"),"Date not yet confirmed: check the college site, then set Deadline Verified to Yes. ","")&amp;IF(LEFT($AB22,8)="Required",IF($AB22="Required","CSS Profile required. ","CSS Profile may be required: check the college's aid page. "),"")&amp;IF($AC22&lt;&gt;"","Interview: "&amp;$AC22&amp;". Watch your email, including spam, and reply the same day. ","")))</f>
        <v/>
      </c>
      <c r="Y22" s="24"/>
      <c r="AA22" s="1" t="n">
        <f aca="false">IF($B22="",0,IFERROR(MATCH($B22,DB_Colleges!$A$2:$A$400,0),0))</f>
        <v>0</v>
      </c>
      <c r="AB22" s="1" t="str">
        <f aca="false">IF(($AA22=0),"",INDEX(DB_Colleges!$W$2:$W$400,$AA22)&amp;"")</f>
        <v/>
      </c>
      <c r="AC22" s="1" t="str">
        <f aca="false">IF(($AA22=0),"",IF(OR(LEFT(INDEX(DB_Colleges!$X$2:$X$400,$AA22)&amp;"",4)="None",LEFT(INDEX(DB_Colleges!$X$2:$X$400,$AA22)&amp;"",3)="No ",LEFT(INDEX(DB_Colleges!$X$2:$X$400,$AA22)&amp;"",3)="Not"),"",INDEX(DB_Colleges!$X$2:$X$400,$AA22)&amp;""))</f>
        <v/>
      </c>
      <c r="AD22" s="1" t="str">
        <f aca="false">IF(($AA22=0),"",INDEX(DB_Colleges!$AK$2:$AK$400,$AA22)&amp;"")</f>
        <v/>
      </c>
      <c r="AE22" s="1" t="str">
        <f aca="false">IF(($AA22=0),"",INDEX(DB_Colleges!$H$2:$H$400,$AA22)&amp;"")</f>
        <v/>
      </c>
      <c r="AF22" s="1" t="str">
        <f aca="false">IF(($AA22=0),"",INDEX(DB_Colleges!$G$2:$G$400,$AA22)&amp;"")</f>
        <v/>
      </c>
    </row>
    <row r="23" customFormat="false" ht="15" hidden="false" customHeight="true" outlineLevel="0" collapsed="false">
      <c r="A23" s="18" t="n">
        <v>16</v>
      </c>
      <c r="B23" s="32"/>
      <c r="C23" s="18" t="str">
        <f aca="false">IF($B23="","",IF(($AA23=0),"No: fill G","Yes"))</f>
        <v/>
      </c>
      <c r="D23" s="18" t="str">
        <f aca="false">IF(($AA23=0),"",INDEX(Explore!$E$8:$E$406,$AA23))</f>
        <v/>
      </c>
      <c r="E23" s="24"/>
      <c r="F23" s="17" t="str">
        <f aca="false">IF($B23="","",IF($E23="","Pick a round",IF($E23="Rolling","Rolling",IF(($AA23=0),"",IF(COUNT(INDEX(DB_Colleges!$I$2:$O$400,$AA23,0))=0,"No date on file",IF(ISNUMBER(INDEX(DB_Colleges!$I$2:$O$400,$AA23,MATCH($E23,{"ED","ED II","EA","EA II","REA","RD","Priority"},0))),INDEX(DB_Colleges!$I$2:$O$400,$AA23,MATCH($E23,{"ED","ED II","EA","EA II","REA","RD","Priority"},0)),"Not offered"))))))</f>
        <v/>
      </c>
      <c r="G23" s="33"/>
      <c r="H23" s="17" t="str">
        <f aca="false">IF(($AA23=0),"",IF(ISNUMBER(INDEX(DB_Colleges!$Q$2:$Q$400,$AA23)),INDEX(DB_Colleges!$Q$2:$Q$400,$AA23),""))</f>
        <v/>
      </c>
      <c r="I23" s="17" t="str">
        <f aca="false">IF($B23="","",IF(ISNUMBER($G23),IF(ISNUMBER($H23),MIN($G23,$H23),$G23),IF(ISNUMBER($F23),IF(ISNUMBER($H23),MIN($F23,$H23),$F23),IF(AND($E23="Rolling",ISNUMBER($H23)),$H23,""))))</f>
        <v/>
      </c>
      <c r="J23" s="18" t="str">
        <f aca="true">IF(AND(ISNUMBER($I23),$T23&lt;&gt;"Submitted",$T23&lt;&gt;"Complete in portal"),$I23-TODAY(),"")</f>
        <v/>
      </c>
      <c r="K23" s="18" t="str">
        <f aca="false">IF(($AA23=0),"",INDEX(DB_Colleges!$G$2:$G$400,$AA23)&amp;"")</f>
        <v/>
      </c>
      <c r="L23" s="34" t="str">
        <f aca="false">IF(($AA23=0),"",IF(ISNUMBER(INDEX(DB_Colleges!$S$2:$S$400,$AA23)),INDEX(DB_Colleges!$S$2:$S$400,$AA23),""))</f>
        <v/>
      </c>
      <c r="M23" s="24"/>
      <c r="N23" s="18" t="str">
        <f aca="false">IF(($AA23=0),"",INDEX(DB_Colleges!$U$2:$U$400,$AA23)&amp;"")</f>
        <v/>
      </c>
      <c r="O23" s="18" t="str">
        <f aca="false">IF(($AA23=0),"",INDEX(DB_Colleges!$V$2:$V$400,$AA23)&amp;"")</f>
        <v/>
      </c>
      <c r="P23" s="18" t="str">
        <f aca="false">IF(($AA23=0),"",IF(ISNUMBER(INDEX(DB_Colleges!$AH$2:$AH$400,$AA23)),INDEX(DB_Colleges!$AH$2:$AH$400,$AA23),"Check"))</f>
        <v/>
      </c>
      <c r="Q23" s="18" t="str">
        <f aca="false">IF($B23="","",'Next Steps'!$AA23&amp;" of "&amp;'Next Steps'!$AB23)</f>
        <v/>
      </c>
      <c r="R23" s="18" t="str">
        <f aca="false">IF($B23="","",'Next Steps'!$AC23)</f>
        <v/>
      </c>
      <c r="S23" s="17" t="str">
        <f aca="false">IF($B23="","",'Next Steps'!$AD23)</f>
        <v/>
      </c>
      <c r="T23" s="24"/>
      <c r="U23" s="24"/>
      <c r="V23" s="24"/>
      <c r="W23" s="24"/>
      <c r="X23" s="35" t="str">
        <f aca="false">IF($B23="","",IF($V23="No","Dropped from your list.",IF(AND(OR($E23="ED",$E23="ED II"),OR(ISNUMBER($F23),ISNUMBER($G23))),"BINDING: if admitted you must attend. ","")&amp;IF(AND(OR($E23="ED",$E23="ED II"),ISNUMBER($F23),SUMPRODUCT((($E$8:$E$27="ED")+($E$8:$E$27="ED II"))*ISNUMBER($F$8:$F$27)*($V$8:$V$27&lt;&gt;"No"))&gt;1),"Only one Early Decision can be active at a time. ","")&amp;IF($E23="REA","Restrictive Early Action: limits other private early applications. ","")&amp;IF(AND(OR($E23="REA",$E23="ED"),ISNUMBER($F23),SUMPRODUCT(($E$8:$E$27="REA")*ISNUMBER($F$8:$F$27)*($V$8:$V$27&lt;&gt;"No"))&gt;0,SUMPRODUCT((($E$8:$E$27="ED")+($E$8:$E$27="ED II"))*ISNUMBER($F$8:$F$27)*($V$8:$V$27&lt;&gt;"No"))&gt;0),"You have Restrictive Early Action and Early Decision at the same time: check the REA college's rules, this is usually not allowed. ","")&amp;IF($F23="Not offered","This college does not offer that round: pick another. ","")&amp;IF(AND($E23="Rolling",NOT(ISNUMBER($G23))),"Rolling: set a target date in column G. ","")&amp;IF(AND(NOT(($AA23=0)),NOT(ISNUMBER($F23)),NOT(ISNUMBER($G23)),$E23&lt;&gt;"",$E23&lt;&gt;"Rolling",$F23&lt;&gt;"Not offered"),"No date on file yet: find it on the college site and type it in column G. ","")&amp;IF(AND(ISNUMBER($H23),ISNUMBER($I23),$H23=$I23,ISNUMBER($F23),$H23&lt;$F23),"Scholarship deadline is earlier than the application deadline, so it is your real deadline. ","")&amp;IF($AE23="No","Not on Common App: apply on "&amp;$AF23&amp;". ","")&amp;IF(($AA23=0),"Not in the database: type the deadline in column G and check requirements on the college site. ","")&amp;IF(AND(NOT(($AA23=0)),$W23&lt;&gt;"Yes",$AD23&lt;&gt;"Official 2026-27"),"Date not yet confirmed: check the college site, then set Deadline Verified to Yes. ","")&amp;IF(LEFT($AB23,8)="Required",IF($AB23="Required","CSS Profile required. ","CSS Profile may be required: check the college's aid page. "),"")&amp;IF($AC23&lt;&gt;"","Interview: "&amp;$AC23&amp;". Watch your email, including spam, and reply the same day. ","")))</f>
        <v/>
      </c>
      <c r="Y23" s="24"/>
      <c r="AA23" s="1" t="n">
        <f aca="false">IF($B23="",0,IFERROR(MATCH($B23,DB_Colleges!$A$2:$A$400,0),0))</f>
        <v>0</v>
      </c>
      <c r="AB23" s="1" t="str">
        <f aca="false">IF(($AA23=0),"",INDEX(DB_Colleges!$W$2:$W$400,$AA23)&amp;"")</f>
        <v/>
      </c>
      <c r="AC23" s="1" t="str">
        <f aca="false">IF(($AA23=0),"",IF(OR(LEFT(INDEX(DB_Colleges!$X$2:$X$400,$AA23)&amp;"",4)="None",LEFT(INDEX(DB_Colleges!$X$2:$X$400,$AA23)&amp;"",3)="No ",LEFT(INDEX(DB_Colleges!$X$2:$X$400,$AA23)&amp;"",3)="Not"),"",INDEX(DB_Colleges!$X$2:$X$400,$AA23)&amp;""))</f>
        <v/>
      </c>
      <c r="AD23" s="1" t="str">
        <f aca="false">IF(($AA23=0),"",INDEX(DB_Colleges!$AK$2:$AK$400,$AA23)&amp;"")</f>
        <v/>
      </c>
      <c r="AE23" s="1" t="str">
        <f aca="false">IF(($AA23=0),"",INDEX(DB_Colleges!$H$2:$H$400,$AA23)&amp;"")</f>
        <v/>
      </c>
      <c r="AF23" s="1" t="str">
        <f aca="false">IF(($AA23=0),"",INDEX(DB_Colleges!$G$2:$G$400,$AA23)&amp;"")</f>
        <v/>
      </c>
    </row>
    <row r="24" customFormat="false" ht="15" hidden="false" customHeight="true" outlineLevel="0" collapsed="false">
      <c r="A24" s="18" t="n">
        <v>17</v>
      </c>
      <c r="B24" s="32"/>
      <c r="C24" s="18" t="str">
        <f aca="false">IF($B24="","",IF(($AA24=0),"No: fill G","Yes"))</f>
        <v/>
      </c>
      <c r="D24" s="18" t="str">
        <f aca="false">IF(($AA24=0),"",INDEX(Explore!$E$8:$E$406,$AA24))</f>
        <v/>
      </c>
      <c r="E24" s="24"/>
      <c r="F24" s="17" t="str">
        <f aca="false">IF($B24="","",IF($E24="","Pick a round",IF($E24="Rolling","Rolling",IF(($AA24=0),"",IF(COUNT(INDEX(DB_Colleges!$I$2:$O$400,$AA24,0))=0,"No date on file",IF(ISNUMBER(INDEX(DB_Colleges!$I$2:$O$400,$AA24,MATCH($E24,{"ED","ED II","EA","EA II","REA","RD","Priority"},0))),INDEX(DB_Colleges!$I$2:$O$400,$AA24,MATCH($E24,{"ED","ED II","EA","EA II","REA","RD","Priority"},0)),"Not offered"))))))</f>
        <v/>
      </c>
      <c r="G24" s="33"/>
      <c r="H24" s="17" t="str">
        <f aca="false">IF(($AA24=0),"",IF(ISNUMBER(INDEX(DB_Colleges!$Q$2:$Q$400,$AA24)),INDEX(DB_Colleges!$Q$2:$Q$400,$AA24),""))</f>
        <v/>
      </c>
      <c r="I24" s="17" t="str">
        <f aca="false">IF($B24="","",IF(ISNUMBER($G24),IF(ISNUMBER($H24),MIN($G24,$H24),$G24),IF(ISNUMBER($F24),IF(ISNUMBER($H24),MIN($F24,$H24),$F24),IF(AND($E24="Rolling",ISNUMBER($H24)),$H24,""))))</f>
        <v/>
      </c>
      <c r="J24" s="18" t="str">
        <f aca="true">IF(AND(ISNUMBER($I24),$T24&lt;&gt;"Submitted",$T24&lt;&gt;"Complete in portal"),$I24-TODAY(),"")</f>
        <v/>
      </c>
      <c r="K24" s="18" t="str">
        <f aca="false">IF(($AA24=0),"",INDEX(DB_Colleges!$G$2:$G$400,$AA24)&amp;"")</f>
        <v/>
      </c>
      <c r="L24" s="34" t="str">
        <f aca="false">IF(($AA24=0),"",IF(ISNUMBER(INDEX(DB_Colleges!$S$2:$S$400,$AA24)),INDEX(DB_Colleges!$S$2:$S$400,$AA24),""))</f>
        <v/>
      </c>
      <c r="M24" s="24"/>
      <c r="N24" s="18" t="str">
        <f aca="false">IF(($AA24=0),"",INDEX(DB_Colleges!$U$2:$U$400,$AA24)&amp;"")</f>
        <v/>
      </c>
      <c r="O24" s="18" t="str">
        <f aca="false">IF(($AA24=0),"",INDEX(DB_Colleges!$V$2:$V$400,$AA24)&amp;"")</f>
        <v/>
      </c>
      <c r="P24" s="18" t="str">
        <f aca="false">IF(($AA24=0),"",IF(ISNUMBER(INDEX(DB_Colleges!$AH$2:$AH$400,$AA24)),INDEX(DB_Colleges!$AH$2:$AH$400,$AA24),"Check"))</f>
        <v/>
      </c>
      <c r="Q24" s="18" t="str">
        <f aca="false">IF($B24="","",'Next Steps'!$AA24&amp;" of "&amp;'Next Steps'!$AB24)</f>
        <v/>
      </c>
      <c r="R24" s="18" t="str">
        <f aca="false">IF($B24="","",'Next Steps'!$AC24)</f>
        <v/>
      </c>
      <c r="S24" s="17" t="str">
        <f aca="false">IF($B24="","",'Next Steps'!$AD24)</f>
        <v/>
      </c>
      <c r="T24" s="24"/>
      <c r="U24" s="24"/>
      <c r="V24" s="24"/>
      <c r="W24" s="24"/>
      <c r="X24" s="35" t="str">
        <f aca="false">IF($B24="","",IF($V24="No","Dropped from your list.",IF(AND(OR($E24="ED",$E24="ED II"),OR(ISNUMBER($F24),ISNUMBER($G24))),"BINDING: if admitted you must attend. ","")&amp;IF(AND(OR($E24="ED",$E24="ED II"),ISNUMBER($F24),SUMPRODUCT((($E$8:$E$27="ED")+($E$8:$E$27="ED II"))*ISNUMBER($F$8:$F$27)*($V$8:$V$27&lt;&gt;"No"))&gt;1),"Only one Early Decision can be active at a time. ","")&amp;IF($E24="REA","Restrictive Early Action: limits other private early applications. ","")&amp;IF(AND(OR($E24="REA",$E24="ED"),ISNUMBER($F24),SUMPRODUCT(($E$8:$E$27="REA")*ISNUMBER($F$8:$F$27)*($V$8:$V$27&lt;&gt;"No"))&gt;0,SUMPRODUCT((($E$8:$E$27="ED")+($E$8:$E$27="ED II"))*ISNUMBER($F$8:$F$27)*($V$8:$V$27&lt;&gt;"No"))&gt;0),"You have Restrictive Early Action and Early Decision at the same time: check the REA college's rules, this is usually not allowed. ","")&amp;IF($F24="Not offered","This college does not offer that round: pick another. ","")&amp;IF(AND($E24="Rolling",NOT(ISNUMBER($G24))),"Rolling: set a target date in column G. ","")&amp;IF(AND(NOT(($AA24=0)),NOT(ISNUMBER($F24)),NOT(ISNUMBER($G24)),$E24&lt;&gt;"",$E24&lt;&gt;"Rolling",$F24&lt;&gt;"Not offered"),"No date on file yet: find it on the college site and type it in column G. ","")&amp;IF(AND(ISNUMBER($H24),ISNUMBER($I24),$H24=$I24,ISNUMBER($F24),$H24&lt;$F24),"Scholarship deadline is earlier than the application deadline, so it is your real deadline. ","")&amp;IF($AE24="No","Not on Common App: apply on "&amp;$AF24&amp;". ","")&amp;IF(($AA24=0),"Not in the database: type the deadline in column G and check requirements on the college site. ","")&amp;IF(AND(NOT(($AA24=0)),$W24&lt;&gt;"Yes",$AD24&lt;&gt;"Official 2026-27"),"Date not yet confirmed: check the college site, then set Deadline Verified to Yes. ","")&amp;IF(LEFT($AB24,8)="Required",IF($AB24="Required","CSS Profile required. ","CSS Profile may be required: check the college's aid page. "),"")&amp;IF($AC24&lt;&gt;"","Interview: "&amp;$AC24&amp;". Watch your email, including spam, and reply the same day. ","")))</f>
        <v/>
      </c>
      <c r="Y24" s="24"/>
      <c r="AA24" s="1" t="n">
        <f aca="false">IF($B24="",0,IFERROR(MATCH($B24,DB_Colleges!$A$2:$A$400,0),0))</f>
        <v>0</v>
      </c>
      <c r="AB24" s="1" t="str">
        <f aca="false">IF(($AA24=0),"",INDEX(DB_Colleges!$W$2:$W$400,$AA24)&amp;"")</f>
        <v/>
      </c>
      <c r="AC24" s="1" t="str">
        <f aca="false">IF(($AA24=0),"",IF(OR(LEFT(INDEX(DB_Colleges!$X$2:$X$400,$AA24)&amp;"",4)="None",LEFT(INDEX(DB_Colleges!$X$2:$X$400,$AA24)&amp;"",3)="No ",LEFT(INDEX(DB_Colleges!$X$2:$X$400,$AA24)&amp;"",3)="Not"),"",INDEX(DB_Colleges!$X$2:$X$400,$AA24)&amp;""))</f>
        <v/>
      </c>
      <c r="AD24" s="1" t="str">
        <f aca="false">IF(($AA24=0),"",INDEX(DB_Colleges!$AK$2:$AK$400,$AA24)&amp;"")</f>
        <v/>
      </c>
      <c r="AE24" s="1" t="str">
        <f aca="false">IF(($AA24=0),"",INDEX(DB_Colleges!$H$2:$H$400,$AA24)&amp;"")</f>
        <v/>
      </c>
      <c r="AF24" s="1" t="str">
        <f aca="false">IF(($AA24=0),"",INDEX(DB_Colleges!$G$2:$G$400,$AA24)&amp;"")</f>
        <v/>
      </c>
    </row>
    <row r="25" customFormat="false" ht="15" hidden="false" customHeight="true" outlineLevel="0" collapsed="false">
      <c r="A25" s="18" t="n">
        <v>18</v>
      </c>
      <c r="B25" s="32"/>
      <c r="C25" s="18" t="str">
        <f aca="false">IF($B25="","",IF(($AA25=0),"No: fill G","Yes"))</f>
        <v/>
      </c>
      <c r="D25" s="18" t="str">
        <f aca="false">IF(($AA25=0),"",INDEX(Explore!$E$8:$E$406,$AA25))</f>
        <v/>
      </c>
      <c r="E25" s="24"/>
      <c r="F25" s="17" t="str">
        <f aca="false">IF($B25="","",IF($E25="","Pick a round",IF($E25="Rolling","Rolling",IF(($AA25=0),"",IF(COUNT(INDEX(DB_Colleges!$I$2:$O$400,$AA25,0))=0,"No date on file",IF(ISNUMBER(INDEX(DB_Colleges!$I$2:$O$400,$AA25,MATCH($E25,{"ED","ED II","EA","EA II","REA","RD","Priority"},0))),INDEX(DB_Colleges!$I$2:$O$400,$AA25,MATCH($E25,{"ED","ED II","EA","EA II","REA","RD","Priority"},0)),"Not offered"))))))</f>
        <v/>
      </c>
      <c r="G25" s="33"/>
      <c r="H25" s="17" t="str">
        <f aca="false">IF(($AA25=0),"",IF(ISNUMBER(INDEX(DB_Colleges!$Q$2:$Q$400,$AA25)),INDEX(DB_Colleges!$Q$2:$Q$400,$AA25),""))</f>
        <v/>
      </c>
      <c r="I25" s="17" t="str">
        <f aca="false">IF($B25="","",IF(ISNUMBER($G25),IF(ISNUMBER($H25),MIN($G25,$H25),$G25),IF(ISNUMBER($F25),IF(ISNUMBER($H25),MIN($F25,$H25),$F25),IF(AND($E25="Rolling",ISNUMBER($H25)),$H25,""))))</f>
        <v/>
      </c>
      <c r="J25" s="18" t="str">
        <f aca="true">IF(AND(ISNUMBER($I25),$T25&lt;&gt;"Submitted",$T25&lt;&gt;"Complete in portal"),$I25-TODAY(),"")</f>
        <v/>
      </c>
      <c r="K25" s="18" t="str">
        <f aca="false">IF(($AA25=0),"",INDEX(DB_Colleges!$G$2:$G$400,$AA25)&amp;"")</f>
        <v/>
      </c>
      <c r="L25" s="34" t="str">
        <f aca="false">IF(($AA25=0),"",IF(ISNUMBER(INDEX(DB_Colleges!$S$2:$S$400,$AA25)),INDEX(DB_Colleges!$S$2:$S$400,$AA25),""))</f>
        <v/>
      </c>
      <c r="M25" s="24"/>
      <c r="N25" s="18" t="str">
        <f aca="false">IF(($AA25=0),"",INDEX(DB_Colleges!$U$2:$U$400,$AA25)&amp;"")</f>
        <v/>
      </c>
      <c r="O25" s="18" t="str">
        <f aca="false">IF(($AA25=0),"",INDEX(DB_Colleges!$V$2:$V$400,$AA25)&amp;"")</f>
        <v/>
      </c>
      <c r="P25" s="18" t="str">
        <f aca="false">IF(($AA25=0),"",IF(ISNUMBER(INDEX(DB_Colleges!$AH$2:$AH$400,$AA25)),INDEX(DB_Colleges!$AH$2:$AH$400,$AA25),"Check"))</f>
        <v/>
      </c>
      <c r="Q25" s="18" t="str">
        <f aca="false">IF($B25="","",'Next Steps'!$AA25&amp;" of "&amp;'Next Steps'!$AB25)</f>
        <v/>
      </c>
      <c r="R25" s="18" t="str">
        <f aca="false">IF($B25="","",'Next Steps'!$AC25)</f>
        <v/>
      </c>
      <c r="S25" s="17" t="str">
        <f aca="false">IF($B25="","",'Next Steps'!$AD25)</f>
        <v/>
      </c>
      <c r="T25" s="24"/>
      <c r="U25" s="24"/>
      <c r="V25" s="24"/>
      <c r="W25" s="24"/>
      <c r="X25" s="35" t="str">
        <f aca="false">IF($B25="","",IF($V25="No","Dropped from your list.",IF(AND(OR($E25="ED",$E25="ED II"),OR(ISNUMBER($F25),ISNUMBER($G25))),"BINDING: if admitted you must attend. ","")&amp;IF(AND(OR($E25="ED",$E25="ED II"),ISNUMBER($F25),SUMPRODUCT((($E$8:$E$27="ED")+($E$8:$E$27="ED II"))*ISNUMBER($F$8:$F$27)*($V$8:$V$27&lt;&gt;"No"))&gt;1),"Only one Early Decision can be active at a time. ","")&amp;IF($E25="REA","Restrictive Early Action: limits other private early applications. ","")&amp;IF(AND(OR($E25="REA",$E25="ED"),ISNUMBER($F25),SUMPRODUCT(($E$8:$E$27="REA")*ISNUMBER($F$8:$F$27)*($V$8:$V$27&lt;&gt;"No"))&gt;0,SUMPRODUCT((($E$8:$E$27="ED")+($E$8:$E$27="ED II"))*ISNUMBER($F$8:$F$27)*($V$8:$V$27&lt;&gt;"No"))&gt;0),"You have Restrictive Early Action and Early Decision at the same time: check the REA college's rules, this is usually not allowed. ","")&amp;IF($F25="Not offered","This college does not offer that round: pick another. ","")&amp;IF(AND($E25="Rolling",NOT(ISNUMBER($G25))),"Rolling: set a target date in column G. ","")&amp;IF(AND(NOT(($AA25=0)),NOT(ISNUMBER($F25)),NOT(ISNUMBER($G25)),$E25&lt;&gt;"",$E25&lt;&gt;"Rolling",$F25&lt;&gt;"Not offered"),"No date on file yet: find it on the college site and type it in column G. ","")&amp;IF(AND(ISNUMBER($H25),ISNUMBER($I25),$H25=$I25,ISNUMBER($F25),$H25&lt;$F25),"Scholarship deadline is earlier than the application deadline, so it is your real deadline. ","")&amp;IF($AE25="No","Not on Common App: apply on "&amp;$AF25&amp;". ","")&amp;IF(($AA25=0),"Not in the database: type the deadline in column G and check requirements on the college site. ","")&amp;IF(AND(NOT(($AA25=0)),$W25&lt;&gt;"Yes",$AD25&lt;&gt;"Official 2026-27"),"Date not yet confirmed: check the college site, then set Deadline Verified to Yes. ","")&amp;IF(LEFT($AB25,8)="Required",IF($AB25="Required","CSS Profile required. ","CSS Profile may be required: check the college's aid page. "),"")&amp;IF($AC25&lt;&gt;"","Interview: "&amp;$AC25&amp;". Watch your email, including spam, and reply the same day. ","")))</f>
        <v/>
      </c>
      <c r="Y25" s="24"/>
      <c r="AA25" s="1" t="n">
        <f aca="false">IF($B25="",0,IFERROR(MATCH($B25,DB_Colleges!$A$2:$A$400,0),0))</f>
        <v>0</v>
      </c>
      <c r="AB25" s="1" t="str">
        <f aca="false">IF(($AA25=0),"",INDEX(DB_Colleges!$W$2:$W$400,$AA25)&amp;"")</f>
        <v/>
      </c>
      <c r="AC25" s="1" t="str">
        <f aca="false">IF(($AA25=0),"",IF(OR(LEFT(INDEX(DB_Colleges!$X$2:$X$400,$AA25)&amp;"",4)="None",LEFT(INDEX(DB_Colleges!$X$2:$X$400,$AA25)&amp;"",3)="No ",LEFT(INDEX(DB_Colleges!$X$2:$X$400,$AA25)&amp;"",3)="Not"),"",INDEX(DB_Colleges!$X$2:$X$400,$AA25)&amp;""))</f>
        <v/>
      </c>
      <c r="AD25" s="1" t="str">
        <f aca="false">IF(($AA25=0),"",INDEX(DB_Colleges!$AK$2:$AK$400,$AA25)&amp;"")</f>
        <v/>
      </c>
      <c r="AE25" s="1" t="str">
        <f aca="false">IF(($AA25=0),"",INDEX(DB_Colleges!$H$2:$H$400,$AA25)&amp;"")</f>
        <v/>
      </c>
      <c r="AF25" s="1" t="str">
        <f aca="false">IF(($AA25=0),"",INDEX(DB_Colleges!$G$2:$G$400,$AA25)&amp;"")</f>
        <v/>
      </c>
    </row>
    <row r="26" customFormat="false" ht="15" hidden="false" customHeight="true" outlineLevel="0" collapsed="false">
      <c r="A26" s="18" t="n">
        <v>19</v>
      </c>
      <c r="B26" s="32"/>
      <c r="C26" s="18" t="str">
        <f aca="false">IF($B26="","",IF(($AA26=0),"No: fill G","Yes"))</f>
        <v/>
      </c>
      <c r="D26" s="18" t="str">
        <f aca="false">IF(($AA26=0),"",INDEX(Explore!$E$8:$E$406,$AA26))</f>
        <v/>
      </c>
      <c r="E26" s="24"/>
      <c r="F26" s="17" t="str">
        <f aca="false">IF($B26="","",IF($E26="","Pick a round",IF($E26="Rolling","Rolling",IF(($AA26=0),"",IF(COUNT(INDEX(DB_Colleges!$I$2:$O$400,$AA26,0))=0,"No date on file",IF(ISNUMBER(INDEX(DB_Colleges!$I$2:$O$400,$AA26,MATCH($E26,{"ED","ED II","EA","EA II","REA","RD","Priority"},0))),INDEX(DB_Colleges!$I$2:$O$400,$AA26,MATCH($E26,{"ED","ED II","EA","EA II","REA","RD","Priority"},0)),"Not offered"))))))</f>
        <v/>
      </c>
      <c r="G26" s="33"/>
      <c r="H26" s="17" t="str">
        <f aca="false">IF(($AA26=0),"",IF(ISNUMBER(INDEX(DB_Colleges!$Q$2:$Q$400,$AA26)),INDEX(DB_Colleges!$Q$2:$Q$400,$AA26),""))</f>
        <v/>
      </c>
      <c r="I26" s="17" t="str">
        <f aca="false">IF($B26="","",IF(ISNUMBER($G26),IF(ISNUMBER($H26),MIN($G26,$H26),$G26),IF(ISNUMBER($F26),IF(ISNUMBER($H26),MIN($F26,$H26),$F26),IF(AND($E26="Rolling",ISNUMBER($H26)),$H26,""))))</f>
        <v/>
      </c>
      <c r="J26" s="18" t="str">
        <f aca="true">IF(AND(ISNUMBER($I26),$T26&lt;&gt;"Submitted",$T26&lt;&gt;"Complete in portal"),$I26-TODAY(),"")</f>
        <v/>
      </c>
      <c r="K26" s="18" t="str">
        <f aca="false">IF(($AA26=0),"",INDEX(DB_Colleges!$G$2:$G$400,$AA26)&amp;"")</f>
        <v/>
      </c>
      <c r="L26" s="34" t="str">
        <f aca="false">IF(($AA26=0),"",IF(ISNUMBER(INDEX(DB_Colleges!$S$2:$S$400,$AA26)),INDEX(DB_Colleges!$S$2:$S$400,$AA26),""))</f>
        <v/>
      </c>
      <c r="M26" s="24"/>
      <c r="N26" s="18" t="str">
        <f aca="false">IF(($AA26=0),"",INDEX(DB_Colleges!$U$2:$U$400,$AA26)&amp;"")</f>
        <v/>
      </c>
      <c r="O26" s="18" t="str">
        <f aca="false">IF(($AA26=0),"",INDEX(DB_Colleges!$V$2:$V$400,$AA26)&amp;"")</f>
        <v/>
      </c>
      <c r="P26" s="18" t="str">
        <f aca="false">IF(($AA26=0),"",IF(ISNUMBER(INDEX(DB_Colleges!$AH$2:$AH$400,$AA26)),INDEX(DB_Colleges!$AH$2:$AH$400,$AA26),"Check"))</f>
        <v/>
      </c>
      <c r="Q26" s="18" t="str">
        <f aca="false">IF($B26="","",'Next Steps'!$AA26&amp;" of "&amp;'Next Steps'!$AB26)</f>
        <v/>
      </c>
      <c r="R26" s="18" t="str">
        <f aca="false">IF($B26="","",'Next Steps'!$AC26)</f>
        <v/>
      </c>
      <c r="S26" s="17" t="str">
        <f aca="false">IF($B26="","",'Next Steps'!$AD26)</f>
        <v/>
      </c>
      <c r="T26" s="24"/>
      <c r="U26" s="24"/>
      <c r="V26" s="24"/>
      <c r="W26" s="24"/>
      <c r="X26" s="35" t="str">
        <f aca="false">IF($B26="","",IF($V26="No","Dropped from your list.",IF(AND(OR($E26="ED",$E26="ED II"),OR(ISNUMBER($F26),ISNUMBER($G26))),"BINDING: if admitted you must attend. ","")&amp;IF(AND(OR($E26="ED",$E26="ED II"),ISNUMBER($F26),SUMPRODUCT((($E$8:$E$27="ED")+($E$8:$E$27="ED II"))*ISNUMBER($F$8:$F$27)*($V$8:$V$27&lt;&gt;"No"))&gt;1),"Only one Early Decision can be active at a time. ","")&amp;IF($E26="REA","Restrictive Early Action: limits other private early applications. ","")&amp;IF(AND(OR($E26="REA",$E26="ED"),ISNUMBER($F26),SUMPRODUCT(($E$8:$E$27="REA")*ISNUMBER($F$8:$F$27)*($V$8:$V$27&lt;&gt;"No"))&gt;0,SUMPRODUCT((($E$8:$E$27="ED")+($E$8:$E$27="ED II"))*ISNUMBER($F$8:$F$27)*($V$8:$V$27&lt;&gt;"No"))&gt;0),"You have Restrictive Early Action and Early Decision at the same time: check the REA college's rules, this is usually not allowed. ","")&amp;IF($F26="Not offered","This college does not offer that round: pick another. ","")&amp;IF(AND($E26="Rolling",NOT(ISNUMBER($G26))),"Rolling: set a target date in column G. ","")&amp;IF(AND(NOT(($AA26=0)),NOT(ISNUMBER($F26)),NOT(ISNUMBER($G26)),$E26&lt;&gt;"",$E26&lt;&gt;"Rolling",$F26&lt;&gt;"Not offered"),"No date on file yet: find it on the college site and type it in column G. ","")&amp;IF(AND(ISNUMBER($H26),ISNUMBER($I26),$H26=$I26,ISNUMBER($F26),$H26&lt;$F26),"Scholarship deadline is earlier than the application deadline, so it is your real deadline. ","")&amp;IF($AE26="No","Not on Common App: apply on "&amp;$AF26&amp;". ","")&amp;IF(($AA26=0),"Not in the database: type the deadline in column G and check requirements on the college site. ","")&amp;IF(AND(NOT(($AA26=0)),$W26&lt;&gt;"Yes",$AD26&lt;&gt;"Official 2026-27"),"Date not yet confirmed: check the college site, then set Deadline Verified to Yes. ","")&amp;IF(LEFT($AB26,8)="Required",IF($AB26="Required","CSS Profile required. ","CSS Profile may be required: check the college's aid page. "),"")&amp;IF($AC26&lt;&gt;"","Interview: "&amp;$AC26&amp;". Watch your email, including spam, and reply the same day. ","")))</f>
        <v/>
      </c>
      <c r="Y26" s="24"/>
      <c r="AA26" s="1" t="n">
        <f aca="false">IF($B26="",0,IFERROR(MATCH($B26,DB_Colleges!$A$2:$A$400,0),0))</f>
        <v>0</v>
      </c>
      <c r="AB26" s="1" t="str">
        <f aca="false">IF(($AA26=0),"",INDEX(DB_Colleges!$W$2:$W$400,$AA26)&amp;"")</f>
        <v/>
      </c>
      <c r="AC26" s="1" t="str">
        <f aca="false">IF(($AA26=0),"",IF(OR(LEFT(INDEX(DB_Colleges!$X$2:$X$400,$AA26)&amp;"",4)="None",LEFT(INDEX(DB_Colleges!$X$2:$X$400,$AA26)&amp;"",3)="No ",LEFT(INDEX(DB_Colleges!$X$2:$X$400,$AA26)&amp;"",3)="Not"),"",INDEX(DB_Colleges!$X$2:$X$400,$AA26)&amp;""))</f>
        <v/>
      </c>
      <c r="AD26" s="1" t="str">
        <f aca="false">IF(($AA26=0),"",INDEX(DB_Colleges!$AK$2:$AK$400,$AA26)&amp;"")</f>
        <v/>
      </c>
      <c r="AE26" s="1" t="str">
        <f aca="false">IF(($AA26=0),"",INDEX(DB_Colleges!$H$2:$H$400,$AA26)&amp;"")</f>
        <v/>
      </c>
      <c r="AF26" s="1" t="str">
        <f aca="false">IF(($AA26=0),"",INDEX(DB_Colleges!$G$2:$G$400,$AA26)&amp;"")</f>
        <v/>
      </c>
    </row>
    <row r="27" customFormat="false" ht="15" hidden="false" customHeight="true" outlineLevel="0" collapsed="false">
      <c r="A27" s="18" t="n">
        <v>20</v>
      </c>
      <c r="B27" s="32"/>
      <c r="C27" s="18" t="str">
        <f aca="false">IF($B27="","",IF(($AA27=0),"No: fill G","Yes"))</f>
        <v/>
      </c>
      <c r="D27" s="18" t="str">
        <f aca="false">IF(($AA27=0),"",INDEX(Explore!$E$8:$E$406,$AA27))</f>
        <v/>
      </c>
      <c r="E27" s="24"/>
      <c r="F27" s="17" t="str">
        <f aca="false">IF($B27="","",IF($E27="","Pick a round",IF($E27="Rolling","Rolling",IF(($AA27=0),"",IF(COUNT(INDEX(DB_Colleges!$I$2:$O$400,$AA27,0))=0,"No date on file",IF(ISNUMBER(INDEX(DB_Colleges!$I$2:$O$400,$AA27,MATCH($E27,{"ED","ED II","EA","EA II","REA","RD","Priority"},0))),INDEX(DB_Colleges!$I$2:$O$400,$AA27,MATCH($E27,{"ED","ED II","EA","EA II","REA","RD","Priority"},0)),"Not offered"))))))</f>
        <v/>
      </c>
      <c r="G27" s="33"/>
      <c r="H27" s="17" t="str">
        <f aca="false">IF(($AA27=0),"",IF(ISNUMBER(INDEX(DB_Colleges!$Q$2:$Q$400,$AA27)),INDEX(DB_Colleges!$Q$2:$Q$400,$AA27),""))</f>
        <v/>
      </c>
      <c r="I27" s="17" t="str">
        <f aca="false">IF($B27="","",IF(ISNUMBER($G27),IF(ISNUMBER($H27),MIN($G27,$H27),$G27),IF(ISNUMBER($F27),IF(ISNUMBER($H27),MIN($F27,$H27),$F27),IF(AND($E27="Rolling",ISNUMBER($H27)),$H27,""))))</f>
        <v/>
      </c>
      <c r="J27" s="18" t="str">
        <f aca="true">IF(AND(ISNUMBER($I27),$T27&lt;&gt;"Submitted",$T27&lt;&gt;"Complete in portal"),$I27-TODAY(),"")</f>
        <v/>
      </c>
      <c r="K27" s="18" t="str">
        <f aca="false">IF(($AA27=0),"",INDEX(DB_Colleges!$G$2:$G$400,$AA27)&amp;"")</f>
        <v/>
      </c>
      <c r="L27" s="34" t="str">
        <f aca="false">IF(($AA27=0),"",IF(ISNUMBER(INDEX(DB_Colleges!$S$2:$S$400,$AA27)),INDEX(DB_Colleges!$S$2:$S$400,$AA27),""))</f>
        <v/>
      </c>
      <c r="M27" s="24"/>
      <c r="N27" s="18" t="str">
        <f aca="false">IF(($AA27=0),"",INDEX(DB_Colleges!$U$2:$U$400,$AA27)&amp;"")</f>
        <v/>
      </c>
      <c r="O27" s="18" t="str">
        <f aca="false">IF(($AA27=0),"",INDEX(DB_Colleges!$V$2:$V$400,$AA27)&amp;"")</f>
        <v/>
      </c>
      <c r="P27" s="18" t="str">
        <f aca="false">IF(($AA27=0),"",IF(ISNUMBER(INDEX(DB_Colleges!$AH$2:$AH$400,$AA27)),INDEX(DB_Colleges!$AH$2:$AH$400,$AA27),"Check"))</f>
        <v/>
      </c>
      <c r="Q27" s="18" t="str">
        <f aca="false">IF($B27="","",'Next Steps'!$AA27&amp;" of "&amp;'Next Steps'!$AB27)</f>
        <v/>
      </c>
      <c r="R27" s="18" t="str">
        <f aca="false">IF($B27="","",'Next Steps'!$AC27)</f>
        <v/>
      </c>
      <c r="S27" s="17" t="str">
        <f aca="false">IF($B27="","",'Next Steps'!$AD27)</f>
        <v/>
      </c>
      <c r="T27" s="24"/>
      <c r="U27" s="24"/>
      <c r="V27" s="24"/>
      <c r="W27" s="24"/>
      <c r="X27" s="35" t="str">
        <f aca="false">IF($B27="","",IF($V27="No","Dropped from your list.",IF(AND(OR($E27="ED",$E27="ED II"),OR(ISNUMBER($F27),ISNUMBER($G27))),"BINDING: if admitted you must attend. ","")&amp;IF(AND(OR($E27="ED",$E27="ED II"),ISNUMBER($F27),SUMPRODUCT((($E$8:$E$27="ED")+($E$8:$E$27="ED II"))*ISNUMBER($F$8:$F$27)*($V$8:$V$27&lt;&gt;"No"))&gt;1),"Only one Early Decision can be active at a time. ","")&amp;IF($E27="REA","Restrictive Early Action: limits other private early applications. ","")&amp;IF(AND(OR($E27="REA",$E27="ED"),ISNUMBER($F27),SUMPRODUCT(($E$8:$E$27="REA")*ISNUMBER($F$8:$F$27)*($V$8:$V$27&lt;&gt;"No"))&gt;0,SUMPRODUCT((($E$8:$E$27="ED")+($E$8:$E$27="ED II"))*ISNUMBER($F$8:$F$27)*($V$8:$V$27&lt;&gt;"No"))&gt;0),"You have Restrictive Early Action and Early Decision at the same time: check the REA college's rules, this is usually not allowed. ","")&amp;IF($F27="Not offered","This college does not offer that round: pick another. ","")&amp;IF(AND($E27="Rolling",NOT(ISNUMBER($G27))),"Rolling: set a target date in column G. ","")&amp;IF(AND(NOT(($AA27=0)),NOT(ISNUMBER($F27)),NOT(ISNUMBER($G27)),$E27&lt;&gt;"",$E27&lt;&gt;"Rolling",$F27&lt;&gt;"Not offered"),"No date on file yet: find it on the college site and type it in column G. ","")&amp;IF(AND(ISNUMBER($H27),ISNUMBER($I27),$H27=$I27,ISNUMBER($F27),$H27&lt;$F27),"Scholarship deadline is earlier than the application deadline, so it is your real deadline. ","")&amp;IF($AE27="No","Not on Common App: apply on "&amp;$AF27&amp;". ","")&amp;IF(($AA27=0),"Not in the database: type the deadline in column G and check requirements on the college site. ","")&amp;IF(AND(NOT(($AA27=0)),$W27&lt;&gt;"Yes",$AD27&lt;&gt;"Official 2026-27"),"Date not yet confirmed: check the college site, then set Deadline Verified to Yes. ","")&amp;IF(LEFT($AB27,8)="Required",IF($AB27="Required","CSS Profile required. ","CSS Profile may be required: check the college's aid page. "),"")&amp;IF($AC27&lt;&gt;"","Interview: "&amp;$AC27&amp;". Watch your email, including spam, and reply the same day. ","")))</f>
        <v/>
      </c>
      <c r="Y27" s="24"/>
      <c r="AA27" s="1" t="n">
        <f aca="false">IF($B27="",0,IFERROR(MATCH($B27,DB_Colleges!$A$2:$A$400,0),0))</f>
        <v>0</v>
      </c>
      <c r="AB27" s="1" t="str">
        <f aca="false">IF(($AA27=0),"",INDEX(DB_Colleges!$W$2:$W$400,$AA27)&amp;"")</f>
        <v/>
      </c>
      <c r="AC27" s="1" t="str">
        <f aca="false">IF(($AA27=0),"",IF(OR(LEFT(INDEX(DB_Colleges!$X$2:$X$400,$AA27)&amp;"",4)="None",LEFT(INDEX(DB_Colleges!$X$2:$X$400,$AA27)&amp;"",3)="No ",LEFT(INDEX(DB_Colleges!$X$2:$X$400,$AA27)&amp;"",3)="Not"),"",INDEX(DB_Colleges!$X$2:$X$400,$AA27)&amp;""))</f>
        <v/>
      </c>
      <c r="AD27" s="1" t="str">
        <f aca="false">IF(($AA27=0),"",INDEX(DB_Colleges!$AK$2:$AK$400,$AA27)&amp;"")</f>
        <v/>
      </c>
      <c r="AE27" s="1" t="str">
        <f aca="false">IF(($AA27=0),"",INDEX(DB_Colleges!$H$2:$H$400,$AA27)&amp;"")</f>
        <v/>
      </c>
      <c r="AF27" s="1" t="str">
        <f aca="false">IF(($AA27=0),"",INDEX(DB_Colleges!$G$2:$G$400,$AA27)&amp;"")</f>
        <v/>
      </c>
    </row>
    <row r="29" customFormat="false" ht="15" hidden="false" customHeight="true" outlineLevel="0" collapsed="false">
      <c r="B29" s="6" t="s">
        <v>179</v>
      </c>
    </row>
    <row r="30" customFormat="false" ht="15" hidden="false" customHeight="true" outlineLevel="0" collapsed="false">
      <c r="B30" s="36" t="s">
        <v>180</v>
      </c>
    </row>
    <row r="31" customFormat="false" ht="15" hidden="false" customHeight="true" outlineLevel="0" collapsed="false">
      <c r="B31" s="36" t="s">
        <v>181</v>
      </c>
    </row>
    <row r="32" customFormat="false" ht="15" hidden="false" customHeight="true" outlineLevel="0" collapsed="false">
      <c r="B32" s="36" t="s">
        <v>182</v>
      </c>
    </row>
    <row r="33" customFormat="false" ht="15" hidden="false" customHeight="true" outlineLevel="0" collapsed="false">
      <c r="B33" s="36" t="s">
        <v>183</v>
      </c>
    </row>
    <row r="34" customFormat="false" ht="15" hidden="false" customHeight="true" outlineLevel="0" collapsed="false">
      <c r="B34" s="36" t="s">
        <v>184</v>
      </c>
    </row>
  </sheetData>
  <mergeCells count="1">
    <mergeCell ref="A2:Y2"/>
  </mergeCells>
  <conditionalFormatting sqref="A8:Y27">
    <cfRule type="expression" priority="2" aboveAverage="0" equalAverage="0" bottom="0" percent="0" rank="0" text="" dxfId="14">
      <formula>$V8="No"</formula>
    </cfRule>
    <cfRule type="expression" priority="3" aboveAverage="0" equalAverage="0" bottom="0" percent="0" rank="0" text="" dxfId="0">
      <formula>AND(ISNUMBER($I8),$I8&lt;TODAY(),$T8&lt;&gt;"Submitted",$T8&lt;&gt;"Complete in portal",$V8&lt;&gt;"No")</formula>
    </cfRule>
    <cfRule type="expression" priority="4" aboveAverage="0" equalAverage="0" bottom="0" percent="0" rank="0" text="" dxfId="1">
      <formula>AND(ISNUMBER($I8),$I8&gt;=TODAY(),$I8&lt;=TODAY()+7,$T8&lt;&gt;"Submitted",$T8&lt;&gt;"Complete in portal")</formula>
    </cfRule>
    <cfRule type="expression" priority="5" aboveAverage="0" equalAverage="0" bottom="0" percent="0" rank="0" text="" dxfId="15">
      <formula>OR($E8="ED",$E8="ED II")</formula>
    </cfRule>
  </conditionalFormatting>
  <conditionalFormatting sqref="D8:D27">
    <cfRule type="expression" priority="6" aboveAverage="0" equalAverage="0" bottom="0" percent="0" rank="0" text="" dxfId="10">
      <formula>$D8="Likely"</formula>
    </cfRule>
    <cfRule type="expression" priority="7" aboveAverage="0" equalAverage="0" bottom="0" percent="0" rank="0" text="" dxfId="11">
      <formula>$D8="Target"</formula>
    </cfRule>
    <cfRule type="expression" priority="8" aboveAverage="0" equalAverage="0" bottom="0" percent="0" rank="0" text="" dxfId="12">
      <formula>$D8="Reach"</formula>
    </cfRule>
  </conditionalFormatting>
  <conditionalFormatting sqref="U8:U27">
    <cfRule type="expression" priority="9" aboveAverage="0" equalAverage="0" bottom="0" percent="0" rank="0" text="" dxfId="10">
      <formula>$U8="Admitted"</formula>
    </cfRule>
  </conditionalFormatting>
  <dataValidations count="7">
    <dataValidation allowBlank="true" errorStyle="stop" operator="between" showDropDown="false" showErrorMessage="false" showInputMessage="false" sqref="B8:B27" type="list">
      <formula1>Explore!$B$8:$B$406</formula1>
      <formula2>0</formula2>
    </dataValidation>
    <dataValidation allowBlank="true" errorStyle="stop" operator="between" showDropDown="false" showErrorMessage="true" showInputMessage="false" sqref="E8:E27" type="list">
      <formula1>"ED,ED II,EA,EA II,REA,RD,Priority,Rolling"</formula1>
      <formula2>0</formula2>
    </dataValidation>
    <dataValidation allowBlank="true" errorStyle="stop" operator="between" showDropDown="false" showErrorMessage="true" showInputMessage="false" sqref="M8:M27" type="list">
      <formula1>"Yes,No,Requested,Not needed"</formula1>
      <formula2>0</formula2>
    </dataValidation>
    <dataValidation allowBlank="true" errorStyle="stop" operator="between" showDropDown="false" showErrorMessage="true" showInputMessage="false" sqref="T8:T27" type="list">
      <formula1>"Not Started,In Progress,Submitted,Complete in portal"</formula1>
      <formula2>0</formula2>
    </dataValidation>
    <dataValidation allowBlank="true" errorStyle="stop" operator="between" showDropDown="false" showErrorMessage="true" showInputMessage="false" sqref="U8:U27" type="list">
      <formula1>"Pending,Admitted,Deferred,Waitlisted,Denied,Withdrew"</formula1>
      <formula2>0</formula2>
    </dataValidation>
    <dataValidation allowBlank="true" errorStyle="stop" operator="between" showDropDown="false" showErrorMessage="true" showInputMessage="false" sqref="V8:V27" type="list">
      <formula1>"Yes,No,Deciding"</formula1>
      <formula2>0</formula2>
    </dataValidation>
    <dataValidation allowBlank="true" errorStyle="stop" operator="between" showDropDown="false" showErrorMessage="true" showInputMessage="false" sqref="W8:W27"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3"/>
    <col collapsed="false" customWidth="true" hidden="false" outlineLevel="0" max="3" min="3" style="1" width="11"/>
    <col collapsed="false" customWidth="true" hidden="false" outlineLevel="0" max="4" min="4" style="1" width="6"/>
    <col collapsed="false" customWidth="true" hidden="false" outlineLevel="0" max="5" min="5" style="1" width="11"/>
    <col collapsed="false" customWidth="true" hidden="false" outlineLevel="0" max="6" min="6" style="1" width="6"/>
    <col collapsed="false" customWidth="true" hidden="false" outlineLevel="0" max="7" min="7" style="1" width="11"/>
    <col collapsed="false" customWidth="true" hidden="false" outlineLevel="0" max="8" min="8" style="1" width="6"/>
    <col collapsed="false" customWidth="true" hidden="false" outlineLevel="0" max="9" min="9" style="1" width="11"/>
    <col collapsed="false" customWidth="true" hidden="false" outlineLevel="0" max="10" min="10" style="1" width="6"/>
    <col collapsed="false" customWidth="true" hidden="false" outlineLevel="0" max="11" min="11" style="1" width="11"/>
    <col collapsed="false" customWidth="true" hidden="false" outlineLevel="0" max="12" min="12" style="1" width="6"/>
    <col collapsed="false" customWidth="true" hidden="false" outlineLevel="0" max="13" min="13" style="1" width="11"/>
    <col collapsed="false" customWidth="true" hidden="false" outlineLevel="0" max="14" min="14" style="1" width="6"/>
    <col collapsed="false" customWidth="true" hidden="false" outlineLevel="0" max="15" min="15" style="1" width="11"/>
    <col collapsed="false" customWidth="true" hidden="false" outlineLevel="0" max="16" min="16" style="1" width="6"/>
    <col collapsed="false" customWidth="true" hidden="false" outlineLevel="0" max="17" min="17" style="1" width="11"/>
    <col collapsed="false" customWidth="true" hidden="false" outlineLevel="0" max="18" min="18" style="1" width="6"/>
    <col collapsed="false" customWidth="true" hidden="false" outlineLevel="0" max="19" min="19" style="1" width="11"/>
    <col collapsed="false" customWidth="true" hidden="false" outlineLevel="0" max="20" min="20" style="1" width="6"/>
    <col collapsed="false" customWidth="true" hidden="false" outlineLevel="0" max="21" min="21" style="1" width="11"/>
    <col collapsed="false" customWidth="true" hidden="false" outlineLevel="0" max="22" min="22" style="1" width="6"/>
    <col collapsed="false" customWidth="true" hidden="false" outlineLevel="0" max="23" min="23" style="1" width="11"/>
    <col collapsed="false" customWidth="true" hidden="false" outlineLevel="0" max="24" min="24" style="1" width="6"/>
    <col collapsed="false" customWidth="true" hidden="false" outlineLevel="0" max="25" min="25" style="1" width="11"/>
    <col collapsed="false" customWidth="true" hidden="false" outlineLevel="0" max="26" min="26" style="1" width="6"/>
    <col collapsed="false" customWidth="true" hidden="false" outlineLevel="0" max="28" min="27" style="1" width="8"/>
    <col collapsed="false" customWidth="true" hidden="false" outlineLevel="0" max="29" min="29" style="1" width="28"/>
    <col collapsed="false" customWidth="true" hidden="false" outlineLevel="0" max="30" min="30" style="1" width="12"/>
    <col collapsed="false" customWidth="true" hidden="true" outlineLevel="0" max="42" min="31" style="1" width="13"/>
  </cols>
  <sheetData>
    <row r="1" customFormat="false" ht="30" hidden="false" customHeight="true" outlineLevel="0" collapsed="false">
      <c r="A1" s="2" t="s">
        <v>185</v>
      </c>
      <c r="B1" s="3"/>
      <c r="C1" s="3"/>
      <c r="D1" s="3"/>
      <c r="E1" s="3"/>
      <c r="F1" s="3"/>
      <c r="G1" s="3"/>
      <c r="H1" s="3"/>
      <c r="I1" s="3"/>
      <c r="J1" s="3"/>
      <c r="K1" s="3"/>
      <c r="L1" s="3"/>
      <c r="M1" s="3"/>
      <c r="N1" s="3"/>
      <c r="O1" s="3"/>
      <c r="P1" s="3"/>
      <c r="Q1" s="3"/>
      <c r="R1" s="3"/>
      <c r="S1" s="3"/>
      <c r="T1" s="3"/>
      <c r="U1" s="3"/>
      <c r="V1" s="3"/>
      <c r="W1" s="3"/>
      <c r="X1" s="3"/>
      <c r="Y1" s="3"/>
      <c r="Z1" s="3"/>
    </row>
    <row r="2" customFormat="false" ht="43.5" hidden="false" customHeight="true" outlineLevel="0" collapsed="false">
      <c r="A2" s="4" t="s">
        <v>186</v>
      </c>
      <c r="B2" s="4"/>
      <c r="C2" s="4"/>
      <c r="D2" s="4"/>
      <c r="E2" s="4"/>
      <c r="F2" s="4"/>
      <c r="G2" s="4"/>
      <c r="H2" s="4"/>
      <c r="I2" s="4"/>
      <c r="J2" s="4"/>
      <c r="K2" s="4"/>
      <c r="L2" s="4"/>
      <c r="M2" s="4"/>
      <c r="N2" s="4"/>
      <c r="O2" s="4"/>
      <c r="P2" s="4"/>
      <c r="Q2" s="4"/>
      <c r="R2" s="4"/>
      <c r="S2" s="4"/>
      <c r="T2" s="4"/>
      <c r="U2" s="4"/>
      <c r="V2" s="4"/>
      <c r="W2" s="4"/>
      <c r="X2" s="4"/>
      <c r="Y2" s="4"/>
      <c r="Z2" s="4"/>
    </row>
    <row r="4" customFormat="false" ht="25.5" hidden="false" customHeight="true" outlineLevel="0" collapsed="false">
      <c r="A4" s="12" t="s">
        <v>187</v>
      </c>
      <c r="C4" s="12" t="s">
        <v>188</v>
      </c>
      <c r="G4" s="12" t="s">
        <v>189</v>
      </c>
    </row>
    <row r="5" customFormat="false" ht="17.25" hidden="false" customHeight="true" outlineLevel="0" collapsed="false">
      <c r="A5" s="14" t="n">
        <f aca="true">COUNTIF($AE$8:$AP$27,"&lt;"&amp;TODAY())</f>
        <v>0</v>
      </c>
      <c r="C5" s="14" t="n">
        <f aca="true">COUNTIFS($AE$8:$AP$27,"&gt;="&amp;TODAY(),$AE$8:$AP$27,"&lt;"&amp;(TODAY()+8))</f>
        <v>0</v>
      </c>
      <c r="G5" s="14" t="str">
        <f aca="false">SUM(AA8:AA27)&amp;" of "&amp;SUM(AB8:AB27)</f>
        <v>0 of 0</v>
      </c>
    </row>
    <row r="6" customFormat="false" ht="42" hidden="false" customHeight="true" outlineLevel="0" collapsed="false">
      <c r="C6" s="37" t="s">
        <v>190</v>
      </c>
      <c r="D6" s="37"/>
      <c r="E6" s="37" t="s">
        <v>191</v>
      </c>
      <c r="F6" s="37"/>
      <c r="G6" s="37" t="s">
        <v>192</v>
      </c>
      <c r="H6" s="37"/>
      <c r="I6" s="37" t="s">
        <v>193</v>
      </c>
      <c r="J6" s="37"/>
      <c r="K6" s="37" t="s">
        <v>194</v>
      </c>
      <c r="L6" s="37"/>
      <c r="M6" s="37" t="s">
        <v>195</v>
      </c>
      <c r="N6" s="37"/>
      <c r="O6" s="37" t="s">
        <v>196</v>
      </c>
      <c r="P6" s="37"/>
      <c r="Q6" s="37" t="s">
        <v>197</v>
      </c>
      <c r="R6" s="37"/>
      <c r="S6" s="37" t="s">
        <v>198</v>
      </c>
      <c r="T6" s="37"/>
      <c r="U6" s="37" t="s">
        <v>138</v>
      </c>
      <c r="V6" s="37"/>
      <c r="W6" s="37" t="s">
        <v>199</v>
      </c>
      <c r="X6" s="37"/>
      <c r="Y6" s="37" t="s">
        <v>200</v>
      </c>
      <c r="Z6" s="37"/>
      <c r="AE6" s="38" t="s">
        <v>190</v>
      </c>
      <c r="AF6" s="38" t="s">
        <v>191</v>
      </c>
      <c r="AG6" s="38" t="s">
        <v>192</v>
      </c>
      <c r="AH6" s="38" t="s">
        <v>193</v>
      </c>
      <c r="AI6" s="38" t="s">
        <v>194</v>
      </c>
      <c r="AJ6" s="38" t="s">
        <v>195</v>
      </c>
      <c r="AK6" s="38" t="s">
        <v>196</v>
      </c>
      <c r="AL6" s="38" t="s">
        <v>197</v>
      </c>
      <c r="AM6" s="38" t="s">
        <v>198</v>
      </c>
      <c r="AN6" s="38" t="s">
        <v>138</v>
      </c>
      <c r="AO6" s="38" t="s">
        <v>199</v>
      </c>
      <c r="AP6" s="38" t="s">
        <v>200</v>
      </c>
    </row>
    <row r="7" customFormat="false" ht="31.5" hidden="false" customHeight="true" outlineLevel="0" collapsed="false">
      <c r="A7" s="16" t="s">
        <v>50</v>
      </c>
      <c r="B7" s="16" t="s">
        <v>201</v>
      </c>
      <c r="C7" s="16" t="s">
        <v>48</v>
      </c>
      <c r="D7" s="16" t="s">
        <v>57</v>
      </c>
      <c r="E7" s="16" t="s">
        <v>48</v>
      </c>
      <c r="F7" s="16" t="s">
        <v>57</v>
      </c>
      <c r="G7" s="16" t="s">
        <v>48</v>
      </c>
      <c r="H7" s="16" t="s">
        <v>57</v>
      </c>
      <c r="I7" s="16" t="s">
        <v>48</v>
      </c>
      <c r="J7" s="16" t="s">
        <v>57</v>
      </c>
      <c r="K7" s="16" t="s">
        <v>48</v>
      </c>
      <c r="L7" s="16" t="s">
        <v>57</v>
      </c>
      <c r="M7" s="16" t="s">
        <v>48</v>
      </c>
      <c r="N7" s="16" t="s">
        <v>57</v>
      </c>
      <c r="O7" s="16" t="s">
        <v>48</v>
      </c>
      <c r="P7" s="16" t="s">
        <v>57</v>
      </c>
      <c r="Q7" s="16" t="s">
        <v>48</v>
      </c>
      <c r="R7" s="16" t="s">
        <v>57</v>
      </c>
      <c r="S7" s="16" t="s">
        <v>48</v>
      </c>
      <c r="T7" s="16" t="s">
        <v>57</v>
      </c>
      <c r="U7" s="16" t="s">
        <v>48</v>
      </c>
      <c r="V7" s="16" t="s">
        <v>57</v>
      </c>
      <c r="W7" s="16" t="s">
        <v>48</v>
      </c>
      <c r="X7" s="16" t="s">
        <v>57</v>
      </c>
      <c r="Y7" s="16" t="s">
        <v>48</v>
      </c>
      <c r="Z7" s="16" t="s">
        <v>57</v>
      </c>
      <c r="AA7" s="39" t="s">
        <v>165</v>
      </c>
      <c r="AB7" s="39" t="s">
        <v>202</v>
      </c>
      <c r="AC7" s="39" t="s">
        <v>166</v>
      </c>
      <c r="AD7" s="39" t="s">
        <v>203</v>
      </c>
    </row>
    <row r="8" customFormat="false" ht="15" hidden="false" customHeight="true" outlineLevel="0" collapsed="false">
      <c r="A8" s="27" t="str">
        <f aca="false">IF('My Colleges'!$B8="","",'My Colleges'!$B8)</f>
        <v/>
      </c>
      <c r="B8" s="40" t="str">
        <f aca="false">IF($A8="","",IF('My Colleges'!$V8="No","Dropped",'My Colleges'!$I8))</f>
        <v/>
      </c>
      <c r="C8" s="40" t="str">
        <f aca="false">IF(OR($A8="",NOT(ISNUMBER($B8))),"",IF(TRUE(),MAX($B8-35,MIN(Summary!$B$8+7,$B8-3)),"n/a"))</f>
        <v/>
      </c>
      <c r="D8" s="23" t="b">
        <f aca="false">FALSE()</f>
        <v>0</v>
      </c>
      <c r="E8" s="40" t="str">
        <f aca="false">IF(OR($A8="",NOT(ISNUMBER($B8))),"",IF(NOT(OR('My Colleges'!$O8="None",'My Colleges'!$O8="None required")),MAX($B8-21,MIN(Summary!$B$8+7,$B8-3)),"n/a"))</f>
        <v/>
      </c>
      <c r="F8" s="23" t="b">
        <f aca="false">FALSE()</f>
        <v>0</v>
      </c>
      <c r="G8" s="40" t="str">
        <f aca="false">IF(OR($A8="",NOT(ISNUMBER($B8))),"",IF(NOT(AND(ISNUMBER('My Colleges'!$P8),'My Colleges'!$P8=0)),MAX($B8-28,MIN(Summary!$B$8+7,$B8-3)),"n/a"))</f>
        <v/>
      </c>
      <c r="H8" s="23" t="b">
        <f aca="false">FALSE()</f>
        <v>0</v>
      </c>
      <c r="I8" s="40" t="str">
        <f aca="false">IF(OR($A8="",NOT(ISNUMBER($B8))),"",IF(NOT(AND(ISNUMBER('My Colleges'!$P8),'My Colleges'!$P8=0)),MAX($B8-10,MIN(Summary!$B$8+7,$B8-3)),"n/a"))</f>
        <v/>
      </c>
      <c r="J8" s="23" t="b">
        <f aca="false">FALSE()</f>
        <v>0</v>
      </c>
      <c r="K8" s="40" t="str">
        <f aca="false">IF(OR($A8="",NOT(ISNUMBER($B8))),"",IF(TRUE(),MAX($B8-14,MIN(Summary!$B$8+7,$B8-3)),"n/a"))</f>
        <v/>
      </c>
      <c r="L8" s="23" t="b">
        <f aca="false">FALSE()</f>
        <v>0</v>
      </c>
      <c r="M8" s="40" t="str">
        <f aca="false">IF(OR($A8="",NOT(ISNUMBER($B8))),"",IF(AND('My Colleges'!$N8&lt;&gt;"Blind",OR('My Colleges'!$N8="Required",ISNUMBER(Me!$B$13),ISNUMBER(Me!$B$14))),MAX($B8-14,MIN(Summary!$B$8+7,$B8-3)),"n/a"))</f>
        <v/>
      </c>
      <c r="N8" s="23" t="b">
        <f aca="false">FALSE()</f>
        <v>0</v>
      </c>
      <c r="O8" s="40" t="str">
        <f aca="false">IF(OR($A8="",NOT(ISNUMBER($B8))),"",IF(NOT(AND(ISNUMBER('My Colleges'!$L8),'My Colleges'!$L8=0)),MAX($B8-5,MIN(Summary!$B$8+7,$B8-3)),"n/a"))</f>
        <v/>
      </c>
      <c r="P8" s="23" t="b">
        <f aca="false">FALSE()</f>
        <v>0</v>
      </c>
      <c r="Q8" s="40" t="str">
        <f aca="false">IF(OR($A8="",NOT(ISNUMBER($B8))),"",IF(TRUE(),$B8-3,"n/a"))</f>
        <v/>
      </c>
      <c r="R8" s="23" t="b">
        <f aca="false">FALSE()</f>
        <v>0</v>
      </c>
      <c r="S8" s="40" t="str">
        <f aca="false">IF(OR($A8="",NOT(ISNUMBER($B8))),"",IF(ISNUMBER('My Colleges'!$H8),MAX('My Colleges'!$H8-7,MIN(Summary!$B$8+7,'My Colleges'!$H8-3)),"n/a"))</f>
        <v/>
      </c>
      <c r="T8" s="23" t="b">
        <f aca="false">FALSE()</f>
        <v>0</v>
      </c>
      <c r="U8" s="40" t="str">
        <f aca="false">IF(OR($A8="",NOT(ISNUMBER($B8))),"",IF(LEFT('My Colleges'!$AB8,8)="Required",MAX($B8-7,MIN(Summary!$B$8+7,$B8-3)),"n/a"))</f>
        <v/>
      </c>
      <c r="V8" s="23" t="b">
        <f aca="false">FALSE()</f>
        <v>0</v>
      </c>
      <c r="W8" s="40" t="str">
        <f aca="false">IF(OR($A8="",NOT(ISNUMBER($B8))),"",IF(TRUE(),$B8+10,"n/a"))</f>
        <v/>
      </c>
      <c r="X8" s="23" t="b">
        <f aca="false">FALSE()</f>
        <v>0</v>
      </c>
      <c r="Y8" s="40" t="str">
        <f aca="false">IF(OR($A8="",NOT(ISNUMBER($B8))),"",IF('My Colleges'!$AC8&lt;&gt;"",$B8+21,"n/a"))</f>
        <v/>
      </c>
      <c r="Z8" s="23" t="b">
        <f aca="false">FALSE()</f>
        <v>0</v>
      </c>
      <c r="AA8" s="26" t="str">
        <f aca="false">IF($A8="","",AB8-COUNT($AE8:$AO8))</f>
        <v/>
      </c>
      <c r="AB8" s="26" t="str">
        <f aca="false">IF($A8="","",SUMPRODUCT((MOD(COLUMN($C8:$X8)-COLUMN($C8),2)=0)*ISNUMBER($C8:$X8)))</f>
        <v/>
      </c>
      <c r="AC8" s="26" t="str">
        <f aca="false">IF($A8="","",IF($B8="Dropped","Dropped",IF(NOT(ISNUMBER($B8)),"Set a deadline on My Colleges",IF(COUNT($AE8:$AP8)=0,"All steps done",INDEX($AE$6:$AP$6,MATCH(MIN($AE8:$AP8),$AE8:$AP8,0))))))</f>
        <v/>
      </c>
      <c r="AD8" s="29" t="str">
        <f aca="false">IF(COUNT($AE8:$AP8)=0,"",INT(MIN($AE8:$AP8)))</f>
        <v/>
      </c>
      <c r="AE8" s="1" t="str">
        <f aca="false">IF(AND(ISNUMBER(C8),D8&lt;&gt;TRUE(),'My Colleges'!$T8&lt;&gt;"Submitted",'My Colleges'!$T8&lt;&gt;"Complete in portal"),C8+ROW()/1000+1/100000,"")</f>
        <v/>
      </c>
      <c r="AF8" s="1" t="str">
        <f aca="false">IF(AND(ISNUMBER(E8),F8&lt;&gt;TRUE(),'My Colleges'!$T8&lt;&gt;"Submitted",'My Colleges'!$T8&lt;&gt;"Complete in portal"),E8+ROW()/1000+2/100000,"")</f>
        <v/>
      </c>
      <c r="AG8" s="1" t="str">
        <f aca="false">IF(AND(ISNUMBER(G8),H8&lt;&gt;TRUE(),'My Colleges'!$T8&lt;&gt;"Submitted",'My Colleges'!$T8&lt;&gt;"Complete in portal"),G8+ROW()/1000+3/100000,"")</f>
        <v/>
      </c>
      <c r="AH8" s="1" t="str">
        <f aca="false">IF(AND(ISNUMBER(I8),J8&lt;&gt;TRUE(),'My Colleges'!$T8&lt;&gt;"Submitted",'My Colleges'!$T8&lt;&gt;"Complete in portal"),I8+ROW()/1000+4/100000,"")</f>
        <v/>
      </c>
      <c r="AI8" s="1" t="str">
        <f aca="false">IF(AND(ISNUMBER(K8),L8&lt;&gt;TRUE(),'My Colleges'!$T8&lt;&gt;"Submitted",'My Colleges'!$T8&lt;&gt;"Complete in portal"),K8+ROW()/1000+5/100000,"")</f>
        <v/>
      </c>
      <c r="AJ8" s="1" t="str">
        <f aca="false">IF(AND(ISNUMBER(M8),N8&lt;&gt;TRUE(),'My Colleges'!$T8&lt;&gt;"Submitted",'My Colleges'!$T8&lt;&gt;"Complete in portal"),M8+ROW()/1000+6/100000,"")</f>
        <v/>
      </c>
      <c r="AK8" s="1" t="str">
        <f aca="false">IF(AND(ISNUMBER(O8),P8&lt;&gt;TRUE(),'My Colleges'!$T8&lt;&gt;"Submitted",'My Colleges'!$T8&lt;&gt;"Complete in portal"),O8+ROW()/1000+7/100000,"")</f>
        <v/>
      </c>
      <c r="AL8" s="1" t="str">
        <f aca="false">IF(AND(ISNUMBER(Q8),R8&lt;&gt;TRUE(),'My Colleges'!$T8&lt;&gt;"Submitted",'My Colleges'!$T8&lt;&gt;"Complete in portal"),Q8+ROW()/1000+8/100000,"")</f>
        <v/>
      </c>
      <c r="AM8" s="1" t="str">
        <f aca="false">IF(AND(ISNUMBER(S8),T8&lt;&gt;TRUE()),S8+ROW()/1000+9/100000,"")</f>
        <v/>
      </c>
      <c r="AN8" s="1" t="str">
        <f aca="false">IF(AND(ISNUMBER(U8),V8&lt;&gt;TRUE()),U8+ROW()/1000+10/100000,"")</f>
        <v/>
      </c>
      <c r="AO8" s="1" t="str">
        <f aca="false">IF(AND(ISNUMBER(W8),X8&lt;&gt;TRUE()),W8+ROW()/1000+11/100000,"")</f>
        <v/>
      </c>
      <c r="AP8" s="1" t="str">
        <f aca="false">IF(AND(ISNUMBER(Y8),Z8&lt;&gt;TRUE(),ISNUMBER(SEARCH("requir",'My Colleges'!$AC8))+ISNUMBER(SEARCH("evaluat",'My Colleges'!$AC8))&gt;0),Y8+ROW()/1000+12/100000,"")</f>
        <v/>
      </c>
    </row>
    <row r="9" customFormat="false" ht="15" hidden="false" customHeight="true" outlineLevel="0" collapsed="false">
      <c r="A9" s="27" t="str">
        <f aca="false">IF('My Colleges'!$B9="","",'My Colleges'!$B9)</f>
        <v/>
      </c>
      <c r="B9" s="40" t="str">
        <f aca="false">IF($A9="","",IF('My Colleges'!$V9="No","Dropped",'My Colleges'!$I9))</f>
        <v/>
      </c>
      <c r="C9" s="40" t="str">
        <f aca="false">IF(OR($A9="",NOT(ISNUMBER($B9))),"",IF(TRUE(),MAX($B9-35,MIN(Summary!$B$8+7,$B9-3)),"n/a"))</f>
        <v/>
      </c>
      <c r="D9" s="23" t="b">
        <f aca="false">FALSE()</f>
        <v>0</v>
      </c>
      <c r="E9" s="40" t="str">
        <f aca="false">IF(OR($A9="",NOT(ISNUMBER($B9))),"",IF(NOT(OR('My Colleges'!$O9="None",'My Colleges'!$O9="None required")),MAX($B9-21,MIN(Summary!$B$8+7,$B9-3)),"n/a"))</f>
        <v/>
      </c>
      <c r="F9" s="23" t="b">
        <f aca="false">FALSE()</f>
        <v>0</v>
      </c>
      <c r="G9" s="40" t="str">
        <f aca="false">IF(OR($A9="",NOT(ISNUMBER($B9))),"",IF(NOT(AND(ISNUMBER('My Colleges'!$P9),'My Colleges'!$P9=0)),MAX($B9-28,MIN(Summary!$B$8+7,$B9-3)),"n/a"))</f>
        <v/>
      </c>
      <c r="H9" s="23" t="b">
        <f aca="false">FALSE()</f>
        <v>0</v>
      </c>
      <c r="I9" s="40" t="str">
        <f aca="false">IF(OR($A9="",NOT(ISNUMBER($B9))),"",IF(NOT(AND(ISNUMBER('My Colleges'!$P9),'My Colleges'!$P9=0)),MAX($B9-10,MIN(Summary!$B$8+7,$B9-3)),"n/a"))</f>
        <v/>
      </c>
      <c r="J9" s="23" t="b">
        <f aca="false">FALSE()</f>
        <v>0</v>
      </c>
      <c r="K9" s="40" t="str">
        <f aca="false">IF(OR($A9="",NOT(ISNUMBER($B9))),"",IF(TRUE(),MAX($B9-14,MIN(Summary!$B$8+7,$B9-3)),"n/a"))</f>
        <v/>
      </c>
      <c r="L9" s="23" t="b">
        <f aca="false">FALSE()</f>
        <v>0</v>
      </c>
      <c r="M9" s="40" t="str">
        <f aca="false">IF(OR($A9="",NOT(ISNUMBER($B9))),"",IF(AND('My Colleges'!$N9&lt;&gt;"Blind",OR('My Colleges'!$N9="Required",ISNUMBER(Me!$B$13),ISNUMBER(Me!$B$14))),MAX($B9-14,MIN(Summary!$B$8+7,$B9-3)),"n/a"))</f>
        <v/>
      </c>
      <c r="N9" s="23" t="b">
        <f aca="false">FALSE()</f>
        <v>0</v>
      </c>
      <c r="O9" s="40" t="str">
        <f aca="false">IF(OR($A9="",NOT(ISNUMBER($B9))),"",IF(NOT(AND(ISNUMBER('My Colleges'!$L9),'My Colleges'!$L9=0)),MAX($B9-5,MIN(Summary!$B$8+7,$B9-3)),"n/a"))</f>
        <v/>
      </c>
      <c r="P9" s="23" t="b">
        <f aca="false">FALSE()</f>
        <v>0</v>
      </c>
      <c r="Q9" s="40" t="str">
        <f aca="false">IF(OR($A9="",NOT(ISNUMBER($B9))),"",IF(TRUE(),$B9-3,"n/a"))</f>
        <v/>
      </c>
      <c r="R9" s="23" t="b">
        <f aca="false">FALSE()</f>
        <v>0</v>
      </c>
      <c r="S9" s="40" t="str">
        <f aca="false">IF(OR($A9="",NOT(ISNUMBER($B9))),"",IF(ISNUMBER('My Colleges'!$H9),MAX('My Colleges'!$H9-7,MIN(Summary!$B$8+7,'My Colleges'!$H9-3)),"n/a"))</f>
        <v/>
      </c>
      <c r="T9" s="23" t="b">
        <f aca="false">FALSE()</f>
        <v>0</v>
      </c>
      <c r="U9" s="40" t="str">
        <f aca="false">IF(OR($A9="",NOT(ISNUMBER($B9))),"",IF(LEFT('My Colleges'!$AB9,8)="Required",MAX($B9-7,MIN(Summary!$B$8+7,$B9-3)),"n/a"))</f>
        <v/>
      </c>
      <c r="V9" s="23" t="b">
        <f aca="false">FALSE()</f>
        <v>0</v>
      </c>
      <c r="W9" s="40" t="str">
        <f aca="false">IF(OR($A9="",NOT(ISNUMBER($B9))),"",IF(TRUE(),$B9+10,"n/a"))</f>
        <v/>
      </c>
      <c r="X9" s="23" t="b">
        <f aca="false">FALSE()</f>
        <v>0</v>
      </c>
      <c r="Y9" s="40" t="str">
        <f aca="false">IF(OR($A9="",NOT(ISNUMBER($B9))),"",IF('My Colleges'!$AC9&lt;&gt;"",$B9+21,"n/a"))</f>
        <v/>
      </c>
      <c r="Z9" s="23" t="b">
        <f aca="false">FALSE()</f>
        <v>0</v>
      </c>
      <c r="AA9" s="26" t="str">
        <f aca="false">IF($A9="","",AB9-COUNT($AE9:$AO9))</f>
        <v/>
      </c>
      <c r="AB9" s="26" t="str">
        <f aca="false">IF($A9="","",SUMPRODUCT((MOD(COLUMN($C9:$X9)-COLUMN($C9),2)=0)*ISNUMBER($C9:$X9)))</f>
        <v/>
      </c>
      <c r="AC9" s="26" t="str">
        <f aca="false">IF($A9="","",IF($B9="Dropped","Dropped",IF(NOT(ISNUMBER($B9)),"Set a deadline on My Colleges",IF(COUNT($AE9:$AP9)=0,"All steps done",INDEX($AE$6:$AP$6,MATCH(MIN($AE9:$AP9),$AE9:$AP9,0))))))</f>
        <v/>
      </c>
      <c r="AD9" s="29" t="str">
        <f aca="false">IF(COUNT($AE9:$AP9)=0,"",INT(MIN($AE9:$AP9)))</f>
        <v/>
      </c>
      <c r="AE9" s="1" t="str">
        <f aca="false">IF(AND(ISNUMBER(C9),D9&lt;&gt;TRUE(),'My Colleges'!$T9&lt;&gt;"Submitted",'My Colleges'!$T9&lt;&gt;"Complete in portal"),C9+ROW()/1000+1/100000,"")</f>
        <v/>
      </c>
      <c r="AF9" s="1" t="str">
        <f aca="false">IF(AND(ISNUMBER(E9),F9&lt;&gt;TRUE(),'My Colleges'!$T9&lt;&gt;"Submitted",'My Colleges'!$T9&lt;&gt;"Complete in portal"),E9+ROW()/1000+2/100000,"")</f>
        <v/>
      </c>
      <c r="AG9" s="1" t="str">
        <f aca="false">IF(AND(ISNUMBER(G9),H9&lt;&gt;TRUE(),'My Colleges'!$T9&lt;&gt;"Submitted",'My Colleges'!$T9&lt;&gt;"Complete in portal"),G9+ROW()/1000+3/100000,"")</f>
        <v/>
      </c>
      <c r="AH9" s="1" t="str">
        <f aca="false">IF(AND(ISNUMBER(I9),J9&lt;&gt;TRUE(),'My Colleges'!$T9&lt;&gt;"Submitted",'My Colleges'!$T9&lt;&gt;"Complete in portal"),I9+ROW()/1000+4/100000,"")</f>
        <v/>
      </c>
      <c r="AI9" s="1" t="str">
        <f aca="false">IF(AND(ISNUMBER(K9),L9&lt;&gt;TRUE(),'My Colleges'!$T9&lt;&gt;"Submitted",'My Colleges'!$T9&lt;&gt;"Complete in portal"),K9+ROW()/1000+5/100000,"")</f>
        <v/>
      </c>
      <c r="AJ9" s="1" t="str">
        <f aca="false">IF(AND(ISNUMBER(M9),N9&lt;&gt;TRUE(),'My Colleges'!$T9&lt;&gt;"Submitted",'My Colleges'!$T9&lt;&gt;"Complete in portal"),M9+ROW()/1000+6/100000,"")</f>
        <v/>
      </c>
      <c r="AK9" s="1" t="str">
        <f aca="false">IF(AND(ISNUMBER(O9),P9&lt;&gt;TRUE(),'My Colleges'!$T9&lt;&gt;"Submitted",'My Colleges'!$T9&lt;&gt;"Complete in portal"),O9+ROW()/1000+7/100000,"")</f>
        <v/>
      </c>
      <c r="AL9" s="1" t="str">
        <f aca="false">IF(AND(ISNUMBER(Q9),R9&lt;&gt;TRUE(),'My Colleges'!$T9&lt;&gt;"Submitted",'My Colleges'!$T9&lt;&gt;"Complete in portal"),Q9+ROW()/1000+8/100000,"")</f>
        <v/>
      </c>
      <c r="AM9" s="1" t="str">
        <f aca="false">IF(AND(ISNUMBER(S9),T9&lt;&gt;TRUE()),S9+ROW()/1000+9/100000,"")</f>
        <v/>
      </c>
      <c r="AN9" s="1" t="str">
        <f aca="false">IF(AND(ISNUMBER(U9),V9&lt;&gt;TRUE()),U9+ROW()/1000+10/100000,"")</f>
        <v/>
      </c>
      <c r="AO9" s="1" t="str">
        <f aca="false">IF(AND(ISNUMBER(W9),X9&lt;&gt;TRUE()),W9+ROW()/1000+11/100000,"")</f>
        <v/>
      </c>
      <c r="AP9" s="1" t="str">
        <f aca="false">IF(AND(ISNUMBER(Y9),Z9&lt;&gt;TRUE(),ISNUMBER(SEARCH("requir",'My Colleges'!$AC9))+ISNUMBER(SEARCH("evaluat",'My Colleges'!$AC9))&gt;0),Y9+ROW()/1000+12/100000,"")</f>
        <v/>
      </c>
    </row>
    <row r="10" customFormat="false" ht="15" hidden="false" customHeight="true" outlineLevel="0" collapsed="false">
      <c r="A10" s="27" t="str">
        <f aca="false">IF('My Colleges'!$B10="","",'My Colleges'!$B10)</f>
        <v/>
      </c>
      <c r="B10" s="40" t="str">
        <f aca="false">IF($A10="","",IF('My Colleges'!$V10="No","Dropped",'My Colleges'!$I10))</f>
        <v/>
      </c>
      <c r="C10" s="40" t="str">
        <f aca="false">IF(OR($A10="",NOT(ISNUMBER($B10))),"",IF(TRUE(),MAX($B10-35,MIN(Summary!$B$8+7,$B10-3)),"n/a"))</f>
        <v/>
      </c>
      <c r="D10" s="23" t="b">
        <f aca="false">FALSE()</f>
        <v>0</v>
      </c>
      <c r="E10" s="40" t="str">
        <f aca="false">IF(OR($A10="",NOT(ISNUMBER($B10))),"",IF(NOT(OR('My Colleges'!$O10="None",'My Colleges'!$O10="None required")),MAX($B10-21,MIN(Summary!$B$8+7,$B10-3)),"n/a"))</f>
        <v/>
      </c>
      <c r="F10" s="23" t="b">
        <f aca="false">FALSE()</f>
        <v>0</v>
      </c>
      <c r="G10" s="40" t="str">
        <f aca="false">IF(OR($A10="",NOT(ISNUMBER($B10))),"",IF(NOT(AND(ISNUMBER('My Colleges'!$P10),'My Colleges'!$P10=0)),MAX($B10-28,MIN(Summary!$B$8+7,$B10-3)),"n/a"))</f>
        <v/>
      </c>
      <c r="H10" s="23" t="b">
        <f aca="false">FALSE()</f>
        <v>0</v>
      </c>
      <c r="I10" s="40" t="str">
        <f aca="false">IF(OR($A10="",NOT(ISNUMBER($B10))),"",IF(NOT(AND(ISNUMBER('My Colleges'!$P10),'My Colleges'!$P10=0)),MAX($B10-10,MIN(Summary!$B$8+7,$B10-3)),"n/a"))</f>
        <v/>
      </c>
      <c r="J10" s="23" t="b">
        <f aca="false">FALSE()</f>
        <v>0</v>
      </c>
      <c r="K10" s="40" t="str">
        <f aca="false">IF(OR($A10="",NOT(ISNUMBER($B10))),"",IF(TRUE(),MAX($B10-14,MIN(Summary!$B$8+7,$B10-3)),"n/a"))</f>
        <v/>
      </c>
      <c r="L10" s="23" t="b">
        <f aca="false">FALSE()</f>
        <v>0</v>
      </c>
      <c r="M10" s="40" t="str">
        <f aca="false">IF(OR($A10="",NOT(ISNUMBER($B10))),"",IF(AND('My Colleges'!$N10&lt;&gt;"Blind",OR('My Colleges'!$N10="Required",ISNUMBER(Me!$B$13),ISNUMBER(Me!$B$14))),MAX($B10-14,MIN(Summary!$B$8+7,$B10-3)),"n/a"))</f>
        <v/>
      </c>
      <c r="N10" s="23" t="b">
        <f aca="false">FALSE()</f>
        <v>0</v>
      </c>
      <c r="O10" s="40" t="str">
        <f aca="false">IF(OR($A10="",NOT(ISNUMBER($B10))),"",IF(NOT(AND(ISNUMBER('My Colleges'!$L10),'My Colleges'!$L10=0)),MAX($B10-5,MIN(Summary!$B$8+7,$B10-3)),"n/a"))</f>
        <v/>
      </c>
      <c r="P10" s="23" t="b">
        <f aca="false">FALSE()</f>
        <v>0</v>
      </c>
      <c r="Q10" s="40" t="str">
        <f aca="false">IF(OR($A10="",NOT(ISNUMBER($B10))),"",IF(TRUE(),$B10-3,"n/a"))</f>
        <v/>
      </c>
      <c r="R10" s="23" t="b">
        <f aca="false">FALSE()</f>
        <v>0</v>
      </c>
      <c r="S10" s="40" t="str">
        <f aca="false">IF(OR($A10="",NOT(ISNUMBER($B10))),"",IF(ISNUMBER('My Colleges'!$H10),MAX('My Colleges'!$H10-7,MIN(Summary!$B$8+7,'My Colleges'!$H10-3)),"n/a"))</f>
        <v/>
      </c>
      <c r="T10" s="23" t="b">
        <f aca="false">FALSE()</f>
        <v>0</v>
      </c>
      <c r="U10" s="40" t="str">
        <f aca="false">IF(OR($A10="",NOT(ISNUMBER($B10))),"",IF(LEFT('My Colleges'!$AB10,8)="Required",MAX($B10-7,MIN(Summary!$B$8+7,$B10-3)),"n/a"))</f>
        <v/>
      </c>
      <c r="V10" s="23" t="b">
        <f aca="false">FALSE()</f>
        <v>0</v>
      </c>
      <c r="W10" s="40" t="str">
        <f aca="false">IF(OR($A10="",NOT(ISNUMBER($B10))),"",IF(TRUE(),$B10+10,"n/a"))</f>
        <v/>
      </c>
      <c r="X10" s="23" t="b">
        <f aca="false">FALSE()</f>
        <v>0</v>
      </c>
      <c r="Y10" s="40" t="str">
        <f aca="false">IF(OR($A10="",NOT(ISNUMBER($B10))),"",IF('My Colleges'!$AC10&lt;&gt;"",$B10+21,"n/a"))</f>
        <v/>
      </c>
      <c r="Z10" s="23" t="b">
        <f aca="false">FALSE()</f>
        <v>0</v>
      </c>
      <c r="AA10" s="26" t="str">
        <f aca="false">IF($A10="","",AB10-COUNT($AE10:$AO10))</f>
        <v/>
      </c>
      <c r="AB10" s="26" t="str">
        <f aca="false">IF($A10="","",SUMPRODUCT((MOD(COLUMN($C10:$X10)-COLUMN($C10),2)=0)*ISNUMBER($C10:$X10)))</f>
        <v/>
      </c>
      <c r="AC10" s="26" t="str">
        <f aca="false">IF($A10="","",IF($B10="Dropped","Dropped",IF(NOT(ISNUMBER($B10)),"Set a deadline on My Colleges",IF(COUNT($AE10:$AP10)=0,"All steps done",INDEX($AE$6:$AP$6,MATCH(MIN($AE10:$AP10),$AE10:$AP10,0))))))</f>
        <v/>
      </c>
      <c r="AD10" s="29" t="str">
        <f aca="false">IF(COUNT($AE10:$AP10)=0,"",INT(MIN($AE10:$AP10)))</f>
        <v/>
      </c>
      <c r="AE10" s="1" t="str">
        <f aca="false">IF(AND(ISNUMBER(C10),D10&lt;&gt;TRUE(),'My Colleges'!$T10&lt;&gt;"Submitted",'My Colleges'!$T10&lt;&gt;"Complete in portal"),C10+ROW()/1000+1/100000,"")</f>
        <v/>
      </c>
      <c r="AF10" s="1" t="str">
        <f aca="false">IF(AND(ISNUMBER(E10),F10&lt;&gt;TRUE(),'My Colleges'!$T10&lt;&gt;"Submitted",'My Colleges'!$T10&lt;&gt;"Complete in portal"),E10+ROW()/1000+2/100000,"")</f>
        <v/>
      </c>
      <c r="AG10" s="1" t="str">
        <f aca="false">IF(AND(ISNUMBER(G10),H10&lt;&gt;TRUE(),'My Colleges'!$T10&lt;&gt;"Submitted",'My Colleges'!$T10&lt;&gt;"Complete in portal"),G10+ROW()/1000+3/100000,"")</f>
        <v/>
      </c>
      <c r="AH10" s="1" t="str">
        <f aca="false">IF(AND(ISNUMBER(I10),J10&lt;&gt;TRUE(),'My Colleges'!$T10&lt;&gt;"Submitted",'My Colleges'!$T10&lt;&gt;"Complete in portal"),I10+ROW()/1000+4/100000,"")</f>
        <v/>
      </c>
      <c r="AI10" s="1" t="str">
        <f aca="false">IF(AND(ISNUMBER(K10),L10&lt;&gt;TRUE(),'My Colleges'!$T10&lt;&gt;"Submitted",'My Colleges'!$T10&lt;&gt;"Complete in portal"),K10+ROW()/1000+5/100000,"")</f>
        <v/>
      </c>
      <c r="AJ10" s="1" t="str">
        <f aca="false">IF(AND(ISNUMBER(M10),N10&lt;&gt;TRUE(),'My Colleges'!$T10&lt;&gt;"Submitted",'My Colleges'!$T10&lt;&gt;"Complete in portal"),M10+ROW()/1000+6/100000,"")</f>
        <v/>
      </c>
      <c r="AK10" s="1" t="str">
        <f aca="false">IF(AND(ISNUMBER(O10),P10&lt;&gt;TRUE(),'My Colleges'!$T10&lt;&gt;"Submitted",'My Colleges'!$T10&lt;&gt;"Complete in portal"),O10+ROW()/1000+7/100000,"")</f>
        <v/>
      </c>
      <c r="AL10" s="1" t="str">
        <f aca="false">IF(AND(ISNUMBER(Q10),R10&lt;&gt;TRUE(),'My Colleges'!$T10&lt;&gt;"Submitted",'My Colleges'!$T10&lt;&gt;"Complete in portal"),Q10+ROW()/1000+8/100000,"")</f>
        <v/>
      </c>
      <c r="AM10" s="1" t="str">
        <f aca="false">IF(AND(ISNUMBER(S10),T10&lt;&gt;TRUE()),S10+ROW()/1000+9/100000,"")</f>
        <v/>
      </c>
      <c r="AN10" s="1" t="str">
        <f aca="false">IF(AND(ISNUMBER(U10),V10&lt;&gt;TRUE()),U10+ROW()/1000+10/100000,"")</f>
        <v/>
      </c>
      <c r="AO10" s="1" t="str">
        <f aca="false">IF(AND(ISNUMBER(W10),X10&lt;&gt;TRUE()),W10+ROW()/1000+11/100000,"")</f>
        <v/>
      </c>
      <c r="AP10" s="1" t="str">
        <f aca="false">IF(AND(ISNUMBER(Y10),Z10&lt;&gt;TRUE(),ISNUMBER(SEARCH("requir",'My Colleges'!$AC10))+ISNUMBER(SEARCH("evaluat",'My Colleges'!$AC10))&gt;0),Y10+ROW()/1000+12/100000,"")</f>
        <v/>
      </c>
    </row>
    <row r="11" customFormat="false" ht="15" hidden="false" customHeight="true" outlineLevel="0" collapsed="false">
      <c r="A11" s="27" t="str">
        <f aca="false">IF('My Colleges'!$B11="","",'My Colleges'!$B11)</f>
        <v/>
      </c>
      <c r="B11" s="40" t="str">
        <f aca="false">IF($A11="","",IF('My Colleges'!$V11="No","Dropped",'My Colleges'!$I11))</f>
        <v/>
      </c>
      <c r="C11" s="40" t="str">
        <f aca="false">IF(OR($A11="",NOT(ISNUMBER($B11))),"",IF(TRUE(),MAX($B11-35,MIN(Summary!$B$8+7,$B11-3)),"n/a"))</f>
        <v/>
      </c>
      <c r="D11" s="23" t="b">
        <f aca="false">FALSE()</f>
        <v>0</v>
      </c>
      <c r="E11" s="40" t="str">
        <f aca="false">IF(OR($A11="",NOT(ISNUMBER($B11))),"",IF(NOT(OR('My Colleges'!$O11="None",'My Colleges'!$O11="None required")),MAX($B11-21,MIN(Summary!$B$8+7,$B11-3)),"n/a"))</f>
        <v/>
      </c>
      <c r="F11" s="23" t="b">
        <f aca="false">FALSE()</f>
        <v>0</v>
      </c>
      <c r="G11" s="40" t="str">
        <f aca="false">IF(OR($A11="",NOT(ISNUMBER($B11))),"",IF(NOT(AND(ISNUMBER('My Colleges'!$P11),'My Colleges'!$P11=0)),MAX($B11-28,MIN(Summary!$B$8+7,$B11-3)),"n/a"))</f>
        <v/>
      </c>
      <c r="H11" s="23" t="b">
        <f aca="false">FALSE()</f>
        <v>0</v>
      </c>
      <c r="I11" s="40" t="str">
        <f aca="false">IF(OR($A11="",NOT(ISNUMBER($B11))),"",IF(NOT(AND(ISNUMBER('My Colleges'!$P11),'My Colleges'!$P11=0)),MAX($B11-10,MIN(Summary!$B$8+7,$B11-3)),"n/a"))</f>
        <v/>
      </c>
      <c r="J11" s="23" t="b">
        <f aca="false">FALSE()</f>
        <v>0</v>
      </c>
      <c r="K11" s="40" t="str">
        <f aca="false">IF(OR($A11="",NOT(ISNUMBER($B11))),"",IF(TRUE(),MAX($B11-14,MIN(Summary!$B$8+7,$B11-3)),"n/a"))</f>
        <v/>
      </c>
      <c r="L11" s="23" t="b">
        <f aca="false">FALSE()</f>
        <v>0</v>
      </c>
      <c r="M11" s="40" t="str">
        <f aca="false">IF(OR($A11="",NOT(ISNUMBER($B11))),"",IF(AND('My Colleges'!$N11&lt;&gt;"Blind",OR('My Colleges'!$N11="Required",ISNUMBER(Me!$B$13),ISNUMBER(Me!$B$14))),MAX($B11-14,MIN(Summary!$B$8+7,$B11-3)),"n/a"))</f>
        <v/>
      </c>
      <c r="N11" s="23" t="b">
        <f aca="false">FALSE()</f>
        <v>0</v>
      </c>
      <c r="O11" s="40" t="str">
        <f aca="false">IF(OR($A11="",NOT(ISNUMBER($B11))),"",IF(NOT(AND(ISNUMBER('My Colleges'!$L11),'My Colleges'!$L11=0)),MAX($B11-5,MIN(Summary!$B$8+7,$B11-3)),"n/a"))</f>
        <v/>
      </c>
      <c r="P11" s="23" t="b">
        <f aca="false">FALSE()</f>
        <v>0</v>
      </c>
      <c r="Q11" s="40" t="str">
        <f aca="false">IF(OR($A11="",NOT(ISNUMBER($B11))),"",IF(TRUE(),$B11-3,"n/a"))</f>
        <v/>
      </c>
      <c r="R11" s="23" t="b">
        <f aca="false">FALSE()</f>
        <v>0</v>
      </c>
      <c r="S11" s="40" t="str">
        <f aca="false">IF(OR($A11="",NOT(ISNUMBER($B11))),"",IF(ISNUMBER('My Colleges'!$H11),MAX('My Colleges'!$H11-7,MIN(Summary!$B$8+7,'My Colleges'!$H11-3)),"n/a"))</f>
        <v/>
      </c>
      <c r="T11" s="23" t="b">
        <f aca="false">FALSE()</f>
        <v>0</v>
      </c>
      <c r="U11" s="40" t="str">
        <f aca="false">IF(OR($A11="",NOT(ISNUMBER($B11))),"",IF(LEFT('My Colleges'!$AB11,8)="Required",MAX($B11-7,MIN(Summary!$B$8+7,$B11-3)),"n/a"))</f>
        <v/>
      </c>
      <c r="V11" s="23" t="b">
        <f aca="false">FALSE()</f>
        <v>0</v>
      </c>
      <c r="W11" s="40" t="str">
        <f aca="false">IF(OR($A11="",NOT(ISNUMBER($B11))),"",IF(TRUE(),$B11+10,"n/a"))</f>
        <v/>
      </c>
      <c r="X11" s="23" t="b">
        <f aca="false">FALSE()</f>
        <v>0</v>
      </c>
      <c r="Y11" s="40" t="str">
        <f aca="false">IF(OR($A11="",NOT(ISNUMBER($B11))),"",IF('My Colleges'!$AC11&lt;&gt;"",$B11+21,"n/a"))</f>
        <v/>
      </c>
      <c r="Z11" s="23" t="b">
        <f aca="false">FALSE()</f>
        <v>0</v>
      </c>
      <c r="AA11" s="26" t="str">
        <f aca="false">IF($A11="","",AB11-COUNT($AE11:$AO11))</f>
        <v/>
      </c>
      <c r="AB11" s="26" t="str">
        <f aca="false">IF($A11="","",SUMPRODUCT((MOD(COLUMN($C11:$X11)-COLUMN($C11),2)=0)*ISNUMBER($C11:$X11)))</f>
        <v/>
      </c>
      <c r="AC11" s="26" t="str">
        <f aca="false">IF($A11="","",IF($B11="Dropped","Dropped",IF(NOT(ISNUMBER($B11)),"Set a deadline on My Colleges",IF(COUNT($AE11:$AP11)=0,"All steps done",INDEX($AE$6:$AP$6,MATCH(MIN($AE11:$AP11),$AE11:$AP11,0))))))</f>
        <v/>
      </c>
      <c r="AD11" s="29" t="str">
        <f aca="false">IF(COUNT($AE11:$AP11)=0,"",INT(MIN($AE11:$AP11)))</f>
        <v/>
      </c>
      <c r="AE11" s="1" t="str">
        <f aca="false">IF(AND(ISNUMBER(C11),D11&lt;&gt;TRUE(),'My Colleges'!$T11&lt;&gt;"Submitted",'My Colleges'!$T11&lt;&gt;"Complete in portal"),C11+ROW()/1000+1/100000,"")</f>
        <v/>
      </c>
      <c r="AF11" s="1" t="str">
        <f aca="false">IF(AND(ISNUMBER(E11),F11&lt;&gt;TRUE(),'My Colleges'!$T11&lt;&gt;"Submitted",'My Colleges'!$T11&lt;&gt;"Complete in portal"),E11+ROW()/1000+2/100000,"")</f>
        <v/>
      </c>
      <c r="AG11" s="1" t="str">
        <f aca="false">IF(AND(ISNUMBER(G11),H11&lt;&gt;TRUE(),'My Colleges'!$T11&lt;&gt;"Submitted",'My Colleges'!$T11&lt;&gt;"Complete in portal"),G11+ROW()/1000+3/100000,"")</f>
        <v/>
      </c>
      <c r="AH11" s="1" t="str">
        <f aca="false">IF(AND(ISNUMBER(I11),J11&lt;&gt;TRUE(),'My Colleges'!$T11&lt;&gt;"Submitted",'My Colleges'!$T11&lt;&gt;"Complete in portal"),I11+ROW()/1000+4/100000,"")</f>
        <v/>
      </c>
      <c r="AI11" s="1" t="str">
        <f aca="false">IF(AND(ISNUMBER(K11),L11&lt;&gt;TRUE(),'My Colleges'!$T11&lt;&gt;"Submitted",'My Colleges'!$T11&lt;&gt;"Complete in portal"),K11+ROW()/1000+5/100000,"")</f>
        <v/>
      </c>
      <c r="AJ11" s="1" t="str">
        <f aca="false">IF(AND(ISNUMBER(M11),N11&lt;&gt;TRUE(),'My Colleges'!$T11&lt;&gt;"Submitted",'My Colleges'!$T11&lt;&gt;"Complete in portal"),M11+ROW()/1000+6/100000,"")</f>
        <v/>
      </c>
      <c r="AK11" s="1" t="str">
        <f aca="false">IF(AND(ISNUMBER(O11),P11&lt;&gt;TRUE(),'My Colleges'!$T11&lt;&gt;"Submitted",'My Colleges'!$T11&lt;&gt;"Complete in portal"),O11+ROW()/1000+7/100000,"")</f>
        <v/>
      </c>
      <c r="AL11" s="1" t="str">
        <f aca="false">IF(AND(ISNUMBER(Q11),R11&lt;&gt;TRUE(),'My Colleges'!$T11&lt;&gt;"Submitted",'My Colleges'!$T11&lt;&gt;"Complete in portal"),Q11+ROW()/1000+8/100000,"")</f>
        <v/>
      </c>
      <c r="AM11" s="1" t="str">
        <f aca="false">IF(AND(ISNUMBER(S11),T11&lt;&gt;TRUE()),S11+ROW()/1000+9/100000,"")</f>
        <v/>
      </c>
      <c r="AN11" s="1" t="str">
        <f aca="false">IF(AND(ISNUMBER(U11),V11&lt;&gt;TRUE()),U11+ROW()/1000+10/100000,"")</f>
        <v/>
      </c>
      <c r="AO11" s="1" t="str">
        <f aca="false">IF(AND(ISNUMBER(W11),X11&lt;&gt;TRUE()),W11+ROW()/1000+11/100000,"")</f>
        <v/>
      </c>
      <c r="AP11" s="1" t="str">
        <f aca="false">IF(AND(ISNUMBER(Y11),Z11&lt;&gt;TRUE(),ISNUMBER(SEARCH("requir",'My Colleges'!$AC11))+ISNUMBER(SEARCH("evaluat",'My Colleges'!$AC11))&gt;0),Y11+ROW()/1000+12/100000,"")</f>
        <v/>
      </c>
    </row>
    <row r="12" customFormat="false" ht="15" hidden="false" customHeight="true" outlineLevel="0" collapsed="false">
      <c r="A12" s="27" t="str">
        <f aca="false">IF('My Colleges'!$B12="","",'My Colleges'!$B12)</f>
        <v/>
      </c>
      <c r="B12" s="40" t="str">
        <f aca="false">IF($A12="","",IF('My Colleges'!$V12="No","Dropped",'My Colleges'!$I12))</f>
        <v/>
      </c>
      <c r="C12" s="40" t="str">
        <f aca="false">IF(OR($A12="",NOT(ISNUMBER($B12))),"",IF(TRUE(),MAX($B12-35,MIN(Summary!$B$8+7,$B12-3)),"n/a"))</f>
        <v/>
      </c>
      <c r="D12" s="23" t="b">
        <f aca="false">FALSE()</f>
        <v>0</v>
      </c>
      <c r="E12" s="40" t="str">
        <f aca="false">IF(OR($A12="",NOT(ISNUMBER($B12))),"",IF(NOT(OR('My Colleges'!$O12="None",'My Colleges'!$O12="None required")),MAX($B12-21,MIN(Summary!$B$8+7,$B12-3)),"n/a"))</f>
        <v/>
      </c>
      <c r="F12" s="23" t="b">
        <f aca="false">FALSE()</f>
        <v>0</v>
      </c>
      <c r="G12" s="40" t="str">
        <f aca="false">IF(OR($A12="",NOT(ISNUMBER($B12))),"",IF(NOT(AND(ISNUMBER('My Colleges'!$P12),'My Colleges'!$P12=0)),MAX($B12-28,MIN(Summary!$B$8+7,$B12-3)),"n/a"))</f>
        <v/>
      </c>
      <c r="H12" s="23" t="b">
        <f aca="false">FALSE()</f>
        <v>0</v>
      </c>
      <c r="I12" s="40" t="str">
        <f aca="false">IF(OR($A12="",NOT(ISNUMBER($B12))),"",IF(NOT(AND(ISNUMBER('My Colleges'!$P12),'My Colleges'!$P12=0)),MAX($B12-10,MIN(Summary!$B$8+7,$B12-3)),"n/a"))</f>
        <v/>
      </c>
      <c r="J12" s="23" t="b">
        <f aca="false">FALSE()</f>
        <v>0</v>
      </c>
      <c r="K12" s="40" t="str">
        <f aca="false">IF(OR($A12="",NOT(ISNUMBER($B12))),"",IF(TRUE(),MAX($B12-14,MIN(Summary!$B$8+7,$B12-3)),"n/a"))</f>
        <v/>
      </c>
      <c r="L12" s="23" t="b">
        <f aca="false">FALSE()</f>
        <v>0</v>
      </c>
      <c r="M12" s="40" t="str">
        <f aca="false">IF(OR($A12="",NOT(ISNUMBER($B12))),"",IF(AND('My Colleges'!$N12&lt;&gt;"Blind",OR('My Colleges'!$N12="Required",ISNUMBER(Me!$B$13),ISNUMBER(Me!$B$14))),MAX($B12-14,MIN(Summary!$B$8+7,$B12-3)),"n/a"))</f>
        <v/>
      </c>
      <c r="N12" s="23" t="b">
        <f aca="false">FALSE()</f>
        <v>0</v>
      </c>
      <c r="O12" s="40" t="str">
        <f aca="false">IF(OR($A12="",NOT(ISNUMBER($B12))),"",IF(NOT(AND(ISNUMBER('My Colleges'!$L12),'My Colleges'!$L12=0)),MAX($B12-5,MIN(Summary!$B$8+7,$B12-3)),"n/a"))</f>
        <v/>
      </c>
      <c r="P12" s="23" t="b">
        <f aca="false">FALSE()</f>
        <v>0</v>
      </c>
      <c r="Q12" s="40" t="str">
        <f aca="false">IF(OR($A12="",NOT(ISNUMBER($B12))),"",IF(TRUE(),$B12-3,"n/a"))</f>
        <v/>
      </c>
      <c r="R12" s="23" t="b">
        <f aca="false">FALSE()</f>
        <v>0</v>
      </c>
      <c r="S12" s="40" t="str">
        <f aca="false">IF(OR($A12="",NOT(ISNUMBER($B12))),"",IF(ISNUMBER('My Colleges'!$H12),MAX('My Colleges'!$H12-7,MIN(Summary!$B$8+7,'My Colleges'!$H12-3)),"n/a"))</f>
        <v/>
      </c>
      <c r="T12" s="23" t="b">
        <f aca="false">FALSE()</f>
        <v>0</v>
      </c>
      <c r="U12" s="40" t="str">
        <f aca="false">IF(OR($A12="",NOT(ISNUMBER($B12))),"",IF(LEFT('My Colleges'!$AB12,8)="Required",MAX($B12-7,MIN(Summary!$B$8+7,$B12-3)),"n/a"))</f>
        <v/>
      </c>
      <c r="V12" s="23" t="b">
        <f aca="false">FALSE()</f>
        <v>0</v>
      </c>
      <c r="W12" s="40" t="str">
        <f aca="false">IF(OR($A12="",NOT(ISNUMBER($B12))),"",IF(TRUE(),$B12+10,"n/a"))</f>
        <v/>
      </c>
      <c r="X12" s="23" t="b">
        <f aca="false">FALSE()</f>
        <v>0</v>
      </c>
      <c r="Y12" s="40" t="str">
        <f aca="false">IF(OR($A12="",NOT(ISNUMBER($B12))),"",IF('My Colleges'!$AC12&lt;&gt;"",$B12+21,"n/a"))</f>
        <v/>
      </c>
      <c r="Z12" s="23" t="b">
        <f aca="false">FALSE()</f>
        <v>0</v>
      </c>
      <c r="AA12" s="26" t="str">
        <f aca="false">IF($A12="","",AB12-COUNT($AE12:$AO12))</f>
        <v/>
      </c>
      <c r="AB12" s="26" t="str">
        <f aca="false">IF($A12="","",SUMPRODUCT((MOD(COLUMN($C12:$X12)-COLUMN($C12),2)=0)*ISNUMBER($C12:$X12)))</f>
        <v/>
      </c>
      <c r="AC12" s="26" t="str">
        <f aca="false">IF($A12="","",IF($B12="Dropped","Dropped",IF(NOT(ISNUMBER($B12)),"Set a deadline on My Colleges",IF(COUNT($AE12:$AP12)=0,"All steps done",INDEX($AE$6:$AP$6,MATCH(MIN($AE12:$AP12),$AE12:$AP12,0))))))</f>
        <v/>
      </c>
      <c r="AD12" s="29" t="str">
        <f aca="false">IF(COUNT($AE12:$AP12)=0,"",INT(MIN($AE12:$AP12)))</f>
        <v/>
      </c>
      <c r="AE12" s="1" t="str">
        <f aca="false">IF(AND(ISNUMBER(C12),D12&lt;&gt;TRUE(),'My Colleges'!$T12&lt;&gt;"Submitted",'My Colleges'!$T12&lt;&gt;"Complete in portal"),C12+ROW()/1000+1/100000,"")</f>
        <v/>
      </c>
      <c r="AF12" s="1" t="str">
        <f aca="false">IF(AND(ISNUMBER(E12),F12&lt;&gt;TRUE(),'My Colleges'!$T12&lt;&gt;"Submitted",'My Colleges'!$T12&lt;&gt;"Complete in portal"),E12+ROW()/1000+2/100000,"")</f>
        <v/>
      </c>
      <c r="AG12" s="1" t="str">
        <f aca="false">IF(AND(ISNUMBER(G12),H12&lt;&gt;TRUE(),'My Colleges'!$T12&lt;&gt;"Submitted",'My Colleges'!$T12&lt;&gt;"Complete in portal"),G12+ROW()/1000+3/100000,"")</f>
        <v/>
      </c>
      <c r="AH12" s="1" t="str">
        <f aca="false">IF(AND(ISNUMBER(I12),J12&lt;&gt;TRUE(),'My Colleges'!$T12&lt;&gt;"Submitted",'My Colleges'!$T12&lt;&gt;"Complete in portal"),I12+ROW()/1000+4/100000,"")</f>
        <v/>
      </c>
      <c r="AI12" s="1" t="str">
        <f aca="false">IF(AND(ISNUMBER(K12),L12&lt;&gt;TRUE(),'My Colleges'!$T12&lt;&gt;"Submitted",'My Colleges'!$T12&lt;&gt;"Complete in portal"),K12+ROW()/1000+5/100000,"")</f>
        <v/>
      </c>
      <c r="AJ12" s="1" t="str">
        <f aca="false">IF(AND(ISNUMBER(M12),N12&lt;&gt;TRUE(),'My Colleges'!$T12&lt;&gt;"Submitted",'My Colleges'!$T12&lt;&gt;"Complete in portal"),M12+ROW()/1000+6/100000,"")</f>
        <v/>
      </c>
      <c r="AK12" s="1" t="str">
        <f aca="false">IF(AND(ISNUMBER(O12),P12&lt;&gt;TRUE(),'My Colleges'!$T12&lt;&gt;"Submitted",'My Colleges'!$T12&lt;&gt;"Complete in portal"),O12+ROW()/1000+7/100000,"")</f>
        <v/>
      </c>
      <c r="AL12" s="1" t="str">
        <f aca="false">IF(AND(ISNUMBER(Q12),R12&lt;&gt;TRUE(),'My Colleges'!$T12&lt;&gt;"Submitted",'My Colleges'!$T12&lt;&gt;"Complete in portal"),Q12+ROW()/1000+8/100000,"")</f>
        <v/>
      </c>
      <c r="AM12" s="1" t="str">
        <f aca="false">IF(AND(ISNUMBER(S12),T12&lt;&gt;TRUE()),S12+ROW()/1000+9/100000,"")</f>
        <v/>
      </c>
      <c r="AN12" s="1" t="str">
        <f aca="false">IF(AND(ISNUMBER(U12),V12&lt;&gt;TRUE()),U12+ROW()/1000+10/100000,"")</f>
        <v/>
      </c>
      <c r="AO12" s="1" t="str">
        <f aca="false">IF(AND(ISNUMBER(W12),X12&lt;&gt;TRUE()),W12+ROW()/1000+11/100000,"")</f>
        <v/>
      </c>
      <c r="AP12" s="1" t="str">
        <f aca="false">IF(AND(ISNUMBER(Y12),Z12&lt;&gt;TRUE(),ISNUMBER(SEARCH("requir",'My Colleges'!$AC12))+ISNUMBER(SEARCH("evaluat",'My Colleges'!$AC12))&gt;0),Y12+ROW()/1000+12/100000,"")</f>
        <v/>
      </c>
    </row>
    <row r="13" customFormat="false" ht="15" hidden="false" customHeight="true" outlineLevel="0" collapsed="false">
      <c r="A13" s="27" t="str">
        <f aca="false">IF('My Colleges'!$B13="","",'My Colleges'!$B13)</f>
        <v/>
      </c>
      <c r="B13" s="40" t="str">
        <f aca="false">IF($A13="","",IF('My Colleges'!$V13="No","Dropped",'My Colleges'!$I13))</f>
        <v/>
      </c>
      <c r="C13" s="40" t="str">
        <f aca="false">IF(OR($A13="",NOT(ISNUMBER($B13))),"",IF(TRUE(),MAX($B13-35,MIN(Summary!$B$8+7,$B13-3)),"n/a"))</f>
        <v/>
      </c>
      <c r="D13" s="23" t="b">
        <f aca="false">FALSE()</f>
        <v>0</v>
      </c>
      <c r="E13" s="40" t="str">
        <f aca="false">IF(OR($A13="",NOT(ISNUMBER($B13))),"",IF(NOT(OR('My Colleges'!$O13="None",'My Colleges'!$O13="None required")),MAX($B13-21,MIN(Summary!$B$8+7,$B13-3)),"n/a"))</f>
        <v/>
      </c>
      <c r="F13" s="23" t="b">
        <f aca="false">FALSE()</f>
        <v>0</v>
      </c>
      <c r="G13" s="40" t="str">
        <f aca="false">IF(OR($A13="",NOT(ISNUMBER($B13))),"",IF(NOT(AND(ISNUMBER('My Colleges'!$P13),'My Colleges'!$P13=0)),MAX($B13-28,MIN(Summary!$B$8+7,$B13-3)),"n/a"))</f>
        <v/>
      </c>
      <c r="H13" s="23" t="b">
        <f aca="false">FALSE()</f>
        <v>0</v>
      </c>
      <c r="I13" s="40" t="str">
        <f aca="false">IF(OR($A13="",NOT(ISNUMBER($B13))),"",IF(NOT(AND(ISNUMBER('My Colleges'!$P13),'My Colleges'!$P13=0)),MAX($B13-10,MIN(Summary!$B$8+7,$B13-3)),"n/a"))</f>
        <v/>
      </c>
      <c r="J13" s="23" t="b">
        <f aca="false">FALSE()</f>
        <v>0</v>
      </c>
      <c r="K13" s="40" t="str">
        <f aca="false">IF(OR($A13="",NOT(ISNUMBER($B13))),"",IF(TRUE(),MAX($B13-14,MIN(Summary!$B$8+7,$B13-3)),"n/a"))</f>
        <v/>
      </c>
      <c r="L13" s="23" t="b">
        <f aca="false">FALSE()</f>
        <v>0</v>
      </c>
      <c r="M13" s="40" t="str">
        <f aca="false">IF(OR($A13="",NOT(ISNUMBER($B13))),"",IF(AND('My Colleges'!$N13&lt;&gt;"Blind",OR('My Colleges'!$N13="Required",ISNUMBER(Me!$B$13),ISNUMBER(Me!$B$14))),MAX($B13-14,MIN(Summary!$B$8+7,$B13-3)),"n/a"))</f>
        <v/>
      </c>
      <c r="N13" s="23" t="b">
        <f aca="false">FALSE()</f>
        <v>0</v>
      </c>
      <c r="O13" s="40" t="str">
        <f aca="false">IF(OR($A13="",NOT(ISNUMBER($B13))),"",IF(NOT(AND(ISNUMBER('My Colleges'!$L13),'My Colleges'!$L13=0)),MAX($B13-5,MIN(Summary!$B$8+7,$B13-3)),"n/a"))</f>
        <v/>
      </c>
      <c r="P13" s="23" t="b">
        <f aca="false">FALSE()</f>
        <v>0</v>
      </c>
      <c r="Q13" s="40" t="str">
        <f aca="false">IF(OR($A13="",NOT(ISNUMBER($B13))),"",IF(TRUE(),$B13-3,"n/a"))</f>
        <v/>
      </c>
      <c r="R13" s="23" t="b">
        <f aca="false">FALSE()</f>
        <v>0</v>
      </c>
      <c r="S13" s="40" t="str">
        <f aca="false">IF(OR($A13="",NOT(ISNUMBER($B13))),"",IF(ISNUMBER('My Colleges'!$H13),MAX('My Colleges'!$H13-7,MIN(Summary!$B$8+7,'My Colleges'!$H13-3)),"n/a"))</f>
        <v/>
      </c>
      <c r="T13" s="23" t="b">
        <f aca="false">FALSE()</f>
        <v>0</v>
      </c>
      <c r="U13" s="40" t="str">
        <f aca="false">IF(OR($A13="",NOT(ISNUMBER($B13))),"",IF(LEFT('My Colleges'!$AB13,8)="Required",MAX($B13-7,MIN(Summary!$B$8+7,$B13-3)),"n/a"))</f>
        <v/>
      </c>
      <c r="V13" s="23" t="b">
        <f aca="false">FALSE()</f>
        <v>0</v>
      </c>
      <c r="W13" s="40" t="str">
        <f aca="false">IF(OR($A13="",NOT(ISNUMBER($B13))),"",IF(TRUE(),$B13+10,"n/a"))</f>
        <v/>
      </c>
      <c r="X13" s="23" t="b">
        <f aca="false">FALSE()</f>
        <v>0</v>
      </c>
      <c r="Y13" s="40" t="str">
        <f aca="false">IF(OR($A13="",NOT(ISNUMBER($B13))),"",IF('My Colleges'!$AC13&lt;&gt;"",$B13+21,"n/a"))</f>
        <v/>
      </c>
      <c r="Z13" s="23" t="b">
        <f aca="false">FALSE()</f>
        <v>0</v>
      </c>
      <c r="AA13" s="26" t="str">
        <f aca="false">IF($A13="","",AB13-COUNT($AE13:$AO13))</f>
        <v/>
      </c>
      <c r="AB13" s="26" t="str">
        <f aca="false">IF($A13="","",SUMPRODUCT((MOD(COLUMN($C13:$X13)-COLUMN($C13),2)=0)*ISNUMBER($C13:$X13)))</f>
        <v/>
      </c>
      <c r="AC13" s="26" t="str">
        <f aca="false">IF($A13="","",IF($B13="Dropped","Dropped",IF(NOT(ISNUMBER($B13)),"Set a deadline on My Colleges",IF(COUNT($AE13:$AP13)=0,"All steps done",INDEX($AE$6:$AP$6,MATCH(MIN($AE13:$AP13),$AE13:$AP13,0))))))</f>
        <v/>
      </c>
      <c r="AD13" s="29" t="str">
        <f aca="false">IF(COUNT($AE13:$AP13)=0,"",INT(MIN($AE13:$AP13)))</f>
        <v/>
      </c>
      <c r="AE13" s="1" t="str">
        <f aca="false">IF(AND(ISNUMBER(C13),D13&lt;&gt;TRUE(),'My Colleges'!$T13&lt;&gt;"Submitted",'My Colleges'!$T13&lt;&gt;"Complete in portal"),C13+ROW()/1000+1/100000,"")</f>
        <v/>
      </c>
      <c r="AF13" s="1" t="str">
        <f aca="false">IF(AND(ISNUMBER(E13),F13&lt;&gt;TRUE(),'My Colleges'!$T13&lt;&gt;"Submitted",'My Colleges'!$T13&lt;&gt;"Complete in portal"),E13+ROW()/1000+2/100000,"")</f>
        <v/>
      </c>
      <c r="AG13" s="1" t="str">
        <f aca="false">IF(AND(ISNUMBER(G13),H13&lt;&gt;TRUE(),'My Colleges'!$T13&lt;&gt;"Submitted",'My Colleges'!$T13&lt;&gt;"Complete in portal"),G13+ROW()/1000+3/100000,"")</f>
        <v/>
      </c>
      <c r="AH13" s="1" t="str">
        <f aca="false">IF(AND(ISNUMBER(I13),J13&lt;&gt;TRUE(),'My Colleges'!$T13&lt;&gt;"Submitted",'My Colleges'!$T13&lt;&gt;"Complete in portal"),I13+ROW()/1000+4/100000,"")</f>
        <v/>
      </c>
      <c r="AI13" s="1" t="str">
        <f aca="false">IF(AND(ISNUMBER(K13),L13&lt;&gt;TRUE(),'My Colleges'!$T13&lt;&gt;"Submitted",'My Colleges'!$T13&lt;&gt;"Complete in portal"),K13+ROW()/1000+5/100000,"")</f>
        <v/>
      </c>
      <c r="AJ13" s="1" t="str">
        <f aca="false">IF(AND(ISNUMBER(M13),N13&lt;&gt;TRUE(),'My Colleges'!$T13&lt;&gt;"Submitted",'My Colleges'!$T13&lt;&gt;"Complete in portal"),M13+ROW()/1000+6/100000,"")</f>
        <v/>
      </c>
      <c r="AK13" s="1" t="str">
        <f aca="false">IF(AND(ISNUMBER(O13),P13&lt;&gt;TRUE(),'My Colleges'!$T13&lt;&gt;"Submitted",'My Colleges'!$T13&lt;&gt;"Complete in portal"),O13+ROW()/1000+7/100000,"")</f>
        <v/>
      </c>
      <c r="AL13" s="1" t="str">
        <f aca="false">IF(AND(ISNUMBER(Q13),R13&lt;&gt;TRUE(),'My Colleges'!$T13&lt;&gt;"Submitted",'My Colleges'!$T13&lt;&gt;"Complete in portal"),Q13+ROW()/1000+8/100000,"")</f>
        <v/>
      </c>
      <c r="AM13" s="1" t="str">
        <f aca="false">IF(AND(ISNUMBER(S13),T13&lt;&gt;TRUE()),S13+ROW()/1000+9/100000,"")</f>
        <v/>
      </c>
      <c r="AN13" s="1" t="str">
        <f aca="false">IF(AND(ISNUMBER(U13),V13&lt;&gt;TRUE()),U13+ROW()/1000+10/100000,"")</f>
        <v/>
      </c>
      <c r="AO13" s="1" t="str">
        <f aca="false">IF(AND(ISNUMBER(W13),X13&lt;&gt;TRUE()),W13+ROW()/1000+11/100000,"")</f>
        <v/>
      </c>
      <c r="AP13" s="1" t="str">
        <f aca="false">IF(AND(ISNUMBER(Y13),Z13&lt;&gt;TRUE(),ISNUMBER(SEARCH("requir",'My Colleges'!$AC13))+ISNUMBER(SEARCH("evaluat",'My Colleges'!$AC13))&gt;0),Y13+ROW()/1000+12/100000,"")</f>
        <v/>
      </c>
    </row>
    <row r="14" customFormat="false" ht="15" hidden="false" customHeight="true" outlineLevel="0" collapsed="false">
      <c r="A14" s="27" t="str">
        <f aca="false">IF('My Colleges'!$B14="","",'My Colleges'!$B14)</f>
        <v/>
      </c>
      <c r="B14" s="40" t="str">
        <f aca="false">IF($A14="","",IF('My Colleges'!$V14="No","Dropped",'My Colleges'!$I14))</f>
        <v/>
      </c>
      <c r="C14" s="40" t="str">
        <f aca="false">IF(OR($A14="",NOT(ISNUMBER($B14))),"",IF(TRUE(),MAX($B14-35,MIN(Summary!$B$8+7,$B14-3)),"n/a"))</f>
        <v/>
      </c>
      <c r="D14" s="23" t="b">
        <f aca="false">FALSE()</f>
        <v>0</v>
      </c>
      <c r="E14" s="40" t="str">
        <f aca="false">IF(OR($A14="",NOT(ISNUMBER($B14))),"",IF(NOT(OR('My Colleges'!$O14="None",'My Colleges'!$O14="None required")),MAX($B14-21,MIN(Summary!$B$8+7,$B14-3)),"n/a"))</f>
        <v/>
      </c>
      <c r="F14" s="23" t="b">
        <f aca="false">FALSE()</f>
        <v>0</v>
      </c>
      <c r="G14" s="40" t="str">
        <f aca="false">IF(OR($A14="",NOT(ISNUMBER($B14))),"",IF(NOT(AND(ISNUMBER('My Colleges'!$P14),'My Colleges'!$P14=0)),MAX($B14-28,MIN(Summary!$B$8+7,$B14-3)),"n/a"))</f>
        <v/>
      </c>
      <c r="H14" s="23" t="b">
        <f aca="false">FALSE()</f>
        <v>0</v>
      </c>
      <c r="I14" s="40" t="str">
        <f aca="false">IF(OR($A14="",NOT(ISNUMBER($B14))),"",IF(NOT(AND(ISNUMBER('My Colleges'!$P14),'My Colleges'!$P14=0)),MAX($B14-10,MIN(Summary!$B$8+7,$B14-3)),"n/a"))</f>
        <v/>
      </c>
      <c r="J14" s="23" t="b">
        <f aca="false">FALSE()</f>
        <v>0</v>
      </c>
      <c r="K14" s="40" t="str">
        <f aca="false">IF(OR($A14="",NOT(ISNUMBER($B14))),"",IF(TRUE(),MAX($B14-14,MIN(Summary!$B$8+7,$B14-3)),"n/a"))</f>
        <v/>
      </c>
      <c r="L14" s="23" t="b">
        <f aca="false">FALSE()</f>
        <v>0</v>
      </c>
      <c r="M14" s="40" t="str">
        <f aca="false">IF(OR($A14="",NOT(ISNUMBER($B14))),"",IF(AND('My Colleges'!$N14&lt;&gt;"Blind",OR('My Colleges'!$N14="Required",ISNUMBER(Me!$B$13),ISNUMBER(Me!$B$14))),MAX($B14-14,MIN(Summary!$B$8+7,$B14-3)),"n/a"))</f>
        <v/>
      </c>
      <c r="N14" s="23" t="b">
        <f aca="false">FALSE()</f>
        <v>0</v>
      </c>
      <c r="O14" s="40" t="str">
        <f aca="false">IF(OR($A14="",NOT(ISNUMBER($B14))),"",IF(NOT(AND(ISNUMBER('My Colleges'!$L14),'My Colleges'!$L14=0)),MAX($B14-5,MIN(Summary!$B$8+7,$B14-3)),"n/a"))</f>
        <v/>
      </c>
      <c r="P14" s="23" t="b">
        <f aca="false">FALSE()</f>
        <v>0</v>
      </c>
      <c r="Q14" s="40" t="str">
        <f aca="false">IF(OR($A14="",NOT(ISNUMBER($B14))),"",IF(TRUE(),$B14-3,"n/a"))</f>
        <v/>
      </c>
      <c r="R14" s="23" t="b">
        <f aca="false">FALSE()</f>
        <v>0</v>
      </c>
      <c r="S14" s="40" t="str">
        <f aca="false">IF(OR($A14="",NOT(ISNUMBER($B14))),"",IF(ISNUMBER('My Colleges'!$H14),MAX('My Colleges'!$H14-7,MIN(Summary!$B$8+7,'My Colleges'!$H14-3)),"n/a"))</f>
        <v/>
      </c>
      <c r="T14" s="23" t="b">
        <f aca="false">FALSE()</f>
        <v>0</v>
      </c>
      <c r="U14" s="40" t="str">
        <f aca="false">IF(OR($A14="",NOT(ISNUMBER($B14))),"",IF(LEFT('My Colleges'!$AB14,8)="Required",MAX($B14-7,MIN(Summary!$B$8+7,$B14-3)),"n/a"))</f>
        <v/>
      </c>
      <c r="V14" s="23" t="b">
        <f aca="false">FALSE()</f>
        <v>0</v>
      </c>
      <c r="W14" s="40" t="str">
        <f aca="false">IF(OR($A14="",NOT(ISNUMBER($B14))),"",IF(TRUE(),$B14+10,"n/a"))</f>
        <v/>
      </c>
      <c r="X14" s="23" t="b">
        <f aca="false">FALSE()</f>
        <v>0</v>
      </c>
      <c r="Y14" s="40" t="str">
        <f aca="false">IF(OR($A14="",NOT(ISNUMBER($B14))),"",IF('My Colleges'!$AC14&lt;&gt;"",$B14+21,"n/a"))</f>
        <v/>
      </c>
      <c r="Z14" s="23" t="b">
        <f aca="false">FALSE()</f>
        <v>0</v>
      </c>
      <c r="AA14" s="26" t="str">
        <f aca="false">IF($A14="","",AB14-COUNT($AE14:$AO14))</f>
        <v/>
      </c>
      <c r="AB14" s="26" t="str">
        <f aca="false">IF($A14="","",SUMPRODUCT((MOD(COLUMN($C14:$X14)-COLUMN($C14),2)=0)*ISNUMBER($C14:$X14)))</f>
        <v/>
      </c>
      <c r="AC14" s="26" t="str">
        <f aca="false">IF($A14="","",IF($B14="Dropped","Dropped",IF(NOT(ISNUMBER($B14)),"Set a deadline on My Colleges",IF(COUNT($AE14:$AP14)=0,"All steps done",INDEX($AE$6:$AP$6,MATCH(MIN($AE14:$AP14),$AE14:$AP14,0))))))</f>
        <v/>
      </c>
      <c r="AD14" s="29" t="str">
        <f aca="false">IF(COUNT($AE14:$AP14)=0,"",INT(MIN($AE14:$AP14)))</f>
        <v/>
      </c>
      <c r="AE14" s="1" t="str">
        <f aca="false">IF(AND(ISNUMBER(C14),D14&lt;&gt;TRUE(),'My Colleges'!$T14&lt;&gt;"Submitted",'My Colleges'!$T14&lt;&gt;"Complete in portal"),C14+ROW()/1000+1/100000,"")</f>
        <v/>
      </c>
      <c r="AF14" s="1" t="str">
        <f aca="false">IF(AND(ISNUMBER(E14),F14&lt;&gt;TRUE(),'My Colleges'!$T14&lt;&gt;"Submitted",'My Colleges'!$T14&lt;&gt;"Complete in portal"),E14+ROW()/1000+2/100000,"")</f>
        <v/>
      </c>
      <c r="AG14" s="1" t="str">
        <f aca="false">IF(AND(ISNUMBER(G14),H14&lt;&gt;TRUE(),'My Colleges'!$T14&lt;&gt;"Submitted",'My Colleges'!$T14&lt;&gt;"Complete in portal"),G14+ROW()/1000+3/100000,"")</f>
        <v/>
      </c>
      <c r="AH14" s="1" t="str">
        <f aca="false">IF(AND(ISNUMBER(I14),J14&lt;&gt;TRUE(),'My Colleges'!$T14&lt;&gt;"Submitted",'My Colleges'!$T14&lt;&gt;"Complete in portal"),I14+ROW()/1000+4/100000,"")</f>
        <v/>
      </c>
      <c r="AI14" s="1" t="str">
        <f aca="false">IF(AND(ISNUMBER(K14),L14&lt;&gt;TRUE(),'My Colleges'!$T14&lt;&gt;"Submitted",'My Colleges'!$T14&lt;&gt;"Complete in portal"),K14+ROW()/1000+5/100000,"")</f>
        <v/>
      </c>
      <c r="AJ14" s="1" t="str">
        <f aca="false">IF(AND(ISNUMBER(M14),N14&lt;&gt;TRUE(),'My Colleges'!$T14&lt;&gt;"Submitted",'My Colleges'!$T14&lt;&gt;"Complete in portal"),M14+ROW()/1000+6/100000,"")</f>
        <v/>
      </c>
      <c r="AK14" s="1" t="str">
        <f aca="false">IF(AND(ISNUMBER(O14),P14&lt;&gt;TRUE(),'My Colleges'!$T14&lt;&gt;"Submitted",'My Colleges'!$T14&lt;&gt;"Complete in portal"),O14+ROW()/1000+7/100000,"")</f>
        <v/>
      </c>
      <c r="AL14" s="1" t="str">
        <f aca="false">IF(AND(ISNUMBER(Q14),R14&lt;&gt;TRUE(),'My Colleges'!$T14&lt;&gt;"Submitted",'My Colleges'!$T14&lt;&gt;"Complete in portal"),Q14+ROW()/1000+8/100000,"")</f>
        <v/>
      </c>
      <c r="AM14" s="1" t="str">
        <f aca="false">IF(AND(ISNUMBER(S14),T14&lt;&gt;TRUE()),S14+ROW()/1000+9/100000,"")</f>
        <v/>
      </c>
      <c r="AN14" s="1" t="str">
        <f aca="false">IF(AND(ISNUMBER(U14),V14&lt;&gt;TRUE()),U14+ROW()/1000+10/100000,"")</f>
        <v/>
      </c>
      <c r="AO14" s="1" t="str">
        <f aca="false">IF(AND(ISNUMBER(W14),X14&lt;&gt;TRUE()),W14+ROW()/1000+11/100000,"")</f>
        <v/>
      </c>
      <c r="AP14" s="1" t="str">
        <f aca="false">IF(AND(ISNUMBER(Y14),Z14&lt;&gt;TRUE(),ISNUMBER(SEARCH("requir",'My Colleges'!$AC14))+ISNUMBER(SEARCH("evaluat",'My Colleges'!$AC14))&gt;0),Y14+ROW()/1000+12/100000,"")</f>
        <v/>
      </c>
    </row>
    <row r="15" customFormat="false" ht="15" hidden="false" customHeight="true" outlineLevel="0" collapsed="false">
      <c r="A15" s="27" t="str">
        <f aca="false">IF('My Colleges'!$B15="","",'My Colleges'!$B15)</f>
        <v/>
      </c>
      <c r="B15" s="40" t="str">
        <f aca="false">IF($A15="","",IF('My Colleges'!$V15="No","Dropped",'My Colleges'!$I15))</f>
        <v/>
      </c>
      <c r="C15" s="40" t="str">
        <f aca="false">IF(OR($A15="",NOT(ISNUMBER($B15))),"",IF(TRUE(),MAX($B15-35,MIN(Summary!$B$8+7,$B15-3)),"n/a"))</f>
        <v/>
      </c>
      <c r="D15" s="23" t="b">
        <f aca="false">FALSE()</f>
        <v>0</v>
      </c>
      <c r="E15" s="40" t="str">
        <f aca="false">IF(OR($A15="",NOT(ISNUMBER($B15))),"",IF(NOT(OR('My Colleges'!$O15="None",'My Colleges'!$O15="None required")),MAX($B15-21,MIN(Summary!$B$8+7,$B15-3)),"n/a"))</f>
        <v/>
      </c>
      <c r="F15" s="23" t="b">
        <f aca="false">FALSE()</f>
        <v>0</v>
      </c>
      <c r="G15" s="40" t="str">
        <f aca="false">IF(OR($A15="",NOT(ISNUMBER($B15))),"",IF(NOT(AND(ISNUMBER('My Colleges'!$P15),'My Colleges'!$P15=0)),MAX($B15-28,MIN(Summary!$B$8+7,$B15-3)),"n/a"))</f>
        <v/>
      </c>
      <c r="H15" s="23" t="b">
        <f aca="false">FALSE()</f>
        <v>0</v>
      </c>
      <c r="I15" s="40" t="str">
        <f aca="false">IF(OR($A15="",NOT(ISNUMBER($B15))),"",IF(NOT(AND(ISNUMBER('My Colleges'!$P15),'My Colleges'!$P15=0)),MAX($B15-10,MIN(Summary!$B$8+7,$B15-3)),"n/a"))</f>
        <v/>
      </c>
      <c r="J15" s="23" t="b">
        <f aca="false">FALSE()</f>
        <v>0</v>
      </c>
      <c r="K15" s="40" t="str">
        <f aca="false">IF(OR($A15="",NOT(ISNUMBER($B15))),"",IF(TRUE(),MAX($B15-14,MIN(Summary!$B$8+7,$B15-3)),"n/a"))</f>
        <v/>
      </c>
      <c r="L15" s="23" t="b">
        <f aca="false">FALSE()</f>
        <v>0</v>
      </c>
      <c r="M15" s="40" t="str">
        <f aca="false">IF(OR($A15="",NOT(ISNUMBER($B15))),"",IF(AND('My Colleges'!$N15&lt;&gt;"Blind",OR('My Colleges'!$N15="Required",ISNUMBER(Me!$B$13),ISNUMBER(Me!$B$14))),MAX($B15-14,MIN(Summary!$B$8+7,$B15-3)),"n/a"))</f>
        <v/>
      </c>
      <c r="N15" s="23" t="b">
        <f aca="false">FALSE()</f>
        <v>0</v>
      </c>
      <c r="O15" s="40" t="str">
        <f aca="false">IF(OR($A15="",NOT(ISNUMBER($B15))),"",IF(NOT(AND(ISNUMBER('My Colleges'!$L15),'My Colleges'!$L15=0)),MAX($B15-5,MIN(Summary!$B$8+7,$B15-3)),"n/a"))</f>
        <v/>
      </c>
      <c r="P15" s="23" t="b">
        <f aca="false">FALSE()</f>
        <v>0</v>
      </c>
      <c r="Q15" s="40" t="str">
        <f aca="false">IF(OR($A15="",NOT(ISNUMBER($B15))),"",IF(TRUE(),$B15-3,"n/a"))</f>
        <v/>
      </c>
      <c r="R15" s="23" t="b">
        <f aca="false">FALSE()</f>
        <v>0</v>
      </c>
      <c r="S15" s="40" t="str">
        <f aca="false">IF(OR($A15="",NOT(ISNUMBER($B15))),"",IF(ISNUMBER('My Colleges'!$H15),MAX('My Colleges'!$H15-7,MIN(Summary!$B$8+7,'My Colleges'!$H15-3)),"n/a"))</f>
        <v/>
      </c>
      <c r="T15" s="23" t="b">
        <f aca="false">FALSE()</f>
        <v>0</v>
      </c>
      <c r="U15" s="40" t="str">
        <f aca="false">IF(OR($A15="",NOT(ISNUMBER($B15))),"",IF(LEFT('My Colleges'!$AB15,8)="Required",MAX($B15-7,MIN(Summary!$B$8+7,$B15-3)),"n/a"))</f>
        <v/>
      </c>
      <c r="V15" s="23" t="b">
        <f aca="false">FALSE()</f>
        <v>0</v>
      </c>
      <c r="W15" s="40" t="str">
        <f aca="false">IF(OR($A15="",NOT(ISNUMBER($B15))),"",IF(TRUE(),$B15+10,"n/a"))</f>
        <v/>
      </c>
      <c r="X15" s="23" t="b">
        <f aca="false">FALSE()</f>
        <v>0</v>
      </c>
      <c r="Y15" s="40" t="str">
        <f aca="false">IF(OR($A15="",NOT(ISNUMBER($B15))),"",IF('My Colleges'!$AC15&lt;&gt;"",$B15+21,"n/a"))</f>
        <v/>
      </c>
      <c r="Z15" s="23" t="b">
        <f aca="false">FALSE()</f>
        <v>0</v>
      </c>
      <c r="AA15" s="26" t="str">
        <f aca="false">IF($A15="","",AB15-COUNT($AE15:$AO15))</f>
        <v/>
      </c>
      <c r="AB15" s="26" t="str">
        <f aca="false">IF($A15="","",SUMPRODUCT((MOD(COLUMN($C15:$X15)-COLUMN($C15),2)=0)*ISNUMBER($C15:$X15)))</f>
        <v/>
      </c>
      <c r="AC15" s="26" t="str">
        <f aca="false">IF($A15="","",IF($B15="Dropped","Dropped",IF(NOT(ISNUMBER($B15)),"Set a deadline on My Colleges",IF(COUNT($AE15:$AP15)=0,"All steps done",INDEX($AE$6:$AP$6,MATCH(MIN($AE15:$AP15),$AE15:$AP15,0))))))</f>
        <v/>
      </c>
      <c r="AD15" s="29" t="str">
        <f aca="false">IF(COUNT($AE15:$AP15)=0,"",INT(MIN($AE15:$AP15)))</f>
        <v/>
      </c>
      <c r="AE15" s="1" t="str">
        <f aca="false">IF(AND(ISNUMBER(C15),D15&lt;&gt;TRUE(),'My Colleges'!$T15&lt;&gt;"Submitted",'My Colleges'!$T15&lt;&gt;"Complete in portal"),C15+ROW()/1000+1/100000,"")</f>
        <v/>
      </c>
      <c r="AF15" s="1" t="str">
        <f aca="false">IF(AND(ISNUMBER(E15),F15&lt;&gt;TRUE(),'My Colleges'!$T15&lt;&gt;"Submitted",'My Colleges'!$T15&lt;&gt;"Complete in portal"),E15+ROW()/1000+2/100000,"")</f>
        <v/>
      </c>
      <c r="AG15" s="1" t="str">
        <f aca="false">IF(AND(ISNUMBER(G15),H15&lt;&gt;TRUE(),'My Colleges'!$T15&lt;&gt;"Submitted",'My Colleges'!$T15&lt;&gt;"Complete in portal"),G15+ROW()/1000+3/100000,"")</f>
        <v/>
      </c>
      <c r="AH15" s="1" t="str">
        <f aca="false">IF(AND(ISNUMBER(I15),J15&lt;&gt;TRUE(),'My Colleges'!$T15&lt;&gt;"Submitted",'My Colleges'!$T15&lt;&gt;"Complete in portal"),I15+ROW()/1000+4/100000,"")</f>
        <v/>
      </c>
      <c r="AI15" s="1" t="str">
        <f aca="false">IF(AND(ISNUMBER(K15),L15&lt;&gt;TRUE(),'My Colleges'!$T15&lt;&gt;"Submitted",'My Colleges'!$T15&lt;&gt;"Complete in portal"),K15+ROW()/1000+5/100000,"")</f>
        <v/>
      </c>
      <c r="AJ15" s="1" t="str">
        <f aca="false">IF(AND(ISNUMBER(M15),N15&lt;&gt;TRUE(),'My Colleges'!$T15&lt;&gt;"Submitted",'My Colleges'!$T15&lt;&gt;"Complete in portal"),M15+ROW()/1000+6/100000,"")</f>
        <v/>
      </c>
      <c r="AK15" s="1" t="str">
        <f aca="false">IF(AND(ISNUMBER(O15),P15&lt;&gt;TRUE(),'My Colleges'!$T15&lt;&gt;"Submitted",'My Colleges'!$T15&lt;&gt;"Complete in portal"),O15+ROW()/1000+7/100000,"")</f>
        <v/>
      </c>
      <c r="AL15" s="1" t="str">
        <f aca="false">IF(AND(ISNUMBER(Q15),R15&lt;&gt;TRUE(),'My Colleges'!$T15&lt;&gt;"Submitted",'My Colleges'!$T15&lt;&gt;"Complete in portal"),Q15+ROW()/1000+8/100000,"")</f>
        <v/>
      </c>
      <c r="AM15" s="1" t="str">
        <f aca="false">IF(AND(ISNUMBER(S15),T15&lt;&gt;TRUE()),S15+ROW()/1000+9/100000,"")</f>
        <v/>
      </c>
      <c r="AN15" s="1" t="str">
        <f aca="false">IF(AND(ISNUMBER(U15),V15&lt;&gt;TRUE()),U15+ROW()/1000+10/100000,"")</f>
        <v/>
      </c>
      <c r="AO15" s="1" t="str">
        <f aca="false">IF(AND(ISNUMBER(W15),X15&lt;&gt;TRUE()),W15+ROW()/1000+11/100000,"")</f>
        <v/>
      </c>
      <c r="AP15" s="1" t="str">
        <f aca="false">IF(AND(ISNUMBER(Y15),Z15&lt;&gt;TRUE(),ISNUMBER(SEARCH("requir",'My Colleges'!$AC15))+ISNUMBER(SEARCH("evaluat",'My Colleges'!$AC15))&gt;0),Y15+ROW()/1000+12/100000,"")</f>
        <v/>
      </c>
    </row>
    <row r="16" customFormat="false" ht="15" hidden="false" customHeight="true" outlineLevel="0" collapsed="false">
      <c r="A16" s="27" t="str">
        <f aca="false">IF('My Colleges'!$B16="","",'My Colleges'!$B16)</f>
        <v/>
      </c>
      <c r="B16" s="40" t="str">
        <f aca="false">IF($A16="","",IF('My Colleges'!$V16="No","Dropped",'My Colleges'!$I16))</f>
        <v/>
      </c>
      <c r="C16" s="40" t="str">
        <f aca="false">IF(OR($A16="",NOT(ISNUMBER($B16))),"",IF(TRUE(),MAX($B16-35,MIN(Summary!$B$8+7,$B16-3)),"n/a"))</f>
        <v/>
      </c>
      <c r="D16" s="23" t="b">
        <f aca="false">FALSE()</f>
        <v>0</v>
      </c>
      <c r="E16" s="40" t="str">
        <f aca="false">IF(OR($A16="",NOT(ISNUMBER($B16))),"",IF(NOT(OR('My Colleges'!$O16="None",'My Colleges'!$O16="None required")),MAX($B16-21,MIN(Summary!$B$8+7,$B16-3)),"n/a"))</f>
        <v/>
      </c>
      <c r="F16" s="23" t="b">
        <f aca="false">FALSE()</f>
        <v>0</v>
      </c>
      <c r="G16" s="40" t="str">
        <f aca="false">IF(OR($A16="",NOT(ISNUMBER($B16))),"",IF(NOT(AND(ISNUMBER('My Colleges'!$P16),'My Colleges'!$P16=0)),MAX($B16-28,MIN(Summary!$B$8+7,$B16-3)),"n/a"))</f>
        <v/>
      </c>
      <c r="H16" s="23" t="b">
        <f aca="false">FALSE()</f>
        <v>0</v>
      </c>
      <c r="I16" s="40" t="str">
        <f aca="false">IF(OR($A16="",NOT(ISNUMBER($B16))),"",IF(NOT(AND(ISNUMBER('My Colleges'!$P16),'My Colleges'!$P16=0)),MAX($B16-10,MIN(Summary!$B$8+7,$B16-3)),"n/a"))</f>
        <v/>
      </c>
      <c r="J16" s="23" t="b">
        <f aca="false">FALSE()</f>
        <v>0</v>
      </c>
      <c r="K16" s="40" t="str">
        <f aca="false">IF(OR($A16="",NOT(ISNUMBER($B16))),"",IF(TRUE(),MAX($B16-14,MIN(Summary!$B$8+7,$B16-3)),"n/a"))</f>
        <v/>
      </c>
      <c r="L16" s="23" t="b">
        <f aca="false">FALSE()</f>
        <v>0</v>
      </c>
      <c r="M16" s="40" t="str">
        <f aca="false">IF(OR($A16="",NOT(ISNUMBER($B16))),"",IF(AND('My Colleges'!$N16&lt;&gt;"Blind",OR('My Colleges'!$N16="Required",ISNUMBER(Me!$B$13),ISNUMBER(Me!$B$14))),MAX($B16-14,MIN(Summary!$B$8+7,$B16-3)),"n/a"))</f>
        <v/>
      </c>
      <c r="N16" s="23" t="b">
        <f aca="false">FALSE()</f>
        <v>0</v>
      </c>
      <c r="O16" s="40" t="str">
        <f aca="false">IF(OR($A16="",NOT(ISNUMBER($B16))),"",IF(NOT(AND(ISNUMBER('My Colleges'!$L16),'My Colleges'!$L16=0)),MAX($B16-5,MIN(Summary!$B$8+7,$B16-3)),"n/a"))</f>
        <v/>
      </c>
      <c r="P16" s="23" t="b">
        <f aca="false">FALSE()</f>
        <v>0</v>
      </c>
      <c r="Q16" s="40" t="str">
        <f aca="false">IF(OR($A16="",NOT(ISNUMBER($B16))),"",IF(TRUE(),$B16-3,"n/a"))</f>
        <v/>
      </c>
      <c r="R16" s="23" t="b">
        <f aca="false">FALSE()</f>
        <v>0</v>
      </c>
      <c r="S16" s="40" t="str">
        <f aca="false">IF(OR($A16="",NOT(ISNUMBER($B16))),"",IF(ISNUMBER('My Colleges'!$H16),MAX('My Colleges'!$H16-7,MIN(Summary!$B$8+7,'My Colleges'!$H16-3)),"n/a"))</f>
        <v/>
      </c>
      <c r="T16" s="23" t="b">
        <f aca="false">FALSE()</f>
        <v>0</v>
      </c>
      <c r="U16" s="40" t="str">
        <f aca="false">IF(OR($A16="",NOT(ISNUMBER($B16))),"",IF(LEFT('My Colleges'!$AB16,8)="Required",MAX($B16-7,MIN(Summary!$B$8+7,$B16-3)),"n/a"))</f>
        <v/>
      </c>
      <c r="V16" s="23" t="b">
        <f aca="false">FALSE()</f>
        <v>0</v>
      </c>
      <c r="W16" s="40" t="str">
        <f aca="false">IF(OR($A16="",NOT(ISNUMBER($B16))),"",IF(TRUE(),$B16+10,"n/a"))</f>
        <v/>
      </c>
      <c r="X16" s="23" t="b">
        <f aca="false">FALSE()</f>
        <v>0</v>
      </c>
      <c r="Y16" s="40" t="str">
        <f aca="false">IF(OR($A16="",NOT(ISNUMBER($B16))),"",IF('My Colleges'!$AC16&lt;&gt;"",$B16+21,"n/a"))</f>
        <v/>
      </c>
      <c r="Z16" s="23" t="b">
        <f aca="false">FALSE()</f>
        <v>0</v>
      </c>
      <c r="AA16" s="26" t="str">
        <f aca="false">IF($A16="","",AB16-COUNT($AE16:$AO16))</f>
        <v/>
      </c>
      <c r="AB16" s="26" t="str">
        <f aca="false">IF($A16="","",SUMPRODUCT((MOD(COLUMN($C16:$X16)-COLUMN($C16),2)=0)*ISNUMBER($C16:$X16)))</f>
        <v/>
      </c>
      <c r="AC16" s="26" t="str">
        <f aca="false">IF($A16="","",IF($B16="Dropped","Dropped",IF(NOT(ISNUMBER($B16)),"Set a deadline on My Colleges",IF(COUNT($AE16:$AP16)=0,"All steps done",INDEX($AE$6:$AP$6,MATCH(MIN($AE16:$AP16),$AE16:$AP16,0))))))</f>
        <v/>
      </c>
      <c r="AD16" s="29" t="str">
        <f aca="false">IF(COUNT($AE16:$AP16)=0,"",INT(MIN($AE16:$AP16)))</f>
        <v/>
      </c>
      <c r="AE16" s="1" t="str">
        <f aca="false">IF(AND(ISNUMBER(C16),D16&lt;&gt;TRUE(),'My Colleges'!$T16&lt;&gt;"Submitted",'My Colleges'!$T16&lt;&gt;"Complete in portal"),C16+ROW()/1000+1/100000,"")</f>
        <v/>
      </c>
      <c r="AF16" s="1" t="str">
        <f aca="false">IF(AND(ISNUMBER(E16),F16&lt;&gt;TRUE(),'My Colleges'!$T16&lt;&gt;"Submitted",'My Colleges'!$T16&lt;&gt;"Complete in portal"),E16+ROW()/1000+2/100000,"")</f>
        <v/>
      </c>
      <c r="AG16" s="1" t="str">
        <f aca="false">IF(AND(ISNUMBER(G16),H16&lt;&gt;TRUE(),'My Colleges'!$T16&lt;&gt;"Submitted",'My Colleges'!$T16&lt;&gt;"Complete in portal"),G16+ROW()/1000+3/100000,"")</f>
        <v/>
      </c>
      <c r="AH16" s="1" t="str">
        <f aca="false">IF(AND(ISNUMBER(I16),J16&lt;&gt;TRUE(),'My Colleges'!$T16&lt;&gt;"Submitted",'My Colleges'!$T16&lt;&gt;"Complete in portal"),I16+ROW()/1000+4/100000,"")</f>
        <v/>
      </c>
      <c r="AI16" s="1" t="str">
        <f aca="false">IF(AND(ISNUMBER(K16),L16&lt;&gt;TRUE(),'My Colleges'!$T16&lt;&gt;"Submitted",'My Colleges'!$T16&lt;&gt;"Complete in portal"),K16+ROW()/1000+5/100000,"")</f>
        <v/>
      </c>
      <c r="AJ16" s="1" t="str">
        <f aca="false">IF(AND(ISNUMBER(M16),N16&lt;&gt;TRUE(),'My Colleges'!$T16&lt;&gt;"Submitted",'My Colleges'!$T16&lt;&gt;"Complete in portal"),M16+ROW()/1000+6/100000,"")</f>
        <v/>
      </c>
      <c r="AK16" s="1" t="str">
        <f aca="false">IF(AND(ISNUMBER(O16),P16&lt;&gt;TRUE(),'My Colleges'!$T16&lt;&gt;"Submitted",'My Colleges'!$T16&lt;&gt;"Complete in portal"),O16+ROW()/1000+7/100000,"")</f>
        <v/>
      </c>
      <c r="AL16" s="1" t="str">
        <f aca="false">IF(AND(ISNUMBER(Q16),R16&lt;&gt;TRUE(),'My Colleges'!$T16&lt;&gt;"Submitted",'My Colleges'!$T16&lt;&gt;"Complete in portal"),Q16+ROW()/1000+8/100000,"")</f>
        <v/>
      </c>
      <c r="AM16" s="1" t="str">
        <f aca="false">IF(AND(ISNUMBER(S16),T16&lt;&gt;TRUE()),S16+ROW()/1000+9/100000,"")</f>
        <v/>
      </c>
      <c r="AN16" s="1" t="str">
        <f aca="false">IF(AND(ISNUMBER(U16),V16&lt;&gt;TRUE()),U16+ROW()/1000+10/100000,"")</f>
        <v/>
      </c>
      <c r="AO16" s="1" t="str">
        <f aca="false">IF(AND(ISNUMBER(W16),X16&lt;&gt;TRUE()),W16+ROW()/1000+11/100000,"")</f>
        <v/>
      </c>
      <c r="AP16" s="1" t="str">
        <f aca="false">IF(AND(ISNUMBER(Y16),Z16&lt;&gt;TRUE(),ISNUMBER(SEARCH("requir",'My Colleges'!$AC16))+ISNUMBER(SEARCH("evaluat",'My Colleges'!$AC16))&gt;0),Y16+ROW()/1000+12/100000,"")</f>
        <v/>
      </c>
    </row>
    <row r="17" customFormat="false" ht="15" hidden="false" customHeight="true" outlineLevel="0" collapsed="false">
      <c r="A17" s="27" t="str">
        <f aca="false">IF('My Colleges'!$B17="","",'My Colleges'!$B17)</f>
        <v/>
      </c>
      <c r="B17" s="40" t="str">
        <f aca="false">IF($A17="","",IF('My Colleges'!$V17="No","Dropped",'My Colleges'!$I17))</f>
        <v/>
      </c>
      <c r="C17" s="40" t="str">
        <f aca="false">IF(OR($A17="",NOT(ISNUMBER($B17))),"",IF(TRUE(),MAX($B17-35,MIN(Summary!$B$8+7,$B17-3)),"n/a"))</f>
        <v/>
      </c>
      <c r="D17" s="23" t="b">
        <f aca="false">FALSE()</f>
        <v>0</v>
      </c>
      <c r="E17" s="40" t="str">
        <f aca="false">IF(OR($A17="",NOT(ISNUMBER($B17))),"",IF(NOT(OR('My Colleges'!$O17="None",'My Colleges'!$O17="None required")),MAX($B17-21,MIN(Summary!$B$8+7,$B17-3)),"n/a"))</f>
        <v/>
      </c>
      <c r="F17" s="23" t="b">
        <f aca="false">FALSE()</f>
        <v>0</v>
      </c>
      <c r="G17" s="40" t="str">
        <f aca="false">IF(OR($A17="",NOT(ISNUMBER($B17))),"",IF(NOT(AND(ISNUMBER('My Colleges'!$P17),'My Colleges'!$P17=0)),MAX($B17-28,MIN(Summary!$B$8+7,$B17-3)),"n/a"))</f>
        <v/>
      </c>
      <c r="H17" s="23" t="b">
        <f aca="false">FALSE()</f>
        <v>0</v>
      </c>
      <c r="I17" s="40" t="str">
        <f aca="false">IF(OR($A17="",NOT(ISNUMBER($B17))),"",IF(NOT(AND(ISNUMBER('My Colleges'!$P17),'My Colleges'!$P17=0)),MAX($B17-10,MIN(Summary!$B$8+7,$B17-3)),"n/a"))</f>
        <v/>
      </c>
      <c r="J17" s="23" t="b">
        <f aca="false">FALSE()</f>
        <v>0</v>
      </c>
      <c r="K17" s="40" t="str">
        <f aca="false">IF(OR($A17="",NOT(ISNUMBER($B17))),"",IF(TRUE(),MAX($B17-14,MIN(Summary!$B$8+7,$B17-3)),"n/a"))</f>
        <v/>
      </c>
      <c r="L17" s="23" t="b">
        <f aca="false">FALSE()</f>
        <v>0</v>
      </c>
      <c r="M17" s="40" t="str">
        <f aca="false">IF(OR($A17="",NOT(ISNUMBER($B17))),"",IF(AND('My Colleges'!$N17&lt;&gt;"Blind",OR('My Colleges'!$N17="Required",ISNUMBER(Me!$B$13),ISNUMBER(Me!$B$14))),MAX($B17-14,MIN(Summary!$B$8+7,$B17-3)),"n/a"))</f>
        <v/>
      </c>
      <c r="N17" s="23" t="b">
        <f aca="false">FALSE()</f>
        <v>0</v>
      </c>
      <c r="O17" s="40" t="str">
        <f aca="false">IF(OR($A17="",NOT(ISNUMBER($B17))),"",IF(NOT(AND(ISNUMBER('My Colleges'!$L17),'My Colleges'!$L17=0)),MAX($B17-5,MIN(Summary!$B$8+7,$B17-3)),"n/a"))</f>
        <v/>
      </c>
      <c r="P17" s="23" t="b">
        <f aca="false">FALSE()</f>
        <v>0</v>
      </c>
      <c r="Q17" s="40" t="str">
        <f aca="false">IF(OR($A17="",NOT(ISNUMBER($B17))),"",IF(TRUE(),$B17-3,"n/a"))</f>
        <v/>
      </c>
      <c r="R17" s="23" t="b">
        <f aca="false">FALSE()</f>
        <v>0</v>
      </c>
      <c r="S17" s="40" t="str">
        <f aca="false">IF(OR($A17="",NOT(ISNUMBER($B17))),"",IF(ISNUMBER('My Colleges'!$H17),MAX('My Colleges'!$H17-7,MIN(Summary!$B$8+7,'My Colleges'!$H17-3)),"n/a"))</f>
        <v/>
      </c>
      <c r="T17" s="23" t="b">
        <f aca="false">FALSE()</f>
        <v>0</v>
      </c>
      <c r="U17" s="40" t="str">
        <f aca="false">IF(OR($A17="",NOT(ISNUMBER($B17))),"",IF(LEFT('My Colleges'!$AB17,8)="Required",MAX($B17-7,MIN(Summary!$B$8+7,$B17-3)),"n/a"))</f>
        <v/>
      </c>
      <c r="V17" s="23" t="b">
        <f aca="false">FALSE()</f>
        <v>0</v>
      </c>
      <c r="W17" s="40" t="str">
        <f aca="false">IF(OR($A17="",NOT(ISNUMBER($B17))),"",IF(TRUE(),$B17+10,"n/a"))</f>
        <v/>
      </c>
      <c r="X17" s="23" t="b">
        <f aca="false">FALSE()</f>
        <v>0</v>
      </c>
      <c r="Y17" s="40" t="str">
        <f aca="false">IF(OR($A17="",NOT(ISNUMBER($B17))),"",IF('My Colleges'!$AC17&lt;&gt;"",$B17+21,"n/a"))</f>
        <v/>
      </c>
      <c r="Z17" s="23" t="b">
        <f aca="false">FALSE()</f>
        <v>0</v>
      </c>
      <c r="AA17" s="26" t="str">
        <f aca="false">IF($A17="","",AB17-COUNT($AE17:$AO17))</f>
        <v/>
      </c>
      <c r="AB17" s="26" t="str">
        <f aca="false">IF($A17="","",SUMPRODUCT((MOD(COLUMN($C17:$X17)-COLUMN($C17),2)=0)*ISNUMBER($C17:$X17)))</f>
        <v/>
      </c>
      <c r="AC17" s="26" t="str">
        <f aca="false">IF($A17="","",IF($B17="Dropped","Dropped",IF(NOT(ISNUMBER($B17)),"Set a deadline on My Colleges",IF(COUNT($AE17:$AP17)=0,"All steps done",INDEX($AE$6:$AP$6,MATCH(MIN($AE17:$AP17),$AE17:$AP17,0))))))</f>
        <v/>
      </c>
      <c r="AD17" s="29" t="str">
        <f aca="false">IF(COUNT($AE17:$AP17)=0,"",INT(MIN($AE17:$AP17)))</f>
        <v/>
      </c>
      <c r="AE17" s="1" t="str">
        <f aca="false">IF(AND(ISNUMBER(C17),D17&lt;&gt;TRUE(),'My Colleges'!$T17&lt;&gt;"Submitted",'My Colleges'!$T17&lt;&gt;"Complete in portal"),C17+ROW()/1000+1/100000,"")</f>
        <v/>
      </c>
      <c r="AF17" s="1" t="str">
        <f aca="false">IF(AND(ISNUMBER(E17),F17&lt;&gt;TRUE(),'My Colleges'!$T17&lt;&gt;"Submitted",'My Colleges'!$T17&lt;&gt;"Complete in portal"),E17+ROW()/1000+2/100000,"")</f>
        <v/>
      </c>
      <c r="AG17" s="1" t="str">
        <f aca="false">IF(AND(ISNUMBER(G17),H17&lt;&gt;TRUE(),'My Colleges'!$T17&lt;&gt;"Submitted",'My Colleges'!$T17&lt;&gt;"Complete in portal"),G17+ROW()/1000+3/100000,"")</f>
        <v/>
      </c>
      <c r="AH17" s="1" t="str">
        <f aca="false">IF(AND(ISNUMBER(I17),J17&lt;&gt;TRUE(),'My Colleges'!$T17&lt;&gt;"Submitted",'My Colleges'!$T17&lt;&gt;"Complete in portal"),I17+ROW()/1000+4/100000,"")</f>
        <v/>
      </c>
      <c r="AI17" s="1" t="str">
        <f aca="false">IF(AND(ISNUMBER(K17),L17&lt;&gt;TRUE(),'My Colleges'!$T17&lt;&gt;"Submitted",'My Colleges'!$T17&lt;&gt;"Complete in portal"),K17+ROW()/1000+5/100000,"")</f>
        <v/>
      </c>
      <c r="AJ17" s="1" t="str">
        <f aca="false">IF(AND(ISNUMBER(M17),N17&lt;&gt;TRUE(),'My Colleges'!$T17&lt;&gt;"Submitted",'My Colleges'!$T17&lt;&gt;"Complete in portal"),M17+ROW()/1000+6/100000,"")</f>
        <v/>
      </c>
      <c r="AK17" s="1" t="str">
        <f aca="false">IF(AND(ISNUMBER(O17),P17&lt;&gt;TRUE(),'My Colleges'!$T17&lt;&gt;"Submitted",'My Colleges'!$T17&lt;&gt;"Complete in portal"),O17+ROW()/1000+7/100000,"")</f>
        <v/>
      </c>
      <c r="AL17" s="1" t="str">
        <f aca="false">IF(AND(ISNUMBER(Q17),R17&lt;&gt;TRUE(),'My Colleges'!$T17&lt;&gt;"Submitted",'My Colleges'!$T17&lt;&gt;"Complete in portal"),Q17+ROW()/1000+8/100000,"")</f>
        <v/>
      </c>
      <c r="AM17" s="1" t="str">
        <f aca="false">IF(AND(ISNUMBER(S17),T17&lt;&gt;TRUE()),S17+ROW()/1000+9/100000,"")</f>
        <v/>
      </c>
      <c r="AN17" s="1" t="str">
        <f aca="false">IF(AND(ISNUMBER(U17),V17&lt;&gt;TRUE()),U17+ROW()/1000+10/100000,"")</f>
        <v/>
      </c>
      <c r="AO17" s="1" t="str">
        <f aca="false">IF(AND(ISNUMBER(W17),X17&lt;&gt;TRUE()),W17+ROW()/1000+11/100000,"")</f>
        <v/>
      </c>
      <c r="AP17" s="1" t="str">
        <f aca="false">IF(AND(ISNUMBER(Y17),Z17&lt;&gt;TRUE(),ISNUMBER(SEARCH("requir",'My Colleges'!$AC17))+ISNUMBER(SEARCH("evaluat",'My Colleges'!$AC17))&gt;0),Y17+ROW()/1000+12/100000,"")</f>
        <v/>
      </c>
    </row>
    <row r="18" customFormat="false" ht="15" hidden="false" customHeight="true" outlineLevel="0" collapsed="false">
      <c r="A18" s="27" t="str">
        <f aca="false">IF('My Colleges'!$B18="","",'My Colleges'!$B18)</f>
        <v/>
      </c>
      <c r="B18" s="40" t="str">
        <f aca="false">IF($A18="","",IF('My Colleges'!$V18="No","Dropped",'My Colleges'!$I18))</f>
        <v/>
      </c>
      <c r="C18" s="40" t="str">
        <f aca="false">IF(OR($A18="",NOT(ISNUMBER($B18))),"",IF(TRUE(),MAX($B18-35,MIN(Summary!$B$8+7,$B18-3)),"n/a"))</f>
        <v/>
      </c>
      <c r="D18" s="23" t="b">
        <f aca="false">FALSE()</f>
        <v>0</v>
      </c>
      <c r="E18" s="40" t="str">
        <f aca="false">IF(OR($A18="",NOT(ISNUMBER($B18))),"",IF(NOT(OR('My Colleges'!$O18="None",'My Colleges'!$O18="None required")),MAX($B18-21,MIN(Summary!$B$8+7,$B18-3)),"n/a"))</f>
        <v/>
      </c>
      <c r="F18" s="23" t="b">
        <f aca="false">FALSE()</f>
        <v>0</v>
      </c>
      <c r="G18" s="40" t="str">
        <f aca="false">IF(OR($A18="",NOT(ISNUMBER($B18))),"",IF(NOT(AND(ISNUMBER('My Colleges'!$P18),'My Colleges'!$P18=0)),MAX($B18-28,MIN(Summary!$B$8+7,$B18-3)),"n/a"))</f>
        <v/>
      </c>
      <c r="H18" s="23" t="b">
        <f aca="false">FALSE()</f>
        <v>0</v>
      </c>
      <c r="I18" s="40" t="str">
        <f aca="false">IF(OR($A18="",NOT(ISNUMBER($B18))),"",IF(NOT(AND(ISNUMBER('My Colleges'!$P18),'My Colleges'!$P18=0)),MAX($B18-10,MIN(Summary!$B$8+7,$B18-3)),"n/a"))</f>
        <v/>
      </c>
      <c r="J18" s="23" t="b">
        <f aca="false">FALSE()</f>
        <v>0</v>
      </c>
      <c r="K18" s="40" t="str">
        <f aca="false">IF(OR($A18="",NOT(ISNUMBER($B18))),"",IF(TRUE(),MAX($B18-14,MIN(Summary!$B$8+7,$B18-3)),"n/a"))</f>
        <v/>
      </c>
      <c r="L18" s="23" t="b">
        <f aca="false">FALSE()</f>
        <v>0</v>
      </c>
      <c r="M18" s="40" t="str">
        <f aca="false">IF(OR($A18="",NOT(ISNUMBER($B18))),"",IF(AND('My Colleges'!$N18&lt;&gt;"Blind",OR('My Colleges'!$N18="Required",ISNUMBER(Me!$B$13),ISNUMBER(Me!$B$14))),MAX($B18-14,MIN(Summary!$B$8+7,$B18-3)),"n/a"))</f>
        <v/>
      </c>
      <c r="N18" s="23" t="b">
        <f aca="false">FALSE()</f>
        <v>0</v>
      </c>
      <c r="O18" s="40" t="str">
        <f aca="false">IF(OR($A18="",NOT(ISNUMBER($B18))),"",IF(NOT(AND(ISNUMBER('My Colleges'!$L18),'My Colleges'!$L18=0)),MAX($B18-5,MIN(Summary!$B$8+7,$B18-3)),"n/a"))</f>
        <v/>
      </c>
      <c r="P18" s="23" t="b">
        <f aca="false">FALSE()</f>
        <v>0</v>
      </c>
      <c r="Q18" s="40" t="str">
        <f aca="false">IF(OR($A18="",NOT(ISNUMBER($B18))),"",IF(TRUE(),$B18-3,"n/a"))</f>
        <v/>
      </c>
      <c r="R18" s="23" t="b">
        <f aca="false">FALSE()</f>
        <v>0</v>
      </c>
      <c r="S18" s="40" t="str">
        <f aca="false">IF(OR($A18="",NOT(ISNUMBER($B18))),"",IF(ISNUMBER('My Colleges'!$H18),MAX('My Colleges'!$H18-7,MIN(Summary!$B$8+7,'My Colleges'!$H18-3)),"n/a"))</f>
        <v/>
      </c>
      <c r="T18" s="23" t="b">
        <f aca="false">FALSE()</f>
        <v>0</v>
      </c>
      <c r="U18" s="40" t="str">
        <f aca="false">IF(OR($A18="",NOT(ISNUMBER($B18))),"",IF(LEFT('My Colleges'!$AB18,8)="Required",MAX($B18-7,MIN(Summary!$B$8+7,$B18-3)),"n/a"))</f>
        <v/>
      </c>
      <c r="V18" s="23" t="b">
        <f aca="false">FALSE()</f>
        <v>0</v>
      </c>
      <c r="W18" s="40" t="str">
        <f aca="false">IF(OR($A18="",NOT(ISNUMBER($B18))),"",IF(TRUE(),$B18+10,"n/a"))</f>
        <v/>
      </c>
      <c r="X18" s="23" t="b">
        <f aca="false">FALSE()</f>
        <v>0</v>
      </c>
      <c r="Y18" s="40" t="str">
        <f aca="false">IF(OR($A18="",NOT(ISNUMBER($B18))),"",IF('My Colleges'!$AC18&lt;&gt;"",$B18+21,"n/a"))</f>
        <v/>
      </c>
      <c r="Z18" s="23" t="b">
        <f aca="false">FALSE()</f>
        <v>0</v>
      </c>
      <c r="AA18" s="26" t="str">
        <f aca="false">IF($A18="","",AB18-COUNT($AE18:$AO18))</f>
        <v/>
      </c>
      <c r="AB18" s="26" t="str">
        <f aca="false">IF($A18="","",SUMPRODUCT((MOD(COLUMN($C18:$X18)-COLUMN($C18),2)=0)*ISNUMBER($C18:$X18)))</f>
        <v/>
      </c>
      <c r="AC18" s="26" t="str">
        <f aca="false">IF($A18="","",IF($B18="Dropped","Dropped",IF(NOT(ISNUMBER($B18)),"Set a deadline on My Colleges",IF(COUNT($AE18:$AP18)=0,"All steps done",INDEX($AE$6:$AP$6,MATCH(MIN($AE18:$AP18),$AE18:$AP18,0))))))</f>
        <v/>
      </c>
      <c r="AD18" s="29" t="str">
        <f aca="false">IF(COUNT($AE18:$AP18)=0,"",INT(MIN($AE18:$AP18)))</f>
        <v/>
      </c>
      <c r="AE18" s="1" t="str">
        <f aca="false">IF(AND(ISNUMBER(C18),D18&lt;&gt;TRUE(),'My Colleges'!$T18&lt;&gt;"Submitted",'My Colleges'!$T18&lt;&gt;"Complete in portal"),C18+ROW()/1000+1/100000,"")</f>
        <v/>
      </c>
      <c r="AF18" s="1" t="str">
        <f aca="false">IF(AND(ISNUMBER(E18),F18&lt;&gt;TRUE(),'My Colleges'!$T18&lt;&gt;"Submitted",'My Colleges'!$T18&lt;&gt;"Complete in portal"),E18+ROW()/1000+2/100000,"")</f>
        <v/>
      </c>
      <c r="AG18" s="1" t="str">
        <f aca="false">IF(AND(ISNUMBER(G18),H18&lt;&gt;TRUE(),'My Colleges'!$T18&lt;&gt;"Submitted",'My Colleges'!$T18&lt;&gt;"Complete in portal"),G18+ROW()/1000+3/100000,"")</f>
        <v/>
      </c>
      <c r="AH18" s="1" t="str">
        <f aca="false">IF(AND(ISNUMBER(I18),J18&lt;&gt;TRUE(),'My Colleges'!$T18&lt;&gt;"Submitted",'My Colleges'!$T18&lt;&gt;"Complete in portal"),I18+ROW()/1000+4/100000,"")</f>
        <v/>
      </c>
      <c r="AI18" s="1" t="str">
        <f aca="false">IF(AND(ISNUMBER(K18),L18&lt;&gt;TRUE(),'My Colleges'!$T18&lt;&gt;"Submitted",'My Colleges'!$T18&lt;&gt;"Complete in portal"),K18+ROW()/1000+5/100000,"")</f>
        <v/>
      </c>
      <c r="AJ18" s="1" t="str">
        <f aca="false">IF(AND(ISNUMBER(M18),N18&lt;&gt;TRUE(),'My Colleges'!$T18&lt;&gt;"Submitted",'My Colleges'!$T18&lt;&gt;"Complete in portal"),M18+ROW()/1000+6/100000,"")</f>
        <v/>
      </c>
      <c r="AK18" s="1" t="str">
        <f aca="false">IF(AND(ISNUMBER(O18),P18&lt;&gt;TRUE(),'My Colleges'!$T18&lt;&gt;"Submitted",'My Colleges'!$T18&lt;&gt;"Complete in portal"),O18+ROW()/1000+7/100000,"")</f>
        <v/>
      </c>
      <c r="AL18" s="1" t="str">
        <f aca="false">IF(AND(ISNUMBER(Q18),R18&lt;&gt;TRUE(),'My Colleges'!$T18&lt;&gt;"Submitted",'My Colleges'!$T18&lt;&gt;"Complete in portal"),Q18+ROW()/1000+8/100000,"")</f>
        <v/>
      </c>
      <c r="AM18" s="1" t="str">
        <f aca="false">IF(AND(ISNUMBER(S18),T18&lt;&gt;TRUE()),S18+ROW()/1000+9/100000,"")</f>
        <v/>
      </c>
      <c r="AN18" s="1" t="str">
        <f aca="false">IF(AND(ISNUMBER(U18),V18&lt;&gt;TRUE()),U18+ROW()/1000+10/100000,"")</f>
        <v/>
      </c>
      <c r="AO18" s="1" t="str">
        <f aca="false">IF(AND(ISNUMBER(W18),X18&lt;&gt;TRUE()),W18+ROW()/1000+11/100000,"")</f>
        <v/>
      </c>
      <c r="AP18" s="1" t="str">
        <f aca="false">IF(AND(ISNUMBER(Y18),Z18&lt;&gt;TRUE(),ISNUMBER(SEARCH("requir",'My Colleges'!$AC18))+ISNUMBER(SEARCH("evaluat",'My Colleges'!$AC18))&gt;0),Y18+ROW()/1000+12/100000,"")</f>
        <v/>
      </c>
    </row>
    <row r="19" customFormat="false" ht="15" hidden="false" customHeight="true" outlineLevel="0" collapsed="false">
      <c r="A19" s="27" t="str">
        <f aca="false">IF('My Colleges'!$B19="","",'My Colleges'!$B19)</f>
        <v/>
      </c>
      <c r="B19" s="40" t="str">
        <f aca="false">IF($A19="","",IF('My Colleges'!$V19="No","Dropped",'My Colleges'!$I19))</f>
        <v/>
      </c>
      <c r="C19" s="40" t="str">
        <f aca="false">IF(OR($A19="",NOT(ISNUMBER($B19))),"",IF(TRUE(),MAX($B19-35,MIN(Summary!$B$8+7,$B19-3)),"n/a"))</f>
        <v/>
      </c>
      <c r="D19" s="23" t="b">
        <f aca="false">FALSE()</f>
        <v>0</v>
      </c>
      <c r="E19" s="40" t="str">
        <f aca="false">IF(OR($A19="",NOT(ISNUMBER($B19))),"",IF(NOT(OR('My Colleges'!$O19="None",'My Colleges'!$O19="None required")),MAX($B19-21,MIN(Summary!$B$8+7,$B19-3)),"n/a"))</f>
        <v/>
      </c>
      <c r="F19" s="23" t="b">
        <f aca="false">FALSE()</f>
        <v>0</v>
      </c>
      <c r="G19" s="40" t="str">
        <f aca="false">IF(OR($A19="",NOT(ISNUMBER($B19))),"",IF(NOT(AND(ISNUMBER('My Colleges'!$P19),'My Colleges'!$P19=0)),MAX($B19-28,MIN(Summary!$B$8+7,$B19-3)),"n/a"))</f>
        <v/>
      </c>
      <c r="H19" s="23" t="b">
        <f aca="false">FALSE()</f>
        <v>0</v>
      </c>
      <c r="I19" s="40" t="str">
        <f aca="false">IF(OR($A19="",NOT(ISNUMBER($B19))),"",IF(NOT(AND(ISNUMBER('My Colleges'!$P19),'My Colleges'!$P19=0)),MAX($B19-10,MIN(Summary!$B$8+7,$B19-3)),"n/a"))</f>
        <v/>
      </c>
      <c r="J19" s="23" t="b">
        <f aca="false">FALSE()</f>
        <v>0</v>
      </c>
      <c r="K19" s="40" t="str">
        <f aca="false">IF(OR($A19="",NOT(ISNUMBER($B19))),"",IF(TRUE(),MAX($B19-14,MIN(Summary!$B$8+7,$B19-3)),"n/a"))</f>
        <v/>
      </c>
      <c r="L19" s="23" t="b">
        <f aca="false">FALSE()</f>
        <v>0</v>
      </c>
      <c r="M19" s="40" t="str">
        <f aca="false">IF(OR($A19="",NOT(ISNUMBER($B19))),"",IF(AND('My Colleges'!$N19&lt;&gt;"Blind",OR('My Colleges'!$N19="Required",ISNUMBER(Me!$B$13),ISNUMBER(Me!$B$14))),MAX($B19-14,MIN(Summary!$B$8+7,$B19-3)),"n/a"))</f>
        <v/>
      </c>
      <c r="N19" s="23" t="b">
        <f aca="false">FALSE()</f>
        <v>0</v>
      </c>
      <c r="O19" s="40" t="str">
        <f aca="false">IF(OR($A19="",NOT(ISNUMBER($B19))),"",IF(NOT(AND(ISNUMBER('My Colleges'!$L19),'My Colleges'!$L19=0)),MAX($B19-5,MIN(Summary!$B$8+7,$B19-3)),"n/a"))</f>
        <v/>
      </c>
      <c r="P19" s="23" t="b">
        <f aca="false">FALSE()</f>
        <v>0</v>
      </c>
      <c r="Q19" s="40" t="str">
        <f aca="false">IF(OR($A19="",NOT(ISNUMBER($B19))),"",IF(TRUE(),$B19-3,"n/a"))</f>
        <v/>
      </c>
      <c r="R19" s="23" t="b">
        <f aca="false">FALSE()</f>
        <v>0</v>
      </c>
      <c r="S19" s="40" t="str">
        <f aca="false">IF(OR($A19="",NOT(ISNUMBER($B19))),"",IF(ISNUMBER('My Colleges'!$H19),MAX('My Colleges'!$H19-7,MIN(Summary!$B$8+7,'My Colleges'!$H19-3)),"n/a"))</f>
        <v/>
      </c>
      <c r="T19" s="23" t="b">
        <f aca="false">FALSE()</f>
        <v>0</v>
      </c>
      <c r="U19" s="40" t="str">
        <f aca="false">IF(OR($A19="",NOT(ISNUMBER($B19))),"",IF(LEFT('My Colleges'!$AB19,8)="Required",MAX($B19-7,MIN(Summary!$B$8+7,$B19-3)),"n/a"))</f>
        <v/>
      </c>
      <c r="V19" s="23" t="b">
        <f aca="false">FALSE()</f>
        <v>0</v>
      </c>
      <c r="W19" s="40" t="str">
        <f aca="false">IF(OR($A19="",NOT(ISNUMBER($B19))),"",IF(TRUE(),$B19+10,"n/a"))</f>
        <v/>
      </c>
      <c r="X19" s="23" t="b">
        <f aca="false">FALSE()</f>
        <v>0</v>
      </c>
      <c r="Y19" s="40" t="str">
        <f aca="false">IF(OR($A19="",NOT(ISNUMBER($B19))),"",IF('My Colleges'!$AC19&lt;&gt;"",$B19+21,"n/a"))</f>
        <v/>
      </c>
      <c r="Z19" s="23" t="b">
        <f aca="false">FALSE()</f>
        <v>0</v>
      </c>
      <c r="AA19" s="26" t="str">
        <f aca="false">IF($A19="","",AB19-COUNT($AE19:$AO19))</f>
        <v/>
      </c>
      <c r="AB19" s="26" t="str">
        <f aca="false">IF($A19="","",SUMPRODUCT((MOD(COLUMN($C19:$X19)-COLUMN($C19),2)=0)*ISNUMBER($C19:$X19)))</f>
        <v/>
      </c>
      <c r="AC19" s="26" t="str">
        <f aca="false">IF($A19="","",IF($B19="Dropped","Dropped",IF(NOT(ISNUMBER($B19)),"Set a deadline on My Colleges",IF(COUNT($AE19:$AP19)=0,"All steps done",INDEX($AE$6:$AP$6,MATCH(MIN($AE19:$AP19),$AE19:$AP19,0))))))</f>
        <v/>
      </c>
      <c r="AD19" s="29" t="str">
        <f aca="false">IF(COUNT($AE19:$AP19)=0,"",INT(MIN($AE19:$AP19)))</f>
        <v/>
      </c>
      <c r="AE19" s="1" t="str">
        <f aca="false">IF(AND(ISNUMBER(C19),D19&lt;&gt;TRUE(),'My Colleges'!$T19&lt;&gt;"Submitted",'My Colleges'!$T19&lt;&gt;"Complete in portal"),C19+ROW()/1000+1/100000,"")</f>
        <v/>
      </c>
      <c r="AF19" s="1" t="str">
        <f aca="false">IF(AND(ISNUMBER(E19),F19&lt;&gt;TRUE(),'My Colleges'!$T19&lt;&gt;"Submitted",'My Colleges'!$T19&lt;&gt;"Complete in portal"),E19+ROW()/1000+2/100000,"")</f>
        <v/>
      </c>
      <c r="AG19" s="1" t="str">
        <f aca="false">IF(AND(ISNUMBER(G19),H19&lt;&gt;TRUE(),'My Colleges'!$T19&lt;&gt;"Submitted",'My Colleges'!$T19&lt;&gt;"Complete in portal"),G19+ROW()/1000+3/100000,"")</f>
        <v/>
      </c>
      <c r="AH19" s="1" t="str">
        <f aca="false">IF(AND(ISNUMBER(I19),J19&lt;&gt;TRUE(),'My Colleges'!$T19&lt;&gt;"Submitted",'My Colleges'!$T19&lt;&gt;"Complete in portal"),I19+ROW()/1000+4/100000,"")</f>
        <v/>
      </c>
      <c r="AI19" s="1" t="str">
        <f aca="false">IF(AND(ISNUMBER(K19),L19&lt;&gt;TRUE(),'My Colleges'!$T19&lt;&gt;"Submitted",'My Colleges'!$T19&lt;&gt;"Complete in portal"),K19+ROW()/1000+5/100000,"")</f>
        <v/>
      </c>
      <c r="AJ19" s="1" t="str">
        <f aca="false">IF(AND(ISNUMBER(M19),N19&lt;&gt;TRUE(),'My Colleges'!$T19&lt;&gt;"Submitted",'My Colleges'!$T19&lt;&gt;"Complete in portal"),M19+ROW()/1000+6/100000,"")</f>
        <v/>
      </c>
      <c r="AK19" s="1" t="str">
        <f aca="false">IF(AND(ISNUMBER(O19),P19&lt;&gt;TRUE(),'My Colleges'!$T19&lt;&gt;"Submitted",'My Colleges'!$T19&lt;&gt;"Complete in portal"),O19+ROW()/1000+7/100000,"")</f>
        <v/>
      </c>
      <c r="AL19" s="1" t="str">
        <f aca="false">IF(AND(ISNUMBER(Q19),R19&lt;&gt;TRUE(),'My Colleges'!$T19&lt;&gt;"Submitted",'My Colleges'!$T19&lt;&gt;"Complete in portal"),Q19+ROW()/1000+8/100000,"")</f>
        <v/>
      </c>
      <c r="AM19" s="1" t="str">
        <f aca="false">IF(AND(ISNUMBER(S19),T19&lt;&gt;TRUE()),S19+ROW()/1000+9/100000,"")</f>
        <v/>
      </c>
      <c r="AN19" s="1" t="str">
        <f aca="false">IF(AND(ISNUMBER(U19),V19&lt;&gt;TRUE()),U19+ROW()/1000+10/100000,"")</f>
        <v/>
      </c>
      <c r="AO19" s="1" t="str">
        <f aca="false">IF(AND(ISNUMBER(W19),X19&lt;&gt;TRUE()),W19+ROW()/1000+11/100000,"")</f>
        <v/>
      </c>
      <c r="AP19" s="1" t="str">
        <f aca="false">IF(AND(ISNUMBER(Y19),Z19&lt;&gt;TRUE(),ISNUMBER(SEARCH("requir",'My Colleges'!$AC19))+ISNUMBER(SEARCH("evaluat",'My Colleges'!$AC19))&gt;0),Y19+ROW()/1000+12/100000,"")</f>
        <v/>
      </c>
    </row>
    <row r="20" customFormat="false" ht="15" hidden="false" customHeight="true" outlineLevel="0" collapsed="false">
      <c r="A20" s="27" t="str">
        <f aca="false">IF('My Colleges'!$B20="","",'My Colleges'!$B20)</f>
        <v/>
      </c>
      <c r="B20" s="40" t="str">
        <f aca="false">IF($A20="","",IF('My Colleges'!$V20="No","Dropped",'My Colleges'!$I20))</f>
        <v/>
      </c>
      <c r="C20" s="40" t="str">
        <f aca="false">IF(OR($A20="",NOT(ISNUMBER($B20))),"",IF(TRUE(),MAX($B20-35,MIN(Summary!$B$8+7,$B20-3)),"n/a"))</f>
        <v/>
      </c>
      <c r="D20" s="23" t="b">
        <f aca="false">FALSE()</f>
        <v>0</v>
      </c>
      <c r="E20" s="40" t="str">
        <f aca="false">IF(OR($A20="",NOT(ISNUMBER($B20))),"",IF(NOT(OR('My Colleges'!$O20="None",'My Colleges'!$O20="None required")),MAX($B20-21,MIN(Summary!$B$8+7,$B20-3)),"n/a"))</f>
        <v/>
      </c>
      <c r="F20" s="23" t="b">
        <f aca="false">FALSE()</f>
        <v>0</v>
      </c>
      <c r="G20" s="40" t="str">
        <f aca="false">IF(OR($A20="",NOT(ISNUMBER($B20))),"",IF(NOT(AND(ISNUMBER('My Colleges'!$P20),'My Colleges'!$P20=0)),MAX($B20-28,MIN(Summary!$B$8+7,$B20-3)),"n/a"))</f>
        <v/>
      </c>
      <c r="H20" s="23" t="b">
        <f aca="false">FALSE()</f>
        <v>0</v>
      </c>
      <c r="I20" s="40" t="str">
        <f aca="false">IF(OR($A20="",NOT(ISNUMBER($B20))),"",IF(NOT(AND(ISNUMBER('My Colleges'!$P20),'My Colleges'!$P20=0)),MAX($B20-10,MIN(Summary!$B$8+7,$B20-3)),"n/a"))</f>
        <v/>
      </c>
      <c r="J20" s="23" t="b">
        <f aca="false">FALSE()</f>
        <v>0</v>
      </c>
      <c r="K20" s="40" t="str">
        <f aca="false">IF(OR($A20="",NOT(ISNUMBER($B20))),"",IF(TRUE(),MAX($B20-14,MIN(Summary!$B$8+7,$B20-3)),"n/a"))</f>
        <v/>
      </c>
      <c r="L20" s="23" t="b">
        <f aca="false">FALSE()</f>
        <v>0</v>
      </c>
      <c r="M20" s="40" t="str">
        <f aca="false">IF(OR($A20="",NOT(ISNUMBER($B20))),"",IF(AND('My Colleges'!$N20&lt;&gt;"Blind",OR('My Colleges'!$N20="Required",ISNUMBER(Me!$B$13),ISNUMBER(Me!$B$14))),MAX($B20-14,MIN(Summary!$B$8+7,$B20-3)),"n/a"))</f>
        <v/>
      </c>
      <c r="N20" s="23" t="b">
        <f aca="false">FALSE()</f>
        <v>0</v>
      </c>
      <c r="O20" s="40" t="str">
        <f aca="false">IF(OR($A20="",NOT(ISNUMBER($B20))),"",IF(NOT(AND(ISNUMBER('My Colleges'!$L20),'My Colleges'!$L20=0)),MAX($B20-5,MIN(Summary!$B$8+7,$B20-3)),"n/a"))</f>
        <v/>
      </c>
      <c r="P20" s="23" t="b">
        <f aca="false">FALSE()</f>
        <v>0</v>
      </c>
      <c r="Q20" s="40" t="str">
        <f aca="false">IF(OR($A20="",NOT(ISNUMBER($B20))),"",IF(TRUE(),$B20-3,"n/a"))</f>
        <v/>
      </c>
      <c r="R20" s="23" t="b">
        <f aca="false">FALSE()</f>
        <v>0</v>
      </c>
      <c r="S20" s="40" t="str">
        <f aca="false">IF(OR($A20="",NOT(ISNUMBER($B20))),"",IF(ISNUMBER('My Colleges'!$H20),MAX('My Colleges'!$H20-7,MIN(Summary!$B$8+7,'My Colleges'!$H20-3)),"n/a"))</f>
        <v/>
      </c>
      <c r="T20" s="23" t="b">
        <f aca="false">FALSE()</f>
        <v>0</v>
      </c>
      <c r="U20" s="40" t="str">
        <f aca="false">IF(OR($A20="",NOT(ISNUMBER($B20))),"",IF(LEFT('My Colleges'!$AB20,8)="Required",MAX($B20-7,MIN(Summary!$B$8+7,$B20-3)),"n/a"))</f>
        <v/>
      </c>
      <c r="V20" s="23" t="b">
        <f aca="false">FALSE()</f>
        <v>0</v>
      </c>
      <c r="W20" s="40" t="str">
        <f aca="false">IF(OR($A20="",NOT(ISNUMBER($B20))),"",IF(TRUE(),$B20+10,"n/a"))</f>
        <v/>
      </c>
      <c r="X20" s="23" t="b">
        <f aca="false">FALSE()</f>
        <v>0</v>
      </c>
      <c r="Y20" s="40" t="str">
        <f aca="false">IF(OR($A20="",NOT(ISNUMBER($B20))),"",IF('My Colleges'!$AC20&lt;&gt;"",$B20+21,"n/a"))</f>
        <v/>
      </c>
      <c r="Z20" s="23" t="b">
        <f aca="false">FALSE()</f>
        <v>0</v>
      </c>
      <c r="AA20" s="26" t="str">
        <f aca="false">IF($A20="","",AB20-COUNT($AE20:$AO20))</f>
        <v/>
      </c>
      <c r="AB20" s="26" t="str">
        <f aca="false">IF($A20="","",SUMPRODUCT((MOD(COLUMN($C20:$X20)-COLUMN($C20),2)=0)*ISNUMBER($C20:$X20)))</f>
        <v/>
      </c>
      <c r="AC20" s="26" t="str">
        <f aca="false">IF($A20="","",IF($B20="Dropped","Dropped",IF(NOT(ISNUMBER($B20)),"Set a deadline on My Colleges",IF(COUNT($AE20:$AP20)=0,"All steps done",INDEX($AE$6:$AP$6,MATCH(MIN($AE20:$AP20),$AE20:$AP20,0))))))</f>
        <v/>
      </c>
      <c r="AD20" s="29" t="str">
        <f aca="false">IF(COUNT($AE20:$AP20)=0,"",INT(MIN($AE20:$AP20)))</f>
        <v/>
      </c>
      <c r="AE20" s="1" t="str">
        <f aca="false">IF(AND(ISNUMBER(C20),D20&lt;&gt;TRUE(),'My Colleges'!$T20&lt;&gt;"Submitted",'My Colleges'!$T20&lt;&gt;"Complete in portal"),C20+ROW()/1000+1/100000,"")</f>
        <v/>
      </c>
      <c r="AF20" s="1" t="str">
        <f aca="false">IF(AND(ISNUMBER(E20),F20&lt;&gt;TRUE(),'My Colleges'!$T20&lt;&gt;"Submitted",'My Colleges'!$T20&lt;&gt;"Complete in portal"),E20+ROW()/1000+2/100000,"")</f>
        <v/>
      </c>
      <c r="AG20" s="1" t="str">
        <f aca="false">IF(AND(ISNUMBER(G20),H20&lt;&gt;TRUE(),'My Colleges'!$T20&lt;&gt;"Submitted",'My Colleges'!$T20&lt;&gt;"Complete in portal"),G20+ROW()/1000+3/100000,"")</f>
        <v/>
      </c>
      <c r="AH20" s="1" t="str">
        <f aca="false">IF(AND(ISNUMBER(I20),J20&lt;&gt;TRUE(),'My Colleges'!$T20&lt;&gt;"Submitted",'My Colleges'!$T20&lt;&gt;"Complete in portal"),I20+ROW()/1000+4/100000,"")</f>
        <v/>
      </c>
      <c r="AI20" s="1" t="str">
        <f aca="false">IF(AND(ISNUMBER(K20),L20&lt;&gt;TRUE(),'My Colleges'!$T20&lt;&gt;"Submitted",'My Colleges'!$T20&lt;&gt;"Complete in portal"),K20+ROW()/1000+5/100000,"")</f>
        <v/>
      </c>
      <c r="AJ20" s="1" t="str">
        <f aca="false">IF(AND(ISNUMBER(M20),N20&lt;&gt;TRUE(),'My Colleges'!$T20&lt;&gt;"Submitted",'My Colleges'!$T20&lt;&gt;"Complete in portal"),M20+ROW()/1000+6/100000,"")</f>
        <v/>
      </c>
      <c r="AK20" s="1" t="str">
        <f aca="false">IF(AND(ISNUMBER(O20),P20&lt;&gt;TRUE(),'My Colleges'!$T20&lt;&gt;"Submitted",'My Colleges'!$T20&lt;&gt;"Complete in portal"),O20+ROW()/1000+7/100000,"")</f>
        <v/>
      </c>
      <c r="AL20" s="1" t="str">
        <f aca="false">IF(AND(ISNUMBER(Q20),R20&lt;&gt;TRUE(),'My Colleges'!$T20&lt;&gt;"Submitted",'My Colleges'!$T20&lt;&gt;"Complete in portal"),Q20+ROW()/1000+8/100000,"")</f>
        <v/>
      </c>
      <c r="AM20" s="1" t="str">
        <f aca="false">IF(AND(ISNUMBER(S20),T20&lt;&gt;TRUE()),S20+ROW()/1000+9/100000,"")</f>
        <v/>
      </c>
      <c r="AN20" s="1" t="str">
        <f aca="false">IF(AND(ISNUMBER(U20),V20&lt;&gt;TRUE()),U20+ROW()/1000+10/100000,"")</f>
        <v/>
      </c>
      <c r="AO20" s="1" t="str">
        <f aca="false">IF(AND(ISNUMBER(W20),X20&lt;&gt;TRUE()),W20+ROW()/1000+11/100000,"")</f>
        <v/>
      </c>
      <c r="AP20" s="1" t="str">
        <f aca="false">IF(AND(ISNUMBER(Y20),Z20&lt;&gt;TRUE(),ISNUMBER(SEARCH("requir",'My Colleges'!$AC20))+ISNUMBER(SEARCH("evaluat",'My Colleges'!$AC20))&gt;0),Y20+ROW()/1000+12/100000,"")</f>
        <v/>
      </c>
    </row>
    <row r="21" customFormat="false" ht="15" hidden="false" customHeight="true" outlineLevel="0" collapsed="false">
      <c r="A21" s="27" t="str">
        <f aca="false">IF('My Colleges'!$B21="","",'My Colleges'!$B21)</f>
        <v/>
      </c>
      <c r="B21" s="40" t="str">
        <f aca="false">IF($A21="","",IF('My Colleges'!$V21="No","Dropped",'My Colleges'!$I21))</f>
        <v/>
      </c>
      <c r="C21" s="40" t="str">
        <f aca="false">IF(OR($A21="",NOT(ISNUMBER($B21))),"",IF(TRUE(),MAX($B21-35,MIN(Summary!$B$8+7,$B21-3)),"n/a"))</f>
        <v/>
      </c>
      <c r="D21" s="23" t="b">
        <f aca="false">FALSE()</f>
        <v>0</v>
      </c>
      <c r="E21" s="40" t="str">
        <f aca="false">IF(OR($A21="",NOT(ISNUMBER($B21))),"",IF(NOT(OR('My Colleges'!$O21="None",'My Colleges'!$O21="None required")),MAX($B21-21,MIN(Summary!$B$8+7,$B21-3)),"n/a"))</f>
        <v/>
      </c>
      <c r="F21" s="23" t="b">
        <f aca="false">FALSE()</f>
        <v>0</v>
      </c>
      <c r="G21" s="40" t="str">
        <f aca="false">IF(OR($A21="",NOT(ISNUMBER($B21))),"",IF(NOT(AND(ISNUMBER('My Colleges'!$P21),'My Colleges'!$P21=0)),MAX($B21-28,MIN(Summary!$B$8+7,$B21-3)),"n/a"))</f>
        <v/>
      </c>
      <c r="H21" s="23" t="b">
        <f aca="false">FALSE()</f>
        <v>0</v>
      </c>
      <c r="I21" s="40" t="str">
        <f aca="false">IF(OR($A21="",NOT(ISNUMBER($B21))),"",IF(NOT(AND(ISNUMBER('My Colleges'!$P21),'My Colleges'!$P21=0)),MAX($B21-10,MIN(Summary!$B$8+7,$B21-3)),"n/a"))</f>
        <v/>
      </c>
      <c r="J21" s="23" t="b">
        <f aca="false">FALSE()</f>
        <v>0</v>
      </c>
      <c r="K21" s="40" t="str">
        <f aca="false">IF(OR($A21="",NOT(ISNUMBER($B21))),"",IF(TRUE(),MAX($B21-14,MIN(Summary!$B$8+7,$B21-3)),"n/a"))</f>
        <v/>
      </c>
      <c r="L21" s="23" t="b">
        <f aca="false">FALSE()</f>
        <v>0</v>
      </c>
      <c r="M21" s="40" t="str">
        <f aca="false">IF(OR($A21="",NOT(ISNUMBER($B21))),"",IF(AND('My Colleges'!$N21&lt;&gt;"Blind",OR('My Colleges'!$N21="Required",ISNUMBER(Me!$B$13),ISNUMBER(Me!$B$14))),MAX($B21-14,MIN(Summary!$B$8+7,$B21-3)),"n/a"))</f>
        <v/>
      </c>
      <c r="N21" s="23" t="b">
        <f aca="false">FALSE()</f>
        <v>0</v>
      </c>
      <c r="O21" s="40" t="str">
        <f aca="false">IF(OR($A21="",NOT(ISNUMBER($B21))),"",IF(NOT(AND(ISNUMBER('My Colleges'!$L21),'My Colleges'!$L21=0)),MAX($B21-5,MIN(Summary!$B$8+7,$B21-3)),"n/a"))</f>
        <v/>
      </c>
      <c r="P21" s="23" t="b">
        <f aca="false">FALSE()</f>
        <v>0</v>
      </c>
      <c r="Q21" s="40" t="str">
        <f aca="false">IF(OR($A21="",NOT(ISNUMBER($B21))),"",IF(TRUE(),$B21-3,"n/a"))</f>
        <v/>
      </c>
      <c r="R21" s="23" t="b">
        <f aca="false">FALSE()</f>
        <v>0</v>
      </c>
      <c r="S21" s="40" t="str">
        <f aca="false">IF(OR($A21="",NOT(ISNUMBER($B21))),"",IF(ISNUMBER('My Colleges'!$H21),MAX('My Colleges'!$H21-7,MIN(Summary!$B$8+7,'My Colleges'!$H21-3)),"n/a"))</f>
        <v/>
      </c>
      <c r="T21" s="23" t="b">
        <f aca="false">FALSE()</f>
        <v>0</v>
      </c>
      <c r="U21" s="40" t="str">
        <f aca="false">IF(OR($A21="",NOT(ISNUMBER($B21))),"",IF(LEFT('My Colleges'!$AB21,8)="Required",MAX($B21-7,MIN(Summary!$B$8+7,$B21-3)),"n/a"))</f>
        <v/>
      </c>
      <c r="V21" s="23" t="b">
        <f aca="false">FALSE()</f>
        <v>0</v>
      </c>
      <c r="W21" s="40" t="str">
        <f aca="false">IF(OR($A21="",NOT(ISNUMBER($B21))),"",IF(TRUE(),$B21+10,"n/a"))</f>
        <v/>
      </c>
      <c r="X21" s="23" t="b">
        <f aca="false">FALSE()</f>
        <v>0</v>
      </c>
      <c r="Y21" s="40" t="str">
        <f aca="false">IF(OR($A21="",NOT(ISNUMBER($B21))),"",IF('My Colleges'!$AC21&lt;&gt;"",$B21+21,"n/a"))</f>
        <v/>
      </c>
      <c r="Z21" s="23" t="b">
        <f aca="false">FALSE()</f>
        <v>0</v>
      </c>
      <c r="AA21" s="26" t="str">
        <f aca="false">IF($A21="","",AB21-COUNT($AE21:$AO21))</f>
        <v/>
      </c>
      <c r="AB21" s="26" t="str">
        <f aca="false">IF($A21="","",SUMPRODUCT((MOD(COLUMN($C21:$X21)-COLUMN($C21),2)=0)*ISNUMBER($C21:$X21)))</f>
        <v/>
      </c>
      <c r="AC21" s="26" t="str">
        <f aca="false">IF($A21="","",IF($B21="Dropped","Dropped",IF(NOT(ISNUMBER($B21)),"Set a deadline on My Colleges",IF(COUNT($AE21:$AP21)=0,"All steps done",INDEX($AE$6:$AP$6,MATCH(MIN($AE21:$AP21),$AE21:$AP21,0))))))</f>
        <v/>
      </c>
      <c r="AD21" s="29" t="str">
        <f aca="false">IF(COUNT($AE21:$AP21)=0,"",INT(MIN($AE21:$AP21)))</f>
        <v/>
      </c>
      <c r="AE21" s="1" t="str">
        <f aca="false">IF(AND(ISNUMBER(C21),D21&lt;&gt;TRUE(),'My Colleges'!$T21&lt;&gt;"Submitted",'My Colleges'!$T21&lt;&gt;"Complete in portal"),C21+ROW()/1000+1/100000,"")</f>
        <v/>
      </c>
      <c r="AF21" s="1" t="str">
        <f aca="false">IF(AND(ISNUMBER(E21),F21&lt;&gt;TRUE(),'My Colleges'!$T21&lt;&gt;"Submitted",'My Colleges'!$T21&lt;&gt;"Complete in portal"),E21+ROW()/1000+2/100000,"")</f>
        <v/>
      </c>
      <c r="AG21" s="1" t="str">
        <f aca="false">IF(AND(ISNUMBER(G21),H21&lt;&gt;TRUE(),'My Colleges'!$T21&lt;&gt;"Submitted",'My Colleges'!$T21&lt;&gt;"Complete in portal"),G21+ROW()/1000+3/100000,"")</f>
        <v/>
      </c>
      <c r="AH21" s="1" t="str">
        <f aca="false">IF(AND(ISNUMBER(I21),J21&lt;&gt;TRUE(),'My Colleges'!$T21&lt;&gt;"Submitted",'My Colleges'!$T21&lt;&gt;"Complete in portal"),I21+ROW()/1000+4/100000,"")</f>
        <v/>
      </c>
      <c r="AI21" s="1" t="str">
        <f aca="false">IF(AND(ISNUMBER(K21),L21&lt;&gt;TRUE(),'My Colleges'!$T21&lt;&gt;"Submitted",'My Colleges'!$T21&lt;&gt;"Complete in portal"),K21+ROW()/1000+5/100000,"")</f>
        <v/>
      </c>
      <c r="AJ21" s="1" t="str">
        <f aca="false">IF(AND(ISNUMBER(M21),N21&lt;&gt;TRUE(),'My Colleges'!$T21&lt;&gt;"Submitted",'My Colleges'!$T21&lt;&gt;"Complete in portal"),M21+ROW()/1000+6/100000,"")</f>
        <v/>
      </c>
      <c r="AK21" s="1" t="str">
        <f aca="false">IF(AND(ISNUMBER(O21),P21&lt;&gt;TRUE(),'My Colleges'!$T21&lt;&gt;"Submitted",'My Colleges'!$T21&lt;&gt;"Complete in portal"),O21+ROW()/1000+7/100000,"")</f>
        <v/>
      </c>
      <c r="AL21" s="1" t="str">
        <f aca="false">IF(AND(ISNUMBER(Q21),R21&lt;&gt;TRUE(),'My Colleges'!$T21&lt;&gt;"Submitted",'My Colleges'!$T21&lt;&gt;"Complete in portal"),Q21+ROW()/1000+8/100000,"")</f>
        <v/>
      </c>
      <c r="AM21" s="1" t="str">
        <f aca="false">IF(AND(ISNUMBER(S21),T21&lt;&gt;TRUE()),S21+ROW()/1000+9/100000,"")</f>
        <v/>
      </c>
      <c r="AN21" s="1" t="str">
        <f aca="false">IF(AND(ISNUMBER(U21),V21&lt;&gt;TRUE()),U21+ROW()/1000+10/100000,"")</f>
        <v/>
      </c>
      <c r="AO21" s="1" t="str">
        <f aca="false">IF(AND(ISNUMBER(W21),X21&lt;&gt;TRUE()),W21+ROW()/1000+11/100000,"")</f>
        <v/>
      </c>
      <c r="AP21" s="1" t="str">
        <f aca="false">IF(AND(ISNUMBER(Y21),Z21&lt;&gt;TRUE(),ISNUMBER(SEARCH("requir",'My Colleges'!$AC21))+ISNUMBER(SEARCH("evaluat",'My Colleges'!$AC21))&gt;0),Y21+ROW()/1000+12/100000,"")</f>
        <v/>
      </c>
    </row>
    <row r="22" customFormat="false" ht="15" hidden="false" customHeight="true" outlineLevel="0" collapsed="false">
      <c r="A22" s="27" t="str">
        <f aca="false">IF('My Colleges'!$B22="","",'My Colleges'!$B22)</f>
        <v/>
      </c>
      <c r="B22" s="40" t="str">
        <f aca="false">IF($A22="","",IF('My Colleges'!$V22="No","Dropped",'My Colleges'!$I22))</f>
        <v/>
      </c>
      <c r="C22" s="40" t="str">
        <f aca="false">IF(OR($A22="",NOT(ISNUMBER($B22))),"",IF(TRUE(),MAX($B22-35,MIN(Summary!$B$8+7,$B22-3)),"n/a"))</f>
        <v/>
      </c>
      <c r="D22" s="23" t="b">
        <f aca="false">FALSE()</f>
        <v>0</v>
      </c>
      <c r="E22" s="40" t="str">
        <f aca="false">IF(OR($A22="",NOT(ISNUMBER($B22))),"",IF(NOT(OR('My Colleges'!$O22="None",'My Colleges'!$O22="None required")),MAX($B22-21,MIN(Summary!$B$8+7,$B22-3)),"n/a"))</f>
        <v/>
      </c>
      <c r="F22" s="23" t="b">
        <f aca="false">FALSE()</f>
        <v>0</v>
      </c>
      <c r="G22" s="40" t="str">
        <f aca="false">IF(OR($A22="",NOT(ISNUMBER($B22))),"",IF(NOT(AND(ISNUMBER('My Colleges'!$P22),'My Colleges'!$P22=0)),MAX($B22-28,MIN(Summary!$B$8+7,$B22-3)),"n/a"))</f>
        <v/>
      </c>
      <c r="H22" s="23" t="b">
        <f aca="false">FALSE()</f>
        <v>0</v>
      </c>
      <c r="I22" s="40" t="str">
        <f aca="false">IF(OR($A22="",NOT(ISNUMBER($B22))),"",IF(NOT(AND(ISNUMBER('My Colleges'!$P22),'My Colleges'!$P22=0)),MAX($B22-10,MIN(Summary!$B$8+7,$B22-3)),"n/a"))</f>
        <v/>
      </c>
      <c r="J22" s="23" t="b">
        <f aca="false">FALSE()</f>
        <v>0</v>
      </c>
      <c r="K22" s="40" t="str">
        <f aca="false">IF(OR($A22="",NOT(ISNUMBER($B22))),"",IF(TRUE(),MAX($B22-14,MIN(Summary!$B$8+7,$B22-3)),"n/a"))</f>
        <v/>
      </c>
      <c r="L22" s="23" t="b">
        <f aca="false">FALSE()</f>
        <v>0</v>
      </c>
      <c r="M22" s="40" t="str">
        <f aca="false">IF(OR($A22="",NOT(ISNUMBER($B22))),"",IF(AND('My Colleges'!$N22&lt;&gt;"Blind",OR('My Colleges'!$N22="Required",ISNUMBER(Me!$B$13),ISNUMBER(Me!$B$14))),MAX($B22-14,MIN(Summary!$B$8+7,$B22-3)),"n/a"))</f>
        <v/>
      </c>
      <c r="N22" s="23" t="b">
        <f aca="false">FALSE()</f>
        <v>0</v>
      </c>
      <c r="O22" s="40" t="str">
        <f aca="false">IF(OR($A22="",NOT(ISNUMBER($B22))),"",IF(NOT(AND(ISNUMBER('My Colleges'!$L22),'My Colleges'!$L22=0)),MAX($B22-5,MIN(Summary!$B$8+7,$B22-3)),"n/a"))</f>
        <v/>
      </c>
      <c r="P22" s="23" t="b">
        <f aca="false">FALSE()</f>
        <v>0</v>
      </c>
      <c r="Q22" s="40" t="str">
        <f aca="false">IF(OR($A22="",NOT(ISNUMBER($B22))),"",IF(TRUE(),$B22-3,"n/a"))</f>
        <v/>
      </c>
      <c r="R22" s="23" t="b">
        <f aca="false">FALSE()</f>
        <v>0</v>
      </c>
      <c r="S22" s="40" t="str">
        <f aca="false">IF(OR($A22="",NOT(ISNUMBER($B22))),"",IF(ISNUMBER('My Colleges'!$H22),MAX('My Colleges'!$H22-7,MIN(Summary!$B$8+7,'My Colleges'!$H22-3)),"n/a"))</f>
        <v/>
      </c>
      <c r="T22" s="23" t="b">
        <f aca="false">FALSE()</f>
        <v>0</v>
      </c>
      <c r="U22" s="40" t="str">
        <f aca="false">IF(OR($A22="",NOT(ISNUMBER($B22))),"",IF(LEFT('My Colleges'!$AB22,8)="Required",MAX($B22-7,MIN(Summary!$B$8+7,$B22-3)),"n/a"))</f>
        <v/>
      </c>
      <c r="V22" s="23" t="b">
        <f aca="false">FALSE()</f>
        <v>0</v>
      </c>
      <c r="W22" s="40" t="str">
        <f aca="false">IF(OR($A22="",NOT(ISNUMBER($B22))),"",IF(TRUE(),$B22+10,"n/a"))</f>
        <v/>
      </c>
      <c r="X22" s="23" t="b">
        <f aca="false">FALSE()</f>
        <v>0</v>
      </c>
      <c r="Y22" s="40" t="str">
        <f aca="false">IF(OR($A22="",NOT(ISNUMBER($B22))),"",IF('My Colleges'!$AC22&lt;&gt;"",$B22+21,"n/a"))</f>
        <v/>
      </c>
      <c r="Z22" s="23" t="b">
        <f aca="false">FALSE()</f>
        <v>0</v>
      </c>
      <c r="AA22" s="26" t="str">
        <f aca="false">IF($A22="","",AB22-COUNT($AE22:$AO22))</f>
        <v/>
      </c>
      <c r="AB22" s="26" t="str">
        <f aca="false">IF($A22="","",SUMPRODUCT((MOD(COLUMN($C22:$X22)-COLUMN($C22),2)=0)*ISNUMBER($C22:$X22)))</f>
        <v/>
      </c>
      <c r="AC22" s="26" t="str">
        <f aca="false">IF($A22="","",IF($B22="Dropped","Dropped",IF(NOT(ISNUMBER($B22)),"Set a deadline on My Colleges",IF(COUNT($AE22:$AP22)=0,"All steps done",INDEX($AE$6:$AP$6,MATCH(MIN($AE22:$AP22),$AE22:$AP22,0))))))</f>
        <v/>
      </c>
      <c r="AD22" s="29" t="str">
        <f aca="false">IF(COUNT($AE22:$AP22)=0,"",INT(MIN($AE22:$AP22)))</f>
        <v/>
      </c>
      <c r="AE22" s="1" t="str">
        <f aca="false">IF(AND(ISNUMBER(C22),D22&lt;&gt;TRUE(),'My Colleges'!$T22&lt;&gt;"Submitted",'My Colleges'!$T22&lt;&gt;"Complete in portal"),C22+ROW()/1000+1/100000,"")</f>
        <v/>
      </c>
      <c r="AF22" s="1" t="str">
        <f aca="false">IF(AND(ISNUMBER(E22),F22&lt;&gt;TRUE(),'My Colleges'!$T22&lt;&gt;"Submitted",'My Colleges'!$T22&lt;&gt;"Complete in portal"),E22+ROW()/1000+2/100000,"")</f>
        <v/>
      </c>
      <c r="AG22" s="1" t="str">
        <f aca="false">IF(AND(ISNUMBER(G22),H22&lt;&gt;TRUE(),'My Colleges'!$T22&lt;&gt;"Submitted",'My Colleges'!$T22&lt;&gt;"Complete in portal"),G22+ROW()/1000+3/100000,"")</f>
        <v/>
      </c>
      <c r="AH22" s="1" t="str">
        <f aca="false">IF(AND(ISNUMBER(I22),J22&lt;&gt;TRUE(),'My Colleges'!$T22&lt;&gt;"Submitted",'My Colleges'!$T22&lt;&gt;"Complete in portal"),I22+ROW()/1000+4/100000,"")</f>
        <v/>
      </c>
      <c r="AI22" s="1" t="str">
        <f aca="false">IF(AND(ISNUMBER(K22),L22&lt;&gt;TRUE(),'My Colleges'!$T22&lt;&gt;"Submitted",'My Colleges'!$T22&lt;&gt;"Complete in portal"),K22+ROW()/1000+5/100000,"")</f>
        <v/>
      </c>
      <c r="AJ22" s="1" t="str">
        <f aca="false">IF(AND(ISNUMBER(M22),N22&lt;&gt;TRUE(),'My Colleges'!$T22&lt;&gt;"Submitted",'My Colleges'!$T22&lt;&gt;"Complete in portal"),M22+ROW()/1000+6/100000,"")</f>
        <v/>
      </c>
      <c r="AK22" s="1" t="str">
        <f aca="false">IF(AND(ISNUMBER(O22),P22&lt;&gt;TRUE(),'My Colleges'!$T22&lt;&gt;"Submitted",'My Colleges'!$T22&lt;&gt;"Complete in portal"),O22+ROW()/1000+7/100000,"")</f>
        <v/>
      </c>
      <c r="AL22" s="1" t="str">
        <f aca="false">IF(AND(ISNUMBER(Q22),R22&lt;&gt;TRUE(),'My Colleges'!$T22&lt;&gt;"Submitted",'My Colleges'!$T22&lt;&gt;"Complete in portal"),Q22+ROW()/1000+8/100000,"")</f>
        <v/>
      </c>
      <c r="AM22" s="1" t="str">
        <f aca="false">IF(AND(ISNUMBER(S22),T22&lt;&gt;TRUE()),S22+ROW()/1000+9/100000,"")</f>
        <v/>
      </c>
      <c r="AN22" s="1" t="str">
        <f aca="false">IF(AND(ISNUMBER(U22),V22&lt;&gt;TRUE()),U22+ROW()/1000+10/100000,"")</f>
        <v/>
      </c>
      <c r="AO22" s="1" t="str">
        <f aca="false">IF(AND(ISNUMBER(W22),X22&lt;&gt;TRUE()),W22+ROW()/1000+11/100000,"")</f>
        <v/>
      </c>
      <c r="AP22" s="1" t="str">
        <f aca="false">IF(AND(ISNUMBER(Y22),Z22&lt;&gt;TRUE(),ISNUMBER(SEARCH("requir",'My Colleges'!$AC22))+ISNUMBER(SEARCH("evaluat",'My Colleges'!$AC22))&gt;0),Y22+ROW()/1000+12/100000,"")</f>
        <v/>
      </c>
    </row>
    <row r="23" customFormat="false" ht="15" hidden="false" customHeight="true" outlineLevel="0" collapsed="false">
      <c r="A23" s="27" t="str">
        <f aca="false">IF('My Colleges'!$B23="","",'My Colleges'!$B23)</f>
        <v/>
      </c>
      <c r="B23" s="40" t="str">
        <f aca="false">IF($A23="","",IF('My Colleges'!$V23="No","Dropped",'My Colleges'!$I23))</f>
        <v/>
      </c>
      <c r="C23" s="40" t="str">
        <f aca="false">IF(OR($A23="",NOT(ISNUMBER($B23))),"",IF(TRUE(),MAX($B23-35,MIN(Summary!$B$8+7,$B23-3)),"n/a"))</f>
        <v/>
      </c>
      <c r="D23" s="23" t="b">
        <f aca="false">FALSE()</f>
        <v>0</v>
      </c>
      <c r="E23" s="40" t="str">
        <f aca="false">IF(OR($A23="",NOT(ISNUMBER($B23))),"",IF(NOT(OR('My Colleges'!$O23="None",'My Colleges'!$O23="None required")),MAX($B23-21,MIN(Summary!$B$8+7,$B23-3)),"n/a"))</f>
        <v/>
      </c>
      <c r="F23" s="23" t="b">
        <f aca="false">FALSE()</f>
        <v>0</v>
      </c>
      <c r="G23" s="40" t="str">
        <f aca="false">IF(OR($A23="",NOT(ISNUMBER($B23))),"",IF(NOT(AND(ISNUMBER('My Colleges'!$P23),'My Colleges'!$P23=0)),MAX($B23-28,MIN(Summary!$B$8+7,$B23-3)),"n/a"))</f>
        <v/>
      </c>
      <c r="H23" s="23" t="b">
        <f aca="false">FALSE()</f>
        <v>0</v>
      </c>
      <c r="I23" s="40" t="str">
        <f aca="false">IF(OR($A23="",NOT(ISNUMBER($B23))),"",IF(NOT(AND(ISNUMBER('My Colleges'!$P23),'My Colleges'!$P23=0)),MAX($B23-10,MIN(Summary!$B$8+7,$B23-3)),"n/a"))</f>
        <v/>
      </c>
      <c r="J23" s="23" t="b">
        <f aca="false">FALSE()</f>
        <v>0</v>
      </c>
      <c r="K23" s="40" t="str">
        <f aca="false">IF(OR($A23="",NOT(ISNUMBER($B23))),"",IF(TRUE(),MAX($B23-14,MIN(Summary!$B$8+7,$B23-3)),"n/a"))</f>
        <v/>
      </c>
      <c r="L23" s="23" t="b">
        <f aca="false">FALSE()</f>
        <v>0</v>
      </c>
      <c r="M23" s="40" t="str">
        <f aca="false">IF(OR($A23="",NOT(ISNUMBER($B23))),"",IF(AND('My Colleges'!$N23&lt;&gt;"Blind",OR('My Colleges'!$N23="Required",ISNUMBER(Me!$B$13),ISNUMBER(Me!$B$14))),MAX($B23-14,MIN(Summary!$B$8+7,$B23-3)),"n/a"))</f>
        <v/>
      </c>
      <c r="N23" s="23" t="b">
        <f aca="false">FALSE()</f>
        <v>0</v>
      </c>
      <c r="O23" s="40" t="str">
        <f aca="false">IF(OR($A23="",NOT(ISNUMBER($B23))),"",IF(NOT(AND(ISNUMBER('My Colleges'!$L23),'My Colleges'!$L23=0)),MAX($B23-5,MIN(Summary!$B$8+7,$B23-3)),"n/a"))</f>
        <v/>
      </c>
      <c r="P23" s="23" t="b">
        <f aca="false">FALSE()</f>
        <v>0</v>
      </c>
      <c r="Q23" s="40" t="str">
        <f aca="false">IF(OR($A23="",NOT(ISNUMBER($B23))),"",IF(TRUE(),$B23-3,"n/a"))</f>
        <v/>
      </c>
      <c r="R23" s="23" t="b">
        <f aca="false">FALSE()</f>
        <v>0</v>
      </c>
      <c r="S23" s="40" t="str">
        <f aca="false">IF(OR($A23="",NOT(ISNUMBER($B23))),"",IF(ISNUMBER('My Colleges'!$H23),MAX('My Colleges'!$H23-7,MIN(Summary!$B$8+7,'My Colleges'!$H23-3)),"n/a"))</f>
        <v/>
      </c>
      <c r="T23" s="23" t="b">
        <f aca="false">FALSE()</f>
        <v>0</v>
      </c>
      <c r="U23" s="40" t="str">
        <f aca="false">IF(OR($A23="",NOT(ISNUMBER($B23))),"",IF(LEFT('My Colleges'!$AB23,8)="Required",MAX($B23-7,MIN(Summary!$B$8+7,$B23-3)),"n/a"))</f>
        <v/>
      </c>
      <c r="V23" s="23" t="b">
        <f aca="false">FALSE()</f>
        <v>0</v>
      </c>
      <c r="W23" s="40" t="str">
        <f aca="false">IF(OR($A23="",NOT(ISNUMBER($B23))),"",IF(TRUE(),$B23+10,"n/a"))</f>
        <v/>
      </c>
      <c r="X23" s="23" t="b">
        <f aca="false">FALSE()</f>
        <v>0</v>
      </c>
      <c r="Y23" s="40" t="str">
        <f aca="false">IF(OR($A23="",NOT(ISNUMBER($B23))),"",IF('My Colleges'!$AC23&lt;&gt;"",$B23+21,"n/a"))</f>
        <v/>
      </c>
      <c r="Z23" s="23" t="b">
        <f aca="false">FALSE()</f>
        <v>0</v>
      </c>
      <c r="AA23" s="26" t="str">
        <f aca="false">IF($A23="","",AB23-COUNT($AE23:$AO23))</f>
        <v/>
      </c>
      <c r="AB23" s="26" t="str">
        <f aca="false">IF($A23="","",SUMPRODUCT((MOD(COLUMN($C23:$X23)-COLUMN($C23),2)=0)*ISNUMBER($C23:$X23)))</f>
        <v/>
      </c>
      <c r="AC23" s="26" t="str">
        <f aca="false">IF($A23="","",IF($B23="Dropped","Dropped",IF(NOT(ISNUMBER($B23)),"Set a deadline on My Colleges",IF(COUNT($AE23:$AP23)=0,"All steps done",INDEX($AE$6:$AP$6,MATCH(MIN($AE23:$AP23),$AE23:$AP23,0))))))</f>
        <v/>
      </c>
      <c r="AD23" s="29" t="str">
        <f aca="false">IF(COUNT($AE23:$AP23)=0,"",INT(MIN($AE23:$AP23)))</f>
        <v/>
      </c>
      <c r="AE23" s="1" t="str">
        <f aca="false">IF(AND(ISNUMBER(C23),D23&lt;&gt;TRUE(),'My Colleges'!$T23&lt;&gt;"Submitted",'My Colleges'!$T23&lt;&gt;"Complete in portal"),C23+ROW()/1000+1/100000,"")</f>
        <v/>
      </c>
      <c r="AF23" s="1" t="str">
        <f aca="false">IF(AND(ISNUMBER(E23),F23&lt;&gt;TRUE(),'My Colleges'!$T23&lt;&gt;"Submitted",'My Colleges'!$T23&lt;&gt;"Complete in portal"),E23+ROW()/1000+2/100000,"")</f>
        <v/>
      </c>
      <c r="AG23" s="1" t="str">
        <f aca="false">IF(AND(ISNUMBER(G23),H23&lt;&gt;TRUE(),'My Colleges'!$T23&lt;&gt;"Submitted",'My Colleges'!$T23&lt;&gt;"Complete in portal"),G23+ROW()/1000+3/100000,"")</f>
        <v/>
      </c>
      <c r="AH23" s="1" t="str">
        <f aca="false">IF(AND(ISNUMBER(I23),J23&lt;&gt;TRUE(),'My Colleges'!$T23&lt;&gt;"Submitted",'My Colleges'!$T23&lt;&gt;"Complete in portal"),I23+ROW()/1000+4/100000,"")</f>
        <v/>
      </c>
      <c r="AI23" s="1" t="str">
        <f aca="false">IF(AND(ISNUMBER(K23),L23&lt;&gt;TRUE(),'My Colleges'!$T23&lt;&gt;"Submitted",'My Colleges'!$T23&lt;&gt;"Complete in portal"),K23+ROW()/1000+5/100000,"")</f>
        <v/>
      </c>
      <c r="AJ23" s="1" t="str">
        <f aca="false">IF(AND(ISNUMBER(M23),N23&lt;&gt;TRUE(),'My Colleges'!$T23&lt;&gt;"Submitted",'My Colleges'!$T23&lt;&gt;"Complete in portal"),M23+ROW()/1000+6/100000,"")</f>
        <v/>
      </c>
      <c r="AK23" s="1" t="str">
        <f aca="false">IF(AND(ISNUMBER(O23),P23&lt;&gt;TRUE(),'My Colleges'!$T23&lt;&gt;"Submitted",'My Colleges'!$T23&lt;&gt;"Complete in portal"),O23+ROW()/1000+7/100000,"")</f>
        <v/>
      </c>
      <c r="AL23" s="1" t="str">
        <f aca="false">IF(AND(ISNUMBER(Q23),R23&lt;&gt;TRUE(),'My Colleges'!$T23&lt;&gt;"Submitted",'My Colleges'!$T23&lt;&gt;"Complete in portal"),Q23+ROW()/1000+8/100000,"")</f>
        <v/>
      </c>
      <c r="AM23" s="1" t="str">
        <f aca="false">IF(AND(ISNUMBER(S23),T23&lt;&gt;TRUE()),S23+ROW()/1000+9/100000,"")</f>
        <v/>
      </c>
      <c r="AN23" s="1" t="str">
        <f aca="false">IF(AND(ISNUMBER(U23),V23&lt;&gt;TRUE()),U23+ROW()/1000+10/100000,"")</f>
        <v/>
      </c>
      <c r="AO23" s="1" t="str">
        <f aca="false">IF(AND(ISNUMBER(W23),X23&lt;&gt;TRUE()),W23+ROW()/1000+11/100000,"")</f>
        <v/>
      </c>
      <c r="AP23" s="1" t="str">
        <f aca="false">IF(AND(ISNUMBER(Y23),Z23&lt;&gt;TRUE(),ISNUMBER(SEARCH("requir",'My Colleges'!$AC23))+ISNUMBER(SEARCH("evaluat",'My Colleges'!$AC23))&gt;0),Y23+ROW()/1000+12/100000,"")</f>
        <v/>
      </c>
    </row>
    <row r="24" customFormat="false" ht="15" hidden="false" customHeight="true" outlineLevel="0" collapsed="false">
      <c r="A24" s="27" t="str">
        <f aca="false">IF('My Colleges'!$B24="","",'My Colleges'!$B24)</f>
        <v/>
      </c>
      <c r="B24" s="40" t="str">
        <f aca="false">IF($A24="","",IF('My Colleges'!$V24="No","Dropped",'My Colleges'!$I24))</f>
        <v/>
      </c>
      <c r="C24" s="40" t="str">
        <f aca="false">IF(OR($A24="",NOT(ISNUMBER($B24))),"",IF(TRUE(),MAX($B24-35,MIN(Summary!$B$8+7,$B24-3)),"n/a"))</f>
        <v/>
      </c>
      <c r="D24" s="23" t="b">
        <f aca="false">FALSE()</f>
        <v>0</v>
      </c>
      <c r="E24" s="40" t="str">
        <f aca="false">IF(OR($A24="",NOT(ISNUMBER($B24))),"",IF(NOT(OR('My Colleges'!$O24="None",'My Colleges'!$O24="None required")),MAX($B24-21,MIN(Summary!$B$8+7,$B24-3)),"n/a"))</f>
        <v/>
      </c>
      <c r="F24" s="23" t="b">
        <f aca="false">FALSE()</f>
        <v>0</v>
      </c>
      <c r="G24" s="40" t="str">
        <f aca="false">IF(OR($A24="",NOT(ISNUMBER($B24))),"",IF(NOT(AND(ISNUMBER('My Colleges'!$P24),'My Colleges'!$P24=0)),MAX($B24-28,MIN(Summary!$B$8+7,$B24-3)),"n/a"))</f>
        <v/>
      </c>
      <c r="H24" s="23" t="b">
        <f aca="false">FALSE()</f>
        <v>0</v>
      </c>
      <c r="I24" s="40" t="str">
        <f aca="false">IF(OR($A24="",NOT(ISNUMBER($B24))),"",IF(NOT(AND(ISNUMBER('My Colleges'!$P24),'My Colleges'!$P24=0)),MAX($B24-10,MIN(Summary!$B$8+7,$B24-3)),"n/a"))</f>
        <v/>
      </c>
      <c r="J24" s="23" t="b">
        <f aca="false">FALSE()</f>
        <v>0</v>
      </c>
      <c r="K24" s="40" t="str">
        <f aca="false">IF(OR($A24="",NOT(ISNUMBER($B24))),"",IF(TRUE(),MAX($B24-14,MIN(Summary!$B$8+7,$B24-3)),"n/a"))</f>
        <v/>
      </c>
      <c r="L24" s="23" t="b">
        <f aca="false">FALSE()</f>
        <v>0</v>
      </c>
      <c r="M24" s="40" t="str">
        <f aca="false">IF(OR($A24="",NOT(ISNUMBER($B24))),"",IF(AND('My Colleges'!$N24&lt;&gt;"Blind",OR('My Colleges'!$N24="Required",ISNUMBER(Me!$B$13),ISNUMBER(Me!$B$14))),MAX($B24-14,MIN(Summary!$B$8+7,$B24-3)),"n/a"))</f>
        <v/>
      </c>
      <c r="N24" s="23" t="b">
        <f aca="false">FALSE()</f>
        <v>0</v>
      </c>
      <c r="O24" s="40" t="str">
        <f aca="false">IF(OR($A24="",NOT(ISNUMBER($B24))),"",IF(NOT(AND(ISNUMBER('My Colleges'!$L24),'My Colleges'!$L24=0)),MAX($B24-5,MIN(Summary!$B$8+7,$B24-3)),"n/a"))</f>
        <v/>
      </c>
      <c r="P24" s="23" t="b">
        <f aca="false">FALSE()</f>
        <v>0</v>
      </c>
      <c r="Q24" s="40" t="str">
        <f aca="false">IF(OR($A24="",NOT(ISNUMBER($B24))),"",IF(TRUE(),$B24-3,"n/a"))</f>
        <v/>
      </c>
      <c r="R24" s="23" t="b">
        <f aca="false">FALSE()</f>
        <v>0</v>
      </c>
      <c r="S24" s="40" t="str">
        <f aca="false">IF(OR($A24="",NOT(ISNUMBER($B24))),"",IF(ISNUMBER('My Colleges'!$H24),MAX('My Colleges'!$H24-7,MIN(Summary!$B$8+7,'My Colleges'!$H24-3)),"n/a"))</f>
        <v/>
      </c>
      <c r="T24" s="23" t="b">
        <f aca="false">FALSE()</f>
        <v>0</v>
      </c>
      <c r="U24" s="40" t="str">
        <f aca="false">IF(OR($A24="",NOT(ISNUMBER($B24))),"",IF(LEFT('My Colleges'!$AB24,8)="Required",MAX($B24-7,MIN(Summary!$B$8+7,$B24-3)),"n/a"))</f>
        <v/>
      </c>
      <c r="V24" s="23" t="b">
        <f aca="false">FALSE()</f>
        <v>0</v>
      </c>
      <c r="W24" s="40" t="str">
        <f aca="false">IF(OR($A24="",NOT(ISNUMBER($B24))),"",IF(TRUE(),$B24+10,"n/a"))</f>
        <v/>
      </c>
      <c r="X24" s="23" t="b">
        <f aca="false">FALSE()</f>
        <v>0</v>
      </c>
      <c r="Y24" s="40" t="str">
        <f aca="false">IF(OR($A24="",NOT(ISNUMBER($B24))),"",IF('My Colleges'!$AC24&lt;&gt;"",$B24+21,"n/a"))</f>
        <v/>
      </c>
      <c r="Z24" s="23" t="b">
        <f aca="false">FALSE()</f>
        <v>0</v>
      </c>
      <c r="AA24" s="26" t="str">
        <f aca="false">IF($A24="","",AB24-COUNT($AE24:$AO24))</f>
        <v/>
      </c>
      <c r="AB24" s="26" t="str">
        <f aca="false">IF($A24="","",SUMPRODUCT((MOD(COLUMN($C24:$X24)-COLUMN($C24),2)=0)*ISNUMBER($C24:$X24)))</f>
        <v/>
      </c>
      <c r="AC24" s="26" t="str">
        <f aca="false">IF($A24="","",IF($B24="Dropped","Dropped",IF(NOT(ISNUMBER($B24)),"Set a deadline on My Colleges",IF(COUNT($AE24:$AP24)=0,"All steps done",INDEX($AE$6:$AP$6,MATCH(MIN($AE24:$AP24),$AE24:$AP24,0))))))</f>
        <v/>
      </c>
      <c r="AD24" s="29" t="str">
        <f aca="false">IF(COUNT($AE24:$AP24)=0,"",INT(MIN($AE24:$AP24)))</f>
        <v/>
      </c>
      <c r="AE24" s="1" t="str">
        <f aca="false">IF(AND(ISNUMBER(C24),D24&lt;&gt;TRUE(),'My Colleges'!$T24&lt;&gt;"Submitted",'My Colleges'!$T24&lt;&gt;"Complete in portal"),C24+ROW()/1000+1/100000,"")</f>
        <v/>
      </c>
      <c r="AF24" s="1" t="str">
        <f aca="false">IF(AND(ISNUMBER(E24),F24&lt;&gt;TRUE(),'My Colleges'!$T24&lt;&gt;"Submitted",'My Colleges'!$T24&lt;&gt;"Complete in portal"),E24+ROW()/1000+2/100000,"")</f>
        <v/>
      </c>
      <c r="AG24" s="1" t="str">
        <f aca="false">IF(AND(ISNUMBER(G24),H24&lt;&gt;TRUE(),'My Colleges'!$T24&lt;&gt;"Submitted",'My Colleges'!$T24&lt;&gt;"Complete in portal"),G24+ROW()/1000+3/100000,"")</f>
        <v/>
      </c>
      <c r="AH24" s="1" t="str">
        <f aca="false">IF(AND(ISNUMBER(I24),J24&lt;&gt;TRUE(),'My Colleges'!$T24&lt;&gt;"Submitted",'My Colleges'!$T24&lt;&gt;"Complete in portal"),I24+ROW()/1000+4/100000,"")</f>
        <v/>
      </c>
      <c r="AI24" s="1" t="str">
        <f aca="false">IF(AND(ISNUMBER(K24),L24&lt;&gt;TRUE(),'My Colleges'!$T24&lt;&gt;"Submitted",'My Colleges'!$T24&lt;&gt;"Complete in portal"),K24+ROW()/1000+5/100000,"")</f>
        <v/>
      </c>
      <c r="AJ24" s="1" t="str">
        <f aca="false">IF(AND(ISNUMBER(M24),N24&lt;&gt;TRUE(),'My Colleges'!$T24&lt;&gt;"Submitted",'My Colleges'!$T24&lt;&gt;"Complete in portal"),M24+ROW()/1000+6/100000,"")</f>
        <v/>
      </c>
      <c r="AK24" s="1" t="str">
        <f aca="false">IF(AND(ISNUMBER(O24),P24&lt;&gt;TRUE(),'My Colleges'!$T24&lt;&gt;"Submitted",'My Colleges'!$T24&lt;&gt;"Complete in portal"),O24+ROW()/1000+7/100000,"")</f>
        <v/>
      </c>
      <c r="AL24" s="1" t="str">
        <f aca="false">IF(AND(ISNUMBER(Q24),R24&lt;&gt;TRUE(),'My Colleges'!$T24&lt;&gt;"Submitted",'My Colleges'!$T24&lt;&gt;"Complete in portal"),Q24+ROW()/1000+8/100000,"")</f>
        <v/>
      </c>
      <c r="AM24" s="1" t="str">
        <f aca="false">IF(AND(ISNUMBER(S24),T24&lt;&gt;TRUE()),S24+ROW()/1000+9/100000,"")</f>
        <v/>
      </c>
      <c r="AN24" s="1" t="str">
        <f aca="false">IF(AND(ISNUMBER(U24),V24&lt;&gt;TRUE()),U24+ROW()/1000+10/100000,"")</f>
        <v/>
      </c>
      <c r="AO24" s="1" t="str">
        <f aca="false">IF(AND(ISNUMBER(W24),X24&lt;&gt;TRUE()),W24+ROW()/1000+11/100000,"")</f>
        <v/>
      </c>
      <c r="AP24" s="1" t="str">
        <f aca="false">IF(AND(ISNUMBER(Y24),Z24&lt;&gt;TRUE(),ISNUMBER(SEARCH("requir",'My Colleges'!$AC24))+ISNUMBER(SEARCH("evaluat",'My Colleges'!$AC24))&gt;0),Y24+ROW()/1000+12/100000,"")</f>
        <v/>
      </c>
    </row>
    <row r="25" customFormat="false" ht="15" hidden="false" customHeight="true" outlineLevel="0" collapsed="false">
      <c r="A25" s="27" t="str">
        <f aca="false">IF('My Colleges'!$B25="","",'My Colleges'!$B25)</f>
        <v/>
      </c>
      <c r="B25" s="40" t="str">
        <f aca="false">IF($A25="","",IF('My Colleges'!$V25="No","Dropped",'My Colleges'!$I25))</f>
        <v/>
      </c>
      <c r="C25" s="40" t="str">
        <f aca="false">IF(OR($A25="",NOT(ISNUMBER($B25))),"",IF(TRUE(),MAX($B25-35,MIN(Summary!$B$8+7,$B25-3)),"n/a"))</f>
        <v/>
      </c>
      <c r="D25" s="23" t="b">
        <f aca="false">FALSE()</f>
        <v>0</v>
      </c>
      <c r="E25" s="40" t="str">
        <f aca="false">IF(OR($A25="",NOT(ISNUMBER($B25))),"",IF(NOT(OR('My Colleges'!$O25="None",'My Colleges'!$O25="None required")),MAX($B25-21,MIN(Summary!$B$8+7,$B25-3)),"n/a"))</f>
        <v/>
      </c>
      <c r="F25" s="23" t="b">
        <f aca="false">FALSE()</f>
        <v>0</v>
      </c>
      <c r="G25" s="40" t="str">
        <f aca="false">IF(OR($A25="",NOT(ISNUMBER($B25))),"",IF(NOT(AND(ISNUMBER('My Colleges'!$P25),'My Colleges'!$P25=0)),MAX($B25-28,MIN(Summary!$B$8+7,$B25-3)),"n/a"))</f>
        <v/>
      </c>
      <c r="H25" s="23" t="b">
        <f aca="false">FALSE()</f>
        <v>0</v>
      </c>
      <c r="I25" s="40" t="str">
        <f aca="false">IF(OR($A25="",NOT(ISNUMBER($B25))),"",IF(NOT(AND(ISNUMBER('My Colleges'!$P25),'My Colleges'!$P25=0)),MAX($B25-10,MIN(Summary!$B$8+7,$B25-3)),"n/a"))</f>
        <v/>
      </c>
      <c r="J25" s="23" t="b">
        <f aca="false">FALSE()</f>
        <v>0</v>
      </c>
      <c r="K25" s="40" t="str">
        <f aca="false">IF(OR($A25="",NOT(ISNUMBER($B25))),"",IF(TRUE(),MAX($B25-14,MIN(Summary!$B$8+7,$B25-3)),"n/a"))</f>
        <v/>
      </c>
      <c r="L25" s="23" t="b">
        <f aca="false">FALSE()</f>
        <v>0</v>
      </c>
      <c r="M25" s="40" t="str">
        <f aca="false">IF(OR($A25="",NOT(ISNUMBER($B25))),"",IF(AND('My Colleges'!$N25&lt;&gt;"Blind",OR('My Colleges'!$N25="Required",ISNUMBER(Me!$B$13),ISNUMBER(Me!$B$14))),MAX($B25-14,MIN(Summary!$B$8+7,$B25-3)),"n/a"))</f>
        <v/>
      </c>
      <c r="N25" s="23" t="b">
        <f aca="false">FALSE()</f>
        <v>0</v>
      </c>
      <c r="O25" s="40" t="str">
        <f aca="false">IF(OR($A25="",NOT(ISNUMBER($B25))),"",IF(NOT(AND(ISNUMBER('My Colleges'!$L25),'My Colleges'!$L25=0)),MAX($B25-5,MIN(Summary!$B$8+7,$B25-3)),"n/a"))</f>
        <v/>
      </c>
      <c r="P25" s="23" t="b">
        <f aca="false">FALSE()</f>
        <v>0</v>
      </c>
      <c r="Q25" s="40" t="str">
        <f aca="false">IF(OR($A25="",NOT(ISNUMBER($B25))),"",IF(TRUE(),$B25-3,"n/a"))</f>
        <v/>
      </c>
      <c r="R25" s="23" t="b">
        <f aca="false">FALSE()</f>
        <v>0</v>
      </c>
      <c r="S25" s="40" t="str">
        <f aca="false">IF(OR($A25="",NOT(ISNUMBER($B25))),"",IF(ISNUMBER('My Colleges'!$H25),MAX('My Colleges'!$H25-7,MIN(Summary!$B$8+7,'My Colleges'!$H25-3)),"n/a"))</f>
        <v/>
      </c>
      <c r="T25" s="23" t="b">
        <f aca="false">FALSE()</f>
        <v>0</v>
      </c>
      <c r="U25" s="40" t="str">
        <f aca="false">IF(OR($A25="",NOT(ISNUMBER($B25))),"",IF(LEFT('My Colleges'!$AB25,8)="Required",MAX($B25-7,MIN(Summary!$B$8+7,$B25-3)),"n/a"))</f>
        <v/>
      </c>
      <c r="V25" s="23" t="b">
        <f aca="false">FALSE()</f>
        <v>0</v>
      </c>
      <c r="W25" s="40" t="str">
        <f aca="false">IF(OR($A25="",NOT(ISNUMBER($B25))),"",IF(TRUE(),$B25+10,"n/a"))</f>
        <v/>
      </c>
      <c r="X25" s="23" t="b">
        <f aca="false">FALSE()</f>
        <v>0</v>
      </c>
      <c r="Y25" s="40" t="str">
        <f aca="false">IF(OR($A25="",NOT(ISNUMBER($B25))),"",IF('My Colleges'!$AC25&lt;&gt;"",$B25+21,"n/a"))</f>
        <v/>
      </c>
      <c r="Z25" s="23" t="b">
        <f aca="false">FALSE()</f>
        <v>0</v>
      </c>
      <c r="AA25" s="26" t="str">
        <f aca="false">IF($A25="","",AB25-COUNT($AE25:$AO25))</f>
        <v/>
      </c>
      <c r="AB25" s="26" t="str">
        <f aca="false">IF($A25="","",SUMPRODUCT((MOD(COLUMN($C25:$X25)-COLUMN($C25),2)=0)*ISNUMBER($C25:$X25)))</f>
        <v/>
      </c>
      <c r="AC25" s="26" t="str">
        <f aca="false">IF($A25="","",IF($B25="Dropped","Dropped",IF(NOT(ISNUMBER($B25)),"Set a deadline on My Colleges",IF(COUNT($AE25:$AP25)=0,"All steps done",INDEX($AE$6:$AP$6,MATCH(MIN($AE25:$AP25),$AE25:$AP25,0))))))</f>
        <v/>
      </c>
      <c r="AD25" s="29" t="str">
        <f aca="false">IF(COUNT($AE25:$AP25)=0,"",INT(MIN($AE25:$AP25)))</f>
        <v/>
      </c>
      <c r="AE25" s="1" t="str">
        <f aca="false">IF(AND(ISNUMBER(C25),D25&lt;&gt;TRUE(),'My Colleges'!$T25&lt;&gt;"Submitted",'My Colleges'!$T25&lt;&gt;"Complete in portal"),C25+ROW()/1000+1/100000,"")</f>
        <v/>
      </c>
      <c r="AF25" s="1" t="str">
        <f aca="false">IF(AND(ISNUMBER(E25),F25&lt;&gt;TRUE(),'My Colleges'!$T25&lt;&gt;"Submitted",'My Colleges'!$T25&lt;&gt;"Complete in portal"),E25+ROW()/1000+2/100000,"")</f>
        <v/>
      </c>
      <c r="AG25" s="1" t="str">
        <f aca="false">IF(AND(ISNUMBER(G25),H25&lt;&gt;TRUE(),'My Colleges'!$T25&lt;&gt;"Submitted",'My Colleges'!$T25&lt;&gt;"Complete in portal"),G25+ROW()/1000+3/100000,"")</f>
        <v/>
      </c>
      <c r="AH25" s="1" t="str">
        <f aca="false">IF(AND(ISNUMBER(I25),J25&lt;&gt;TRUE(),'My Colleges'!$T25&lt;&gt;"Submitted",'My Colleges'!$T25&lt;&gt;"Complete in portal"),I25+ROW()/1000+4/100000,"")</f>
        <v/>
      </c>
      <c r="AI25" s="1" t="str">
        <f aca="false">IF(AND(ISNUMBER(K25),L25&lt;&gt;TRUE(),'My Colleges'!$T25&lt;&gt;"Submitted",'My Colleges'!$T25&lt;&gt;"Complete in portal"),K25+ROW()/1000+5/100000,"")</f>
        <v/>
      </c>
      <c r="AJ25" s="1" t="str">
        <f aca="false">IF(AND(ISNUMBER(M25),N25&lt;&gt;TRUE(),'My Colleges'!$T25&lt;&gt;"Submitted",'My Colleges'!$T25&lt;&gt;"Complete in portal"),M25+ROW()/1000+6/100000,"")</f>
        <v/>
      </c>
      <c r="AK25" s="1" t="str">
        <f aca="false">IF(AND(ISNUMBER(O25),P25&lt;&gt;TRUE(),'My Colleges'!$T25&lt;&gt;"Submitted",'My Colleges'!$T25&lt;&gt;"Complete in portal"),O25+ROW()/1000+7/100000,"")</f>
        <v/>
      </c>
      <c r="AL25" s="1" t="str">
        <f aca="false">IF(AND(ISNUMBER(Q25),R25&lt;&gt;TRUE(),'My Colleges'!$T25&lt;&gt;"Submitted",'My Colleges'!$T25&lt;&gt;"Complete in portal"),Q25+ROW()/1000+8/100000,"")</f>
        <v/>
      </c>
      <c r="AM25" s="1" t="str">
        <f aca="false">IF(AND(ISNUMBER(S25),T25&lt;&gt;TRUE()),S25+ROW()/1000+9/100000,"")</f>
        <v/>
      </c>
      <c r="AN25" s="1" t="str">
        <f aca="false">IF(AND(ISNUMBER(U25),V25&lt;&gt;TRUE()),U25+ROW()/1000+10/100000,"")</f>
        <v/>
      </c>
      <c r="AO25" s="1" t="str">
        <f aca="false">IF(AND(ISNUMBER(W25),X25&lt;&gt;TRUE()),W25+ROW()/1000+11/100000,"")</f>
        <v/>
      </c>
      <c r="AP25" s="1" t="str">
        <f aca="false">IF(AND(ISNUMBER(Y25),Z25&lt;&gt;TRUE(),ISNUMBER(SEARCH("requir",'My Colleges'!$AC25))+ISNUMBER(SEARCH("evaluat",'My Colleges'!$AC25))&gt;0),Y25+ROW()/1000+12/100000,"")</f>
        <v/>
      </c>
    </row>
    <row r="26" customFormat="false" ht="15" hidden="false" customHeight="true" outlineLevel="0" collapsed="false">
      <c r="A26" s="27" t="str">
        <f aca="false">IF('My Colleges'!$B26="","",'My Colleges'!$B26)</f>
        <v/>
      </c>
      <c r="B26" s="40" t="str">
        <f aca="false">IF($A26="","",IF('My Colleges'!$V26="No","Dropped",'My Colleges'!$I26))</f>
        <v/>
      </c>
      <c r="C26" s="40" t="str">
        <f aca="false">IF(OR($A26="",NOT(ISNUMBER($B26))),"",IF(TRUE(),MAX($B26-35,MIN(Summary!$B$8+7,$B26-3)),"n/a"))</f>
        <v/>
      </c>
      <c r="D26" s="23" t="b">
        <f aca="false">FALSE()</f>
        <v>0</v>
      </c>
      <c r="E26" s="40" t="str">
        <f aca="false">IF(OR($A26="",NOT(ISNUMBER($B26))),"",IF(NOT(OR('My Colleges'!$O26="None",'My Colleges'!$O26="None required")),MAX($B26-21,MIN(Summary!$B$8+7,$B26-3)),"n/a"))</f>
        <v/>
      </c>
      <c r="F26" s="23" t="b">
        <f aca="false">FALSE()</f>
        <v>0</v>
      </c>
      <c r="G26" s="40" t="str">
        <f aca="false">IF(OR($A26="",NOT(ISNUMBER($B26))),"",IF(NOT(AND(ISNUMBER('My Colleges'!$P26),'My Colleges'!$P26=0)),MAX($B26-28,MIN(Summary!$B$8+7,$B26-3)),"n/a"))</f>
        <v/>
      </c>
      <c r="H26" s="23" t="b">
        <f aca="false">FALSE()</f>
        <v>0</v>
      </c>
      <c r="I26" s="40" t="str">
        <f aca="false">IF(OR($A26="",NOT(ISNUMBER($B26))),"",IF(NOT(AND(ISNUMBER('My Colleges'!$P26),'My Colleges'!$P26=0)),MAX($B26-10,MIN(Summary!$B$8+7,$B26-3)),"n/a"))</f>
        <v/>
      </c>
      <c r="J26" s="23" t="b">
        <f aca="false">FALSE()</f>
        <v>0</v>
      </c>
      <c r="K26" s="40" t="str">
        <f aca="false">IF(OR($A26="",NOT(ISNUMBER($B26))),"",IF(TRUE(),MAX($B26-14,MIN(Summary!$B$8+7,$B26-3)),"n/a"))</f>
        <v/>
      </c>
      <c r="L26" s="23" t="b">
        <f aca="false">FALSE()</f>
        <v>0</v>
      </c>
      <c r="M26" s="40" t="str">
        <f aca="false">IF(OR($A26="",NOT(ISNUMBER($B26))),"",IF(AND('My Colleges'!$N26&lt;&gt;"Blind",OR('My Colleges'!$N26="Required",ISNUMBER(Me!$B$13),ISNUMBER(Me!$B$14))),MAX($B26-14,MIN(Summary!$B$8+7,$B26-3)),"n/a"))</f>
        <v/>
      </c>
      <c r="N26" s="23" t="b">
        <f aca="false">FALSE()</f>
        <v>0</v>
      </c>
      <c r="O26" s="40" t="str">
        <f aca="false">IF(OR($A26="",NOT(ISNUMBER($B26))),"",IF(NOT(AND(ISNUMBER('My Colleges'!$L26),'My Colleges'!$L26=0)),MAX($B26-5,MIN(Summary!$B$8+7,$B26-3)),"n/a"))</f>
        <v/>
      </c>
      <c r="P26" s="23" t="b">
        <f aca="false">FALSE()</f>
        <v>0</v>
      </c>
      <c r="Q26" s="40" t="str">
        <f aca="false">IF(OR($A26="",NOT(ISNUMBER($B26))),"",IF(TRUE(),$B26-3,"n/a"))</f>
        <v/>
      </c>
      <c r="R26" s="23" t="b">
        <f aca="false">FALSE()</f>
        <v>0</v>
      </c>
      <c r="S26" s="40" t="str">
        <f aca="false">IF(OR($A26="",NOT(ISNUMBER($B26))),"",IF(ISNUMBER('My Colleges'!$H26),MAX('My Colleges'!$H26-7,MIN(Summary!$B$8+7,'My Colleges'!$H26-3)),"n/a"))</f>
        <v/>
      </c>
      <c r="T26" s="23" t="b">
        <f aca="false">FALSE()</f>
        <v>0</v>
      </c>
      <c r="U26" s="40" t="str">
        <f aca="false">IF(OR($A26="",NOT(ISNUMBER($B26))),"",IF(LEFT('My Colleges'!$AB26,8)="Required",MAX($B26-7,MIN(Summary!$B$8+7,$B26-3)),"n/a"))</f>
        <v/>
      </c>
      <c r="V26" s="23" t="b">
        <f aca="false">FALSE()</f>
        <v>0</v>
      </c>
      <c r="W26" s="40" t="str">
        <f aca="false">IF(OR($A26="",NOT(ISNUMBER($B26))),"",IF(TRUE(),$B26+10,"n/a"))</f>
        <v/>
      </c>
      <c r="X26" s="23" t="b">
        <f aca="false">FALSE()</f>
        <v>0</v>
      </c>
      <c r="Y26" s="40" t="str">
        <f aca="false">IF(OR($A26="",NOT(ISNUMBER($B26))),"",IF('My Colleges'!$AC26&lt;&gt;"",$B26+21,"n/a"))</f>
        <v/>
      </c>
      <c r="Z26" s="23" t="b">
        <f aca="false">FALSE()</f>
        <v>0</v>
      </c>
      <c r="AA26" s="26" t="str">
        <f aca="false">IF($A26="","",AB26-COUNT($AE26:$AO26))</f>
        <v/>
      </c>
      <c r="AB26" s="26" t="str">
        <f aca="false">IF($A26="","",SUMPRODUCT((MOD(COLUMN($C26:$X26)-COLUMN($C26),2)=0)*ISNUMBER($C26:$X26)))</f>
        <v/>
      </c>
      <c r="AC26" s="26" t="str">
        <f aca="false">IF($A26="","",IF($B26="Dropped","Dropped",IF(NOT(ISNUMBER($B26)),"Set a deadline on My Colleges",IF(COUNT($AE26:$AP26)=0,"All steps done",INDEX($AE$6:$AP$6,MATCH(MIN($AE26:$AP26),$AE26:$AP26,0))))))</f>
        <v/>
      </c>
      <c r="AD26" s="29" t="str">
        <f aca="false">IF(COUNT($AE26:$AP26)=0,"",INT(MIN($AE26:$AP26)))</f>
        <v/>
      </c>
      <c r="AE26" s="1" t="str">
        <f aca="false">IF(AND(ISNUMBER(C26),D26&lt;&gt;TRUE(),'My Colleges'!$T26&lt;&gt;"Submitted",'My Colleges'!$T26&lt;&gt;"Complete in portal"),C26+ROW()/1000+1/100000,"")</f>
        <v/>
      </c>
      <c r="AF26" s="1" t="str">
        <f aca="false">IF(AND(ISNUMBER(E26),F26&lt;&gt;TRUE(),'My Colleges'!$T26&lt;&gt;"Submitted",'My Colleges'!$T26&lt;&gt;"Complete in portal"),E26+ROW()/1000+2/100000,"")</f>
        <v/>
      </c>
      <c r="AG26" s="1" t="str">
        <f aca="false">IF(AND(ISNUMBER(G26),H26&lt;&gt;TRUE(),'My Colleges'!$T26&lt;&gt;"Submitted",'My Colleges'!$T26&lt;&gt;"Complete in portal"),G26+ROW()/1000+3/100000,"")</f>
        <v/>
      </c>
      <c r="AH26" s="1" t="str">
        <f aca="false">IF(AND(ISNUMBER(I26),J26&lt;&gt;TRUE(),'My Colleges'!$T26&lt;&gt;"Submitted",'My Colleges'!$T26&lt;&gt;"Complete in portal"),I26+ROW()/1000+4/100000,"")</f>
        <v/>
      </c>
      <c r="AI26" s="1" t="str">
        <f aca="false">IF(AND(ISNUMBER(K26),L26&lt;&gt;TRUE(),'My Colleges'!$T26&lt;&gt;"Submitted",'My Colleges'!$T26&lt;&gt;"Complete in portal"),K26+ROW()/1000+5/100000,"")</f>
        <v/>
      </c>
      <c r="AJ26" s="1" t="str">
        <f aca="false">IF(AND(ISNUMBER(M26),N26&lt;&gt;TRUE(),'My Colleges'!$T26&lt;&gt;"Submitted",'My Colleges'!$T26&lt;&gt;"Complete in portal"),M26+ROW()/1000+6/100000,"")</f>
        <v/>
      </c>
      <c r="AK26" s="1" t="str">
        <f aca="false">IF(AND(ISNUMBER(O26),P26&lt;&gt;TRUE(),'My Colleges'!$T26&lt;&gt;"Submitted",'My Colleges'!$T26&lt;&gt;"Complete in portal"),O26+ROW()/1000+7/100000,"")</f>
        <v/>
      </c>
      <c r="AL26" s="1" t="str">
        <f aca="false">IF(AND(ISNUMBER(Q26),R26&lt;&gt;TRUE(),'My Colleges'!$T26&lt;&gt;"Submitted",'My Colleges'!$T26&lt;&gt;"Complete in portal"),Q26+ROW()/1000+8/100000,"")</f>
        <v/>
      </c>
      <c r="AM26" s="1" t="str">
        <f aca="false">IF(AND(ISNUMBER(S26),T26&lt;&gt;TRUE()),S26+ROW()/1000+9/100000,"")</f>
        <v/>
      </c>
      <c r="AN26" s="1" t="str">
        <f aca="false">IF(AND(ISNUMBER(U26),V26&lt;&gt;TRUE()),U26+ROW()/1000+10/100000,"")</f>
        <v/>
      </c>
      <c r="AO26" s="1" t="str">
        <f aca="false">IF(AND(ISNUMBER(W26),X26&lt;&gt;TRUE()),W26+ROW()/1000+11/100000,"")</f>
        <v/>
      </c>
      <c r="AP26" s="1" t="str">
        <f aca="false">IF(AND(ISNUMBER(Y26),Z26&lt;&gt;TRUE(),ISNUMBER(SEARCH("requir",'My Colleges'!$AC26))+ISNUMBER(SEARCH("evaluat",'My Colleges'!$AC26))&gt;0),Y26+ROW()/1000+12/100000,"")</f>
        <v/>
      </c>
    </row>
    <row r="27" customFormat="false" ht="15" hidden="false" customHeight="true" outlineLevel="0" collapsed="false">
      <c r="A27" s="27" t="str">
        <f aca="false">IF('My Colleges'!$B27="","",'My Colleges'!$B27)</f>
        <v/>
      </c>
      <c r="B27" s="40" t="str">
        <f aca="false">IF($A27="","",IF('My Colleges'!$V27="No","Dropped",'My Colleges'!$I27))</f>
        <v/>
      </c>
      <c r="C27" s="40" t="str">
        <f aca="false">IF(OR($A27="",NOT(ISNUMBER($B27))),"",IF(TRUE(),MAX($B27-35,MIN(Summary!$B$8+7,$B27-3)),"n/a"))</f>
        <v/>
      </c>
      <c r="D27" s="23" t="b">
        <f aca="false">FALSE()</f>
        <v>0</v>
      </c>
      <c r="E27" s="40" t="str">
        <f aca="false">IF(OR($A27="",NOT(ISNUMBER($B27))),"",IF(NOT(OR('My Colleges'!$O27="None",'My Colleges'!$O27="None required")),MAX($B27-21,MIN(Summary!$B$8+7,$B27-3)),"n/a"))</f>
        <v/>
      </c>
      <c r="F27" s="23" t="b">
        <f aca="false">FALSE()</f>
        <v>0</v>
      </c>
      <c r="G27" s="40" t="str">
        <f aca="false">IF(OR($A27="",NOT(ISNUMBER($B27))),"",IF(NOT(AND(ISNUMBER('My Colleges'!$P27),'My Colleges'!$P27=0)),MAX($B27-28,MIN(Summary!$B$8+7,$B27-3)),"n/a"))</f>
        <v/>
      </c>
      <c r="H27" s="23" t="b">
        <f aca="false">FALSE()</f>
        <v>0</v>
      </c>
      <c r="I27" s="40" t="str">
        <f aca="false">IF(OR($A27="",NOT(ISNUMBER($B27))),"",IF(NOT(AND(ISNUMBER('My Colleges'!$P27),'My Colleges'!$P27=0)),MAX($B27-10,MIN(Summary!$B$8+7,$B27-3)),"n/a"))</f>
        <v/>
      </c>
      <c r="J27" s="23" t="b">
        <f aca="false">FALSE()</f>
        <v>0</v>
      </c>
      <c r="K27" s="40" t="str">
        <f aca="false">IF(OR($A27="",NOT(ISNUMBER($B27))),"",IF(TRUE(),MAX($B27-14,MIN(Summary!$B$8+7,$B27-3)),"n/a"))</f>
        <v/>
      </c>
      <c r="L27" s="23" t="b">
        <f aca="false">FALSE()</f>
        <v>0</v>
      </c>
      <c r="M27" s="40" t="str">
        <f aca="false">IF(OR($A27="",NOT(ISNUMBER($B27))),"",IF(AND('My Colleges'!$N27&lt;&gt;"Blind",OR('My Colleges'!$N27="Required",ISNUMBER(Me!$B$13),ISNUMBER(Me!$B$14))),MAX($B27-14,MIN(Summary!$B$8+7,$B27-3)),"n/a"))</f>
        <v/>
      </c>
      <c r="N27" s="23" t="b">
        <f aca="false">FALSE()</f>
        <v>0</v>
      </c>
      <c r="O27" s="40" t="str">
        <f aca="false">IF(OR($A27="",NOT(ISNUMBER($B27))),"",IF(NOT(AND(ISNUMBER('My Colleges'!$L27),'My Colleges'!$L27=0)),MAX($B27-5,MIN(Summary!$B$8+7,$B27-3)),"n/a"))</f>
        <v/>
      </c>
      <c r="P27" s="23" t="b">
        <f aca="false">FALSE()</f>
        <v>0</v>
      </c>
      <c r="Q27" s="40" t="str">
        <f aca="false">IF(OR($A27="",NOT(ISNUMBER($B27))),"",IF(TRUE(),$B27-3,"n/a"))</f>
        <v/>
      </c>
      <c r="R27" s="23" t="b">
        <f aca="false">FALSE()</f>
        <v>0</v>
      </c>
      <c r="S27" s="40" t="str">
        <f aca="false">IF(OR($A27="",NOT(ISNUMBER($B27))),"",IF(ISNUMBER('My Colleges'!$H27),MAX('My Colleges'!$H27-7,MIN(Summary!$B$8+7,'My Colleges'!$H27-3)),"n/a"))</f>
        <v/>
      </c>
      <c r="T27" s="23" t="b">
        <f aca="false">FALSE()</f>
        <v>0</v>
      </c>
      <c r="U27" s="40" t="str">
        <f aca="false">IF(OR($A27="",NOT(ISNUMBER($B27))),"",IF(LEFT('My Colleges'!$AB27,8)="Required",MAX($B27-7,MIN(Summary!$B$8+7,$B27-3)),"n/a"))</f>
        <v/>
      </c>
      <c r="V27" s="23" t="b">
        <f aca="false">FALSE()</f>
        <v>0</v>
      </c>
      <c r="W27" s="40" t="str">
        <f aca="false">IF(OR($A27="",NOT(ISNUMBER($B27))),"",IF(TRUE(),$B27+10,"n/a"))</f>
        <v/>
      </c>
      <c r="X27" s="23" t="b">
        <f aca="false">FALSE()</f>
        <v>0</v>
      </c>
      <c r="Y27" s="40" t="str">
        <f aca="false">IF(OR($A27="",NOT(ISNUMBER($B27))),"",IF('My Colleges'!$AC27&lt;&gt;"",$B27+21,"n/a"))</f>
        <v/>
      </c>
      <c r="Z27" s="23" t="b">
        <f aca="false">FALSE()</f>
        <v>0</v>
      </c>
      <c r="AA27" s="26" t="str">
        <f aca="false">IF($A27="","",AB27-COUNT($AE27:$AO27))</f>
        <v/>
      </c>
      <c r="AB27" s="26" t="str">
        <f aca="false">IF($A27="","",SUMPRODUCT((MOD(COLUMN($C27:$X27)-COLUMN($C27),2)=0)*ISNUMBER($C27:$X27)))</f>
        <v/>
      </c>
      <c r="AC27" s="26" t="str">
        <f aca="false">IF($A27="","",IF($B27="Dropped","Dropped",IF(NOT(ISNUMBER($B27)),"Set a deadline on My Colleges",IF(COUNT($AE27:$AP27)=0,"All steps done",INDEX($AE$6:$AP$6,MATCH(MIN($AE27:$AP27),$AE27:$AP27,0))))))</f>
        <v/>
      </c>
      <c r="AD27" s="29" t="str">
        <f aca="false">IF(COUNT($AE27:$AP27)=0,"",INT(MIN($AE27:$AP27)))</f>
        <v/>
      </c>
      <c r="AE27" s="1" t="str">
        <f aca="false">IF(AND(ISNUMBER(C27),D27&lt;&gt;TRUE(),'My Colleges'!$T27&lt;&gt;"Submitted",'My Colleges'!$T27&lt;&gt;"Complete in portal"),C27+ROW()/1000+1/100000,"")</f>
        <v/>
      </c>
      <c r="AF27" s="1" t="str">
        <f aca="false">IF(AND(ISNUMBER(E27),F27&lt;&gt;TRUE(),'My Colleges'!$T27&lt;&gt;"Submitted",'My Colleges'!$T27&lt;&gt;"Complete in portal"),E27+ROW()/1000+2/100000,"")</f>
        <v/>
      </c>
      <c r="AG27" s="1" t="str">
        <f aca="false">IF(AND(ISNUMBER(G27),H27&lt;&gt;TRUE(),'My Colleges'!$T27&lt;&gt;"Submitted",'My Colleges'!$T27&lt;&gt;"Complete in portal"),G27+ROW()/1000+3/100000,"")</f>
        <v/>
      </c>
      <c r="AH27" s="1" t="str">
        <f aca="false">IF(AND(ISNUMBER(I27),J27&lt;&gt;TRUE(),'My Colleges'!$T27&lt;&gt;"Submitted",'My Colleges'!$T27&lt;&gt;"Complete in portal"),I27+ROW()/1000+4/100000,"")</f>
        <v/>
      </c>
      <c r="AI27" s="1" t="str">
        <f aca="false">IF(AND(ISNUMBER(K27),L27&lt;&gt;TRUE(),'My Colleges'!$T27&lt;&gt;"Submitted",'My Colleges'!$T27&lt;&gt;"Complete in portal"),K27+ROW()/1000+5/100000,"")</f>
        <v/>
      </c>
      <c r="AJ27" s="1" t="str">
        <f aca="false">IF(AND(ISNUMBER(M27),N27&lt;&gt;TRUE(),'My Colleges'!$T27&lt;&gt;"Submitted",'My Colleges'!$T27&lt;&gt;"Complete in portal"),M27+ROW()/1000+6/100000,"")</f>
        <v/>
      </c>
      <c r="AK27" s="1" t="str">
        <f aca="false">IF(AND(ISNUMBER(O27),P27&lt;&gt;TRUE(),'My Colleges'!$T27&lt;&gt;"Submitted",'My Colleges'!$T27&lt;&gt;"Complete in portal"),O27+ROW()/1000+7/100000,"")</f>
        <v/>
      </c>
      <c r="AL27" s="1" t="str">
        <f aca="false">IF(AND(ISNUMBER(Q27),R27&lt;&gt;TRUE(),'My Colleges'!$T27&lt;&gt;"Submitted",'My Colleges'!$T27&lt;&gt;"Complete in portal"),Q27+ROW()/1000+8/100000,"")</f>
        <v/>
      </c>
      <c r="AM27" s="1" t="str">
        <f aca="false">IF(AND(ISNUMBER(S27),T27&lt;&gt;TRUE()),S27+ROW()/1000+9/100000,"")</f>
        <v/>
      </c>
      <c r="AN27" s="1" t="str">
        <f aca="false">IF(AND(ISNUMBER(U27),V27&lt;&gt;TRUE()),U27+ROW()/1000+10/100000,"")</f>
        <v/>
      </c>
      <c r="AO27" s="1" t="str">
        <f aca="false">IF(AND(ISNUMBER(W27),X27&lt;&gt;TRUE()),W27+ROW()/1000+11/100000,"")</f>
        <v/>
      </c>
      <c r="AP27" s="1" t="str">
        <f aca="false">IF(AND(ISNUMBER(Y27),Z27&lt;&gt;TRUE(),ISNUMBER(SEARCH("requir",'My Colleges'!$AC27))+ISNUMBER(SEARCH("evaluat",'My Colleges'!$AC27))&gt;0),Y27+ROW()/1000+12/100000,"")</f>
        <v/>
      </c>
    </row>
    <row r="29" customFormat="false" ht="15" hidden="false" customHeight="true" outlineLevel="0" collapsed="false">
      <c r="A29" s="20" t="s">
        <v>204</v>
      </c>
    </row>
  </sheetData>
  <mergeCells count="13">
    <mergeCell ref="A2:Z2"/>
    <mergeCell ref="C6:D6"/>
    <mergeCell ref="E6:F6"/>
    <mergeCell ref="G6:H6"/>
    <mergeCell ref="I6:J6"/>
    <mergeCell ref="K6:L6"/>
    <mergeCell ref="M6:N6"/>
    <mergeCell ref="O6:P6"/>
    <mergeCell ref="Q6:R6"/>
    <mergeCell ref="S6:T6"/>
    <mergeCell ref="U6:V6"/>
    <mergeCell ref="W6:X6"/>
    <mergeCell ref="Y6:Z6"/>
  </mergeCells>
  <conditionalFormatting sqref="C8:D27">
    <cfRule type="expression" priority="2" aboveAverage="0" equalAverage="0" bottom="0" percent="0" rank="0" text="" dxfId="16">
      <formula>$D8=1</formula>
    </cfRule>
    <cfRule type="expression" priority="3" aboveAverage="0" equalAverage="0" bottom="0" percent="0" rank="0" text="" dxfId="0">
      <formula>AND(ISNUMBER($C8),$C8&lt;TODAY(),$D8&lt;&gt;1)</formula>
    </cfRule>
    <cfRule type="expression" priority="4" aboveAverage="0" equalAverage="0" bottom="0" percent="0" rank="0" text="" dxfId="1">
      <formula>AND(ISNUMBER($C8),$C8&gt;=TODAY(),$C8&lt;=TODAY()+7,$D8&lt;&gt;1)</formula>
    </cfRule>
    <cfRule type="expression" priority="5" aboveAverage="0" equalAverage="0" bottom="0" percent="0" rank="0" text="" dxfId="16">
      <formula>AND(ISNUMBER($C8),OR('My Colleges'!$T8="Submitted",'My Colleges'!$T8="Complete in portal"))</formula>
    </cfRule>
  </conditionalFormatting>
  <conditionalFormatting sqref="C8:C27">
    <cfRule type="expression" priority="6" aboveAverage="0" equalAverage="0" bottom="0" percent="0" rank="0" text="" dxfId="17">
      <formula>$C8="n/a"</formula>
    </cfRule>
  </conditionalFormatting>
  <conditionalFormatting sqref="E8:F27">
    <cfRule type="expression" priority="7" aboveAverage="0" equalAverage="0" bottom="0" percent="0" rank="0" text="" dxfId="16">
      <formula>$F8=1</formula>
    </cfRule>
    <cfRule type="expression" priority="8" aboveAverage="0" equalAverage="0" bottom="0" percent="0" rank="0" text="" dxfId="0">
      <formula>AND(ISNUMBER($E8),$E8&lt;TODAY(),$F8&lt;&gt;1)</formula>
    </cfRule>
    <cfRule type="expression" priority="9" aboveAverage="0" equalAverage="0" bottom="0" percent="0" rank="0" text="" dxfId="1">
      <formula>AND(ISNUMBER($E8),$E8&gt;=TODAY(),$E8&lt;=TODAY()+7,$F8&lt;&gt;1)</formula>
    </cfRule>
    <cfRule type="expression" priority="10" aboveAverage="0" equalAverage="0" bottom="0" percent="0" rank="0" text="" dxfId="16">
      <formula>AND(ISNUMBER($E8),OR('My Colleges'!$T8="Submitted",'My Colleges'!$T8="Complete in portal"))</formula>
    </cfRule>
  </conditionalFormatting>
  <conditionalFormatting sqref="E8:E27">
    <cfRule type="expression" priority="11" aboveAverage="0" equalAverage="0" bottom="0" percent="0" rank="0" text="" dxfId="17">
      <formula>$E8="n/a"</formula>
    </cfRule>
  </conditionalFormatting>
  <conditionalFormatting sqref="G8:H27">
    <cfRule type="expression" priority="12" aboveAverage="0" equalAverage="0" bottom="0" percent="0" rank="0" text="" dxfId="16">
      <formula>$H8=1</formula>
    </cfRule>
    <cfRule type="expression" priority="13" aboveAverage="0" equalAverage="0" bottom="0" percent="0" rank="0" text="" dxfId="0">
      <formula>AND(ISNUMBER($G8),$G8&lt;TODAY(),$H8&lt;&gt;1)</formula>
    </cfRule>
    <cfRule type="expression" priority="14" aboveAverage="0" equalAverage="0" bottom="0" percent="0" rank="0" text="" dxfId="1">
      <formula>AND(ISNUMBER($G8),$G8&gt;=TODAY(),$G8&lt;=TODAY()+7,$H8&lt;&gt;1)</formula>
    </cfRule>
    <cfRule type="expression" priority="15" aboveAverage="0" equalAverage="0" bottom="0" percent="0" rank="0" text="" dxfId="16">
      <formula>AND(ISNUMBER($G8),OR('My Colleges'!$T8="Submitted",'My Colleges'!$T8="Complete in portal"))</formula>
    </cfRule>
  </conditionalFormatting>
  <conditionalFormatting sqref="G8:G27">
    <cfRule type="expression" priority="16" aboveAverage="0" equalAverage="0" bottom="0" percent="0" rank="0" text="" dxfId="17">
      <formula>$G8="n/a"</formula>
    </cfRule>
  </conditionalFormatting>
  <conditionalFormatting sqref="I8:J27">
    <cfRule type="expression" priority="17" aboveAverage="0" equalAverage="0" bottom="0" percent="0" rank="0" text="" dxfId="16">
      <formula>$J8=1</formula>
    </cfRule>
    <cfRule type="expression" priority="18" aboveAverage="0" equalAverage="0" bottom="0" percent="0" rank="0" text="" dxfId="0">
      <formula>AND(ISNUMBER($I8),$I8&lt;TODAY(),$J8&lt;&gt;1)</formula>
    </cfRule>
    <cfRule type="expression" priority="19" aboveAverage="0" equalAverage="0" bottom="0" percent="0" rank="0" text="" dxfId="1">
      <formula>AND(ISNUMBER($I8),$I8&gt;=TODAY(),$I8&lt;=TODAY()+7,$J8&lt;&gt;1)</formula>
    </cfRule>
    <cfRule type="expression" priority="20" aboveAverage="0" equalAverage="0" bottom="0" percent="0" rank="0" text="" dxfId="16">
      <formula>AND(ISNUMBER($I8),OR('My Colleges'!$T8="Submitted",'My Colleges'!$T8="Complete in portal"))</formula>
    </cfRule>
  </conditionalFormatting>
  <conditionalFormatting sqref="I8:I27">
    <cfRule type="expression" priority="21" aboveAverage="0" equalAverage="0" bottom="0" percent="0" rank="0" text="" dxfId="17">
      <formula>$I8="n/a"</formula>
    </cfRule>
  </conditionalFormatting>
  <conditionalFormatting sqref="K8:L27">
    <cfRule type="expression" priority="22" aboveAverage="0" equalAverage="0" bottom="0" percent="0" rank="0" text="" dxfId="16">
      <formula>$L8=1</formula>
    </cfRule>
    <cfRule type="expression" priority="23" aboveAverage="0" equalAverage="0" bottom="0" percent="0" rank="0" text="" dxfId="0">
      <formula>AND(ISNUMBER($K8),$K8&lt;TODAY(),$L8&lt;&gt;1)</formula>
    </cfRule>
    <cfRule type="expression" priority="24" aboveAverage="0" equalAverage="0" bottom="0" percent="0" rank="0" text="" dxfId="1">
      <formula>AND(ISNUMBER($K8),$K8&gt;=TODAY(),$K8&lt;=TODAY()+7,$L8&lt;&gt;1)</formula>
    </cfRule>
    <cfRule type="expression" priority="25" aboveAverage="0" equalAverage="0" bottom="0" percent="0" rank="0" text="" dxfId="16">
      <formula>AND(ISNUMBER($K8),OR('My Colleges'!$T8="Submitted",'My Colleges'!$T8="Complete in portal"))</formula>
    </cfRule>
  </conditionalFormatting>
  <conditionalFormatting sqref="K8:K27">
    <cfRule type="expression" priority="26" aboveAverage="0" equalAverage="0" bottom="0" percent="0" rank="0" text="" dxfId="17">
      <formula>$K8="n/a"</formula>
    </cfRule>
  </conditionalFormatting>
  <conditionalFormatting sqref="M8:N27">
    <cfRule type="expression" priority="27" aboveAverage="0" equalAverage="0" bottom="0" percent="0" rank="0" text="" dxfId="16">
      <formula>$N8=1</formula>
    </cfRule>
    <cfRule type="expression" priority="28" aboveAverage="0" equalAverage="0" bottom="0" percent="0" rank="0" text="" dxfId="0">
      <formula>AND(ISNUMBER($M8),$M8&lt;TODAY(),$N8&lt;&gt;1)</formula>
    </cfRule>
    <cfRule type="expression" priority="29" aboveAverage="0" equalAverage="0" bottom="0" percent="0" rank="0" text="" dxfId="1">
      <formula>AND(ISNUMBER($M8),$M8&gt;=TODAY(),$M8&lt;=TODAY()+7,$N8&lt;&gt;1)</formula>
    </cfRule>
    <cfRule type="expression" priority="30" aboveAverage="0" equalAverage="0" bottom="0" percent="0" rank="0" text="" dxfId="16">
      <formula>AND(ISNUMBER($M8),OR('My Colleges'!$T8="Submitted",'My Colleges'!$T8="Complete in portal"))</formula>
    </cfRule>
  </conditionalFormatting>
  <conditionalFormatting sqref="M8:M27">
    <cfRule type="expression" priority="31" aboveAverage="0" equalAverage="0" bottom="0" percent="0" rank="0" text="" dxfId="17">
      <formula>$M8="n/a"</formula>
    </cfRule>
  </conditionalFormatting>
  <conditionalFormatting sqref="O8:P27">
    <cfRule type="expression" priority="32" aboveAverage="0" equalAverage="0" bottom="0" percent="0" rank="0" text="" dxfId="16">
      <formula>$P8=1</formula>
    </cfRule>
    <cfRule type="expression" priority="33" aboveAverage="0" equalAverage="0" bottom="0" percent="0" rank="0" text="" dxfId="0">
      <formula>AND(ISNUMBER($O8),$O8&lt;TODAY(),$P8&lt;&gt;1)</formula>
    </cfRule>
    <cfRule type="expression" priority="34" aboveAverage="0" equalAverage="0" bottom="0" percent="0" rank="0" text="" dxfId="1">
      <formula>AND(ISNUMBER($O8),$O8&gt;=TODAY(),$O8&lt;=TODAY()+7,$P8&lt;&gt;1)</formula>
    </cfRule>
    <cfRule type="expression" priority="35" aboveAverage="0" equalAverage="0" bottom="0" percent="0" rank="0" text="" dxfId="16">
      <formula>AND(ISNUMBER($O8),OR('My Colleges'!$T8="Submitted",'My Colleges'!$T8="Complete in portal"))</formula>
    </cfRule>
  </conditionalFormatting>
  <conditionalFormatting sqref="O8:O27">
    <cfRule type="expression" priority="36" aboveAverage="0" equalAverage="0" bottom="0" percent="0" rank="0" text="" dxfId="17">
      <formula>$O8="n/a"</formula>
    </cfRule>
  </conditionalFormatting>
  <conditionalFormatting sqref="Q8:R27">
    <cfRule type="expression" priority="37" aboveAverage="0" equalAverage="0" bottom="0" percent="0" rank="0" text="" dxfId="16">
      <formula>$R8=1</formula>
    </cfRule>
    <cfRule type="expression" priority="38" aboveAverage="0" equalAverage="0" bottom="0" percent="0" rank="0" text="" dxfId="0">
      <formula>AND(ISNUMBER($Q8),$Q8&lt;TODAY(),$R8&lt;&gt;1)</formula>
    </cfRule>
    <cfRule type="expression" priority="39" aboveAverage="0" equalAverage="0" bottom="0" percent="0" rank="0" text="" dxfId="1">
      <formula>AND(ISNUMBER($Q8),$Q8&gt;=TODAY(),$Q8&lt;=TODAY()+7,$R8&lt;&gt;1)</formula>
    </cfRule>
    <cfRule type="expression" priority="40" aboveAverage="0" equalAverage="0" bottom="0" percent="0" rank="0" text="" dxfId="16">
      <formula>AND(ISNUMBER($Q8),OR('My Colleges'!$T8="Submitted",'My Colleges'!$T8="Complete in portal"))</formula>
    </cfRule>
  </conditionalFormatting>
  <conditionalFormatting sqref="Q8:Q27">
    <cfRule type="expression" priority="41" aboveAverage="0" equalAverage="0" bottom="0" percent="0" rank="0" text="" dxfId="17">
      <formula>$Q8="n/a"</formula>
    </cfRule>
  </conditionalFormatting>
  <conditionalFormatting sqref="S8:T27">
    <cfRule type="expression" priority="42" aboveAverage="0" equalAverage="0" bottom="0" percent="0" rank="0" text="" dxfId="16">
      <formula>$T8=1</formula>
    </cfRule>
    <cfRule type="expression" priority="43" aboveAverage="0" equalAverage="0" bottom="0" percent="0" rank="0" text="" dxfId="0">
      <formula>AND(ISNUMBER($S8),$S8&lt;TODAY(),$T8&lt;&gt;1)</formula>
    </cfRule>
    <cfRule type="expression" priority="44" aboveAverage="0" equalAverage="0" bottom="0" percent="0" rank="0" text="" dxfId="1">
      <formula>AND(ISNUMBER($S8),$S8&gt;=TODAY(),$S8&lt;=TODAY()+7,$T8&lt;&gt;1)</formula>
    </cfRule>
  </conditionalFormatting>
  <conditionalFormatting sqref="S8:S27">
    <cfRule type="expression" priority="45" aboveAverage="0" equalAverage="0" bottom="0" percent="0" rank="0" text="" dxfId="17">
      <formula>$S8="n/a"</formula>
    </cfRule>
  </conditionalFormatting>
  <conditionalFormatting sqref="U8:V27">
    <cfRule type="expression" priority="46" aboveAverage="0" equalAverage="0" bottom="0" percent="0" rank="0" text="" dxfId="16">
      <formula>$V8=1</formula>
    </cfRule>
    <cfRule type="expression" priority="47" aboveAverage="0" equalAverage="0" bottom="0" percent="0" rank="0" text="" dxfId="0">
      <formula>AND(ISNUMBER($U8),$U8&lt;TODAY(),$V8&lt;&gt;1)</formula>
    </cfRule>
    <cfRule type="expression" priority="48" aboveAverage="0" equalAverage="0" bottom="0" percent="0" rank="0" text="" dxfId="1">
      <formula>AND(ISNUMBER($U8),$U8&gt;=TODAY(),$U8&lt;=TODAY()+7,$V8&lt;&gt;1)</formula>
    </cfRule>
  </conditionalFormatting>
  <conditionalFormatting sqref="U8:U27">
    <cfRule type="expression" priority="49" aboveAverage="0" equalAverage="0" bottom="0" percent="0" rank="0" text="" dxfId="17">
      <formula>$U8="n/a"</formula>
    </cfRule>
  </conditionalFormatting>
  <conditionalFormatting sqref="W8:X27">
    <cfRule type="expression" priority="50" aboveAverage="0" equalAverage="0" bottom="0" percent="0" rank="0" text="" dxfId="16">
      <formula>$X8=1</formula>
    </cfRule>
    <cfRule type="expression" priority="51" aboveAverage="0" equalAverage="0" bottom="0" percent="0" rank="0" text="" dxfId="0">
      <formula>AND(ISNUMBER($W8),$W8&lt;TODAY(),$X8&lt;&gt;1)</formula>
    </cfRule>
    <cfRule type="expression" priority="52" aboveAverage="0" equalAverage="0" bottom="0" percent="0" rank="0" text="" dxfId="1">
      <formula>AND(ISNUMBER($W8),$W8&gt;=TODAY(),$W8&lt;=TODAY()+7,$X8&lt;&gt;1)</formula>
    </cfRule>
  </conditionalFormatting>
  <conditionalFormatting sqref="W8:W27">
    <cfRule type="expression" priority="53" aboveAverage="0" equalAverage="0" bottom="0" percent="0" rank="0" text="" dxfId="17">
      <formula>$W8="n/a"</formula>
    </cfRule>
  </conditionalFormatting>
  <conditionalFormatting sqref="Y8:Z27">
    <cfRule type="expression" priority="54" aboveAverage="0" equalAverage="0" bottom="0" percent="0" rank="0" text="" dxfId="16">
      <formula>$Z8=1</formula>
    </cfRule>
    <cfRule type="expression" priority="55" aboveAverage="0" equalAverage="0" bottom="0" percent="0" rank="0" text="" dxfId="0">
      <formula>AND(ISNUMBER($Y8),$Y8&lt;TODAY(),$Z8&lt;&gt;1)</formula>
    </cfRule>
    <cfRule type="expression" priority="56" aboveAverage="0" equalAverage="0" bottom="0" percent="0" rank="0" text="" dxfId="1">
      <formula>AND(ISNUMBER($Y8),$Y8&gt;=TODAY(),$Y8&lt;=TODAY()+7,$Z8&lt;&gt;1)</formula>
    </cfRule>
  </conditionalFormatting>
  <conditionalFormatting sqref="Y8:Y27">
    <cfRule type="expression" priority="57" aboveAverage="0" equalAverage="0" bottom="0" percent="0" rank="0" text="" dxfId="17">
      <formula>$Y8="n/a"</formula>
    </cfRule>
  </conditionalFormatting>
  <dataValidations count="1">
    <dataValidation allowBlank="true" errorStyle="stop" operator="between" showDropDown="false" showErrorMessage="false" showInputMessage="false" sqref="D8:D27 F8:F27 H8:H27 J8:J27 L8:L27 N8:N27 P8:P27 R8:R27 T8:T27 V8:V27 X8:X27 Z8:Z27"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
    <col collapsed="false" customWidth="true" hidden="false" outlineLevel="0" max="3" min="3" style="1" width="62"/>
    <col collapsed="false" customWidth="true" hidden="false" outlineLevel="0" max="4" min="4" style="1" width="11"/>
    <col collapsed="false" customWidth="true" hidden="false" outlineLevel="0" max="5" min="5" style="1" width="14"/>
    <col collapsed="false" customWidth="true" hidden="false" outlineLevel="0" max="6" min="6" style="1" width="18"/>
    <col collapsed="false" customWidth="true" hidden="false" outlineLevel="0" max="7" min="7" style="1" width="9"/>
    <col collapsed="false" customWidth="true" hidden="false" outlineLevel="0" max="9" min="8" style="1" width="12"/>
    <col collapsed="false" customWidth="true" hidden="false" outlineLevel="0" max="11" min="10" style="1" width="26"/>
  </cols>
  <sheetData>
    <row r="1" customFormat="false" ht="30" hidden="false" customHeight="true" outlineLevel="0" collapsed="false">
      <c r="A1" s="2" t="s">
        <v>205</v>
      </c>
      <c r="B1" s="3"/>
      <c r="C1" s="3"/>
      <c r="D1" s="3"/>
      <c r="E1" s="3"/>
      <c r="F1" s="3"/>
      <c r="G1" s="3"/>
      <c r="H1" s="3"/>
      <c r="I1" s="3"/>
      <c r="J1" s="3"/>
      <c r="K1" s="3"/>
    </row>
    <row r="2" customFormat="false" ht="43.5" hidden="false" customHeight="true" outlineLevel="0" collapsed="false">
      <c r="A2" s="4" t="s">
        <v>206</v>
      </c>
      <c r="B2" s="4"/>
      <c r="C2" s="4"/>
      <c r="D2" s="4"/>
      <c r="E2" s="4"/>
      <c r="F2" s="4"/>
      <c r="G2" s="4"/>
      <c r="H2" s="4"/>
      <c r="I2" s="4"/>
      <c r="J2" s="4"/>
      <c r="K2" s="4"/>
    </row>
    <row r="4" customFormat="false" ht="25.5" hidden="false" customHeight="true" outlineLevel="0" collapsed="false">
      <c r="A4" s="12" t="s">
        <v>207</v>
      </c>
      <c r="C4" s="12" t="s">
        <v>208</v>
      </c>
      <c r="E4" s="12" t="s">
        <v>209</v>
      </c>
    </row>
    <row r="5" customFormat="false" ht="17.25" hidden="false" customHeight="true" outlineLevel="0" collapsed="false">
      <c r="A5" s="14" t="n">
        <f aca="false">COUNTIF(G12:G111,"?*")</f>
        <v>0</v>
      </c>
      <c r="C5" s="14" t="n">
        <f aca="false">COUNTIF(H8:H111,"Final")</f>
        <v>0</v>
      </c>
      <c r="E5" s="14" t="str">
        <f aca="false">COUNTIF(H9:H10,"Final")&amp;" of 2"</f>
        <v>0 of 2</v>
      </c>
    </row>
    <row r="7" customFormat="false" ht="31.5" hidden="false" customHeight="true" outlineLevel="0" collapsed="false">
      <c r="A7" s="16" t="s">
        <v>50</v>
      </c>
      <c r="B7" s="16" t="s">
        <v>155</v>
      </c>
      <c r="C7" s="16" t="s">
        <v>210</v>
      </c>
      <c r="D7" s="16" t="s">
        <v>211</v>
      </c>
      <c r="E7" s="16" t="s">
        <v>212</v>
      </c>
      <c r="F7" s="16" t="s">
        <v>213</v>
      </c>
      <c r="G7" s="16" t="s">
        <v>214</v>
      </c>
      <c r="H7" s="16" t="s">
        <v>168</v>
      </c>
      <c r="I7" s="16" t="s">
        <v>215</v>
      </c>
      <c r="J7" s="16" t="s">
        <v>216</v>
      </c>
      <c r="K7" s="16" t="s">
        <v>58</v>
      </c>
    </row>
    <row r="8" customFormat="false" ht="15" hidden="false" customHeight="true" outlineLevel="0" collapsed="false">
      <c r="A8" s="41" t="s">
        <v>217</v>
      </c>
      <c r="B8" s="41" t="n">
        <v>0</v>
      </c>
      <c r="C8" s="41" t="s">
        <v>218</v>
      </c>
      <c r="D8" s="41" t="s">
        <v>219</v>
      </c>
      <c r="E8" s="41"/>
      <c r="F8" s="41" t="s">
        <v>220</v>
      </c>
      <c r="G8" s="41" t="s">
        <v>221</v>
      </c>
      <c r="H8" s="24" t="s">
        <v>222</v>
      </c>
      <c r="I8" s="33" t="n">
        <v>46317</v>
      </c>
      <c r="J8" s="24"/>
      <c r="K8" s="24"/>
    </row>
    <row r="9" customFormat="false" ht="23.25" hidden="false" customHeight="true" outlineLevel="0" collapsed="false">
      <c r="A9" s="41" t="s">
        <v>223</v>
      </c>
      <c r="B9" s="41" t="n">
        <v>1</v>
      </c>
      <c r="C9" s="41" t="s">
        <v>224</v>
      </c>
      <c r="D9" s="41" t="s">
        <v>225</v>
      </c>
      <c r="E9" s="41"/>
      <c r="F9" s="41" t="s">
        <v>226</v>
      </c>
      <c r="G9" s="41" t="s">
        <v>221</v>
      </c>
      <c r="H9" s="24" t="s">
        <v>222</v>
      </c>
      <c r="I9" s="33" t="n">
        <v>46317</v>
      </c>
      <c r="J9" s="24"/>
      <c r="K9" s="24"/>
    </row>
    <row r="10" customFormat="false" ht="23.25" hidden="false" customHeight="true" outlineLevel="0" collapsed="false">
      <c r="A10" s="41" t="s">
        <v>227</v>
      </c>
      <c r="B10" s="41" t="n">
        <v>2</v>
      </c>
      <c r="C10" s="41" t="s">
        <v>228</v>
      </c>
      <c r="D10" s="41" t="s">
        <v>225</v>
      </c>
      <c r="E10" s="41"/>
      <c r="F10" s="41" t="s">
        <v>226</v>
      </c>
      <c r="G10" s="41" t="s">
        <v>221</v>
      </c>
      <c r="H10" s="24" t="s">
        <v>222</v>
      </c>
      <c r="I10" s="33" t="n">
        <v>46317</v>
      </c>
      <c r="J10" s="24"/>
      <c r="K10" s="24"/>
    </row>
    <row r="11" customFormat="false" ht="15" hidden="false" customHeight="true" outlineLevel="0" collapsed="false">
      <c r="A11" s="42" t="s">
        <v>229</v>
      </c>
    </row>
    <row r="12" customFormat="false" ht="15" hidden="false" customHeight="true" outlineLevel="0" collapsed="false">
      <c r="A12" s="18" t="str">
        <f aca="false">IF(OR('My Colleges'!$B$8="",'My Colleges'!$V$8="No"),"",'My Colleges'!$B$8)</f>
        <v/>
      </c>
      <c r="B12" s="18" t="str">
        <f aca="false">IF($A12="","",1)</f>
        <v/>
      </c>
      <c r="C12" s="18" t="str">
        <f aca="false">IF($A12="","",IF(ISNUMBER(MATCH('My Colleges'!$B$8&amp;"|1",DB_Prompts!$A$2:$A$800,0)),INDEX(DB_Prompts!$D$2:$D$800,MATCH('My Colleges'!$B$8&amp;"|1",DB_Prompts!$A$2:$A$800,0)),IF('My Colleges'!$P$8=0,"No extra essays required.","Prompts not loaded yet: check this college's Admissions Page (last column on Explore) or its Common App page, and copy any prompts into Notes.")))</f>
        <v/>
      </c>
      <c r="D12" s="18" t="str">
        <f aca="false">IF(AND($A12&lt;&gt;"",ISNUMBER(MATCH('My Colleges'!$B$8&amp;"|1",DB_Prompts!$A$2:$A$800,0))),INDEX(DB_Prompts!$E$2:$E$800,MATCH('My Colleges'!$B$8&amp;"|1",DB_Prompts!$A$2:$A$800,0)),"")</f>
        <v/>
      </c>
      <c r="E12" s="18" t="str">
        <f aca="false">IF(AND($A12&lt;&gt;"",ISNUMBER(MATCH('My Colleges'!$B$8&amp;"|1",DB_Prompts!$A$2:$A$800,0))),INDEX(DB_Prompts!$F$2:$F$800,MATCH('My Colleges'!$B$8&amp;"|1",DB_Prompts!$A$2:$A$800,0)),"")</f>
        <v/>
      </c>
      <c r="F12" s="18" t="str">
        <f aca="false">IF(AND($A12&lt;&gt;"",ISNUMBER(MATCH('My Colleges'!$B$8&amp;"|1",DB_Prompts!$A$2:$A$800,0))),INDEX(DB_Prompts!$H$2:$H$800,MATCH('My Colleges'!$B$8&amp;"|1",DB_Prompts!$A$2:$A$800,0)),"")</f>
        <v/>
      </c>
      <c r="G12" s="18" t="str">
        <f aca="false">IF(AND($A12&lt;&gt;"",ISNUMBER(MATCH('My Colleges'!$B$8&amp;"|1",DB_Prompts!$A$2:$A$800,0))),INDEX(DB_Prompts!$G$2:$G$800,MATCH('My Colleges'!$B$8&amp;"|1",DB_Prompts!$A$2:$A$800,0)),"")</f>
        <v/>
      </c>
      <c r="H12" s="24"/>
      <c r="I12" s="17" t="str">
        <f aca="false">IF(AND($C12&lt;&gt;"",ISNUMBER('My Colleges'!$I$8)),'My Colleges'!$I$8-10,"")</f>
        <v/>
      </c>
      <c r="J12" s="24"/>
      <c r="K12" s="24"/>
    </row>
    <row r="13" customFormat="false" ht="15" hidden="false" customHeight="true" outlineLevel="0" collapsed="false">
      <c r="A13" s="18" t="str">
        <f aca="false">IF(AND(ISNUMBER(MATCH('My Colleges'!$B$8&amp;"|2",DB_Prompts!$A$2:$A$800,0)),'My Colleges'!$V$8&lt;&gt;"No"),'My Colleges'!$B$8,"")</f>
        <v/>
      </c>
      <c r="B13" s="18" t="str">
        <f aca="false">IF($A13="","",2)</f>
        <v/>
      </c>
      <c r="C13" s="18" t="str">
        <f aca="false">IF(AND($A13&lt;&gt;"",ISNUMBER(MATCH('My Colleges'!$B$8&amp;"|2",DB_Prompts!$A$2:$A$800,0))),INDEX(DB_Prompts!$D$2:$D$800,MATCH('My Colleges'!$B$8&amp;"|2",DB_Prompts!$A$2:$A$800,0)),"")</f>
        <v/>
      </c>
      <c r="D13" s="18" t="str">
        <f aca="false">IF(AND($A13&lt;&gt;"",ISNUMBER(MATCH('My Colleges'!$B$8&amp;"|2",DB_Prompts!$A$2:$A$800,0))),INDEX(DB_Prompts!$E$2:$E$800,MATCH('My Colleges'!$B$8&amp;"|2",DB_Prompts!$A$2:$A$800,0)),"")</f>
        <v/>
      </c>
      <c r="E13" s="18" t="str">
        <f aca="false">IF(AND($A13&lt;&gt;"",ISNUMBER(MATCH('My Colleges'!$B$8&amp;"|2",DB_Prompts!$A$2:$A$800,0))),INDEX(DB_Prompts!$F$2:$F$800,MATCH('My Colleges'!$B$8&amp;"|2",DB_Prompts!$A$2:$A$800,0)),"")</f>
        <v/>
      </c>
      <c r="F13" s="18" t="str">
        <f aca="false">IF(AND($A13&lt;&gt;"",ISNUMBER(MATCH('My Colleges'!$B$8&amp;"|2",DB_Prompts!$A$2:$A$800,0))),INDEX(DB_Prompts!$H$2:$H$800,MATCH('My Colleges'!$B$8&amp;"|2",DB_Prompts!$A$2:$A$800,0)),"")</f>
        <v/>
      </c>
      <c r="G13" s="18" t="str">
        <f aca="false">IF(AND($A13&lt;&gt;"",ISNUMBER(MATCH('My Colleges'!$B$8&amp;"|2",DB_Prompts!$A$2:$A$800,0))),INDEX(DB_Prompts!$G$2:$G$800,MATCH('My Colleges'!$B$8&amp;"|2",DB_Prompts!$A$2:$A$800,0)),"")</f>
        <v/>
      </c>
      <c r="H13" s="24"/>
      <c r="I13" s="17" t="str">
        <f aca="false">IF(AND($C13&lt;&gt;"",ISNUMBER('My Colleges'!$I$8)),'My Colleges'!$I$8-10,"")</f>
        <v/>
      </c>
      <c r="J13" s="24"/>
      <c r="K13" s="24"/>
    </row>
    <row r="14" customFormat="false" ht="15" hidden="false" customHeight="true" outlineLevel="0" collapsed="false">
      <c r="A14" s="18" t="str">
        <f aca="false">IF(AND(ISNUMBER(MATCH('My Colleges'!$B$8&amp;"|3",DB_Prompts!$A$2:$A$800,0)),'My Colleges'!$V$8&lt;&gt;"No"),'My Colleges'!$B$8,"")</f>
        <v/>
      </c>
      <c r="B14" s="18" t="str">
        <f aca="false">IF($A14="","",3)</f>
        <v/>
      </c>
      <c r="C14" s="18" t="str">
        <f aca="false">IF(AND($A14&lt;&gt;"",ISNUMBER(MATCH('My Colleges'!$B$8&amp;"|3",DB_Prompts!$A$2:$A$800,0))),INDEX(DB_Prompts!$D$2:$D$800,MATCH('My Colleges'!$B$8&amp;"|3",DB_Prompts!$A$2:$A$800,0)),"")</f>
        <v/>
      </c>
      <c r="D14" s="18" t="str">
        <f aca="false">IF(AND($A14&lt;&gt;"",ISNUMBER(MATCH('My Colleges'!$B$8&amp;"|3",DB_Prompts!$A$2:$A$800,0))),INDEX(DB_Prompts!$E$2:$E$800,MATCH('My Colleges'!$B$8&amp;"|3",DB_Prompts!$A$2:$A$800,0)),"")</f>
        <v/>
      </c>
      <c r="E14" s="18" t="str">
        <f aca="false">IF(AND($A14&lt;&gt;"",ISNUMBER(MATCH('My Colleges'!$B$8&amp;"|3",DB_Prompts!$A$2:$A$800,0))),INDEX(DB_Prompts!$F$2:$F$800,MATCH('My Colleges'!$B$8&amp;"|3",DB_Prompts!$A$2:$A$800,0)),"")</f>
        <v/>
      </c>
      <c r="F14" s="18" t="str">
        <f aca="false">IF(AND($A14&lt;&gt;"",ISNUMBER(MATCH('My Colleges'!$B$8&amp;"|3",DB_Prompts!$A$2:$A$800,0))),INDEX(DB_Prompts!$H$2:$H$800,MATCH('My Colleges'!$B$8&amp;"|3",DB_Prompts!$A$2:$A$800,0)),"")</f>
        <v/>
      </c>
      <c r="G14" s="18" t="str">
        <f aca="false">IF(AND($A14&lt;&gt;"",ISNUMBER(MATCH('My Colleges'!$B$8&amp;"|3",DB_Prompts!$A$2:$A$800,0))),INDEX(DB_Prompts!$G$2:$G$800,MATCH('My Colleges'!$B$8&amp;"|3",DB_Prompts!$A$2:$A$800,0)),"")</f>
        <v/>
      </c>
      <c r="H14" s="24"/>
      <c r="I14" s="17" t="str">
        <f aca="false">IF(AND($C14&lt;&gt;"",ISNUMBER('My Colleges'!$I$8)),'My Colleges'!$I$8-10,"")</f>
        <v/>
      </c>
      <c r="J14" s="24"/>
      <c r="K14" s="24"/>
    </row>
    <row r="15" customFormat="false" ht="15" hidden="false" customHeight="true" outlineLevel="0" collapsed="false">
      <c r="A15" s="18" t="str">
        <f aca="false">IF(AND(ISNUMBER(MATCH('My Colleges'!$B$8&amp;"|4",DB_Prompts!$A$2:$A$800,0)),'My Colleges'!$V$8&lt;&gt;"No"),'My Colleges'!$B$8,"")</f>
        <v/>
      </c>
      <c r="B15" s="18" t="str">
        <f aca="false">IF($A15="","",4)</f>
        <v/>
      </c>
      <c r="C15" s="18" t="str">
        <f aca="false">IF(AND($A15&lt;&gt;"",ISNUMBER(MATCH('My Colleges'!$B$8&amp;"|4",DB_Prompts!$A$2:$A$800,0))),INDEX(DB_Prompts!$D$2:$D$800,MATCH('My Colleges'!$B$8&amp;"|4",DB_Prompts!$A$2:$A$800,0)),"")</f>
        <v/>
      </c>
      <c r="D15" s="18" t="str">
        <f aca="false">IF(AND($A15&lt;&gt;"",ISNUMBER(MATCH('My Colleges'!$B$8&amp;"|4",DB_Prompts!$A$2:$A$800,0))),INDEX(DB_Prompts!$E$2:$E$800,MATCH('My Colleges'!$B$8&amp;"|4",DB_Prompts!$A$2:$A$800,0)),"")</f>
        <v/>
      </c>
      <c r="E15" s="18" t="str">
        <f aca="false">IF(AND($A15&lt;&gt;"",ISNUMBER(MATCH('My Colleges'!$B$8&amp;"|4",DB_Prompts!$A$2:$A$800,0))),INDEX(DB_Prompts!$F$2:$F$800,MATCH('My Colleges'!$B$8&amp;"|4",DB_Prompts!$A$2:$A$800,0)),"")</f>
        <v/>
      </c>
      <c r="F15" s="18" t="str">
        <f aca="false">IF(AND($A15&lt;&gt;"",ISNUMBER(MATCH('My Colleges'!$B$8&amp;"|4",DB_Prompts!$A$2:$A$800,0))),INDEX(DB_Prompts!$H$2:$H$800,MATCH('My Colleges'!$B$8&amp;"|4",DB_Prompts!$A$2:$A$800,0)),"")</f>
        <v/>
      </c>
      <c r="G15" s="18" t="str">
        <f aca="false">IF(AND($A15&lt;&gt;"",ISNUMBER(MATCH('My Colleges'!$B$8&amp;"|4",DB_Prompts!$A$2:$A$800,0))),INDEX(DB_Prompts!$G$2:$G$800,MATCH('My Colleges'!$B$8&amp;"|4",DB_Prompts!$A$2:$A$800,0)),"")</f>
        <v/>
      </c>
      <c r="H15" s="24"/>
      <c r="I15" s="17" t="str">
        <f aca="false">IF(AND($C15&lt;&gt;"",ISNUMBER('My Colleges'!$I$8)),'My Colleges'!$I$8-10,"")</f>
        <v/>
      </c>
      <c r="J15" s="24"/>
      <c r="K15" s="24"/>
    </row>
    <row r="16" customFormat="false" ht="15" hidden="false" customHeight="true" outlineLevel="0" collapsed="false">
      <c r="A16" s="18" t="str">
        <f aca="false">IF(AND(ISNUMBER(MATCH('My Colleges'!$B$8&amp;"|5",DB_Prompts!$A$2:$A$800,0)),'My Colleges'!$V$8&lt;&gt;"No"),'My Colleges'!$B$8,"")</f>
        <v/>
      </c>
      <c r="B16" s="18" t="str">
        <f aca="false">IF($A16="","",5)</f>
        <v/>
      </c>
      <c r="C16" s="18" t="str">
        <f aca="false">IF(AND($A16&lt;&gt;"",ISNUMBER(MATCH('My Colleges'!$B$8&amp;"|5",DB_Prompts!$A$2:$A$800,0))),INDEX(DB_Prompts!$D$2:$D$800,MATCH('My Colleges'!$B$8&amp;"|5",DB_Prompts!$A$2:$A$800,0)),"")</f>
        <v/>
      </c>
      <c r="D16" s="18" t="str">
        <f aca="false">IF(AND($A16&lt;&gt;"",ISNUMBER(MATCH('My Colleges'!$B$8&amp;"|5",DB_Prompts!$A$2:$A$800,0))),INDEX(DB_Prompts!$E$2:$E$800,MATCH('My Colleges'!$B$8&amp;"|5",DB_Prompts!$A$2:$A$800,0)),"")</f>
        <v/>
      </c>
      <c r="E16" s="18" t="str">
        <f aca="false">IF(AND($A16&lt;&gt;"",ISNUMBER(MATCH('My Colleges'!$B$8&amp;"|5",DB_Prompts!$A$2:$A$800,0))),INDEX(DB_Prompts!$F$2:$F$800,MATCH('My Colleges'!$B$8&amp;"|5",DB_Prompts!$A$2:$A$800,0)),"")</f>
        <v/>
      </c>
      <c r="F16" s="18" t="str">
        <f aca="false">IF(AND($A16&lt;&gt;"",ISNUMBER(MATCH('My Colleges'!$B$8&amp;"|5",DB_Prompts!$A$2:$A$800,0))),INDEX(DB_Prompts!$H$2:$H$800,MATCH('My Colleges'!$B$8&amp;"|5",DB_Prompts!$A$2:$A$800,0)),"")</f>
        <v/>
      </c>
      <c r="G16" s="18" t="str">
        <f aca="false">IF(AND($A16&lt;&gt;"",ISNUMBER(MATCH('My Colleges'!$B$8&amp;"|5",DB_Prompts!$A$2:$A$800,0))),INDEX(DB_Prompts!$G$2:$G$800,MATCH('My Colleges'!$B$8&amp;"|5",DB_Prompts!$A$2:$A$800,0)),"")</f>
        <v/>
      </c>
      <c r="H16" s="24"/>
      <c r="I16" s="17" t="str">
        <f aca="false">IF(AND($C16&lt;&gt;"",ISNUMBER('My Colleges'!$I$8)),'My Colleges'!$I$8-10,"")</f>
        <v/>
      </c>
      <c r="J16" s="24"/>
      <c r="K16" s="24"/>
    </row>
    <row r="17" customFormat="false" ht="15" hidden="false" customHeight="true" outlineLevel="0" collapsed="false">
      <c r="A17" s="18" t="str">
        <f aca="false">IF(OR('My Colleges'!$B$9="",'My Colleges'!$V$9="No"),"",'My Colleges'!$B$9)</f>
        <v/>
      </c>
      <c r="B17" s="18" t="str">
        <f aca="false">IF($A17="","",1)</f>
        <v/>
      </c>
      <c r="C17" s="18" t="str">
        <f aca="false">IF($A17="","",IF(ISNUMBER(MATCH('My Colleges'!$B$9&amp;"|1",DB_Prompts!$A$2:$A$800,0)),INDEX(DB_Prompts!$D$2:$D$800,MATCH('My Colleges'!$B$9&amp;"|1",DB_Prompts!$A$2:$A$800,0)),IF('My Colleges'!$P$9=0,"No extra essays required.","Prompts not loaded yet: check this college's Admissions Page (last column on Explore) or its Common App page, and copy any prompts into Notes.")))</f>
        <v/>
      </c>
      <c r="D17" s="18" t="str">
        <f aca="false">IF(AND($A17&lt;&gt;"",ISNUMBER(MATCH('My Colleges'!$B$9&amp;"|1",DB_Prompts!$A$2:$A$800,0))),INDEX(DB_Prompts!$E$2:$E$800,MATCH('My Colleges'!$B$9&amp;"|1",DB_Prompts!$A$2:$A$800,0)),"")</f>
        <v/>
      </c>
      <c r="E17" s="18" t="str">
        <f aca="false">IF(AND($A17&lt;&gt;"",ISNUMBER(MATCH('My Colleges'!$B$9&amp;"|1",DB_Prompts!$A$2:$A$800,0))),INDEX(DB_Prompts!$F$2:$F$800,MATCH('My Colleges'!$B$9&amp;"|1",DB_Prompts!$A$2:$A$800,0)),"")</f>
        <v/>
      </c>
      <c r="F17" s="18" t="str">
        <f aca="false">IF(AND($A17&lt;&gt;"",ISNUMBER(MATCH('My Colleges'!$B$9&amp;"|1",DB_Prompts!$A$2:$A$800,0))),INDEX(DB_Prompts!$H$2:$H$800,MATCH('My Colleges'!$B$9&amp;"|1",DB_Prompts!$A$2:$A$800,0)),"")</f>
        <v/>
      </c>
      <c r="G17" s="18" t="str">
        <f aca="false">IF(AND($A17&lt;&gt;"",ISNUMBER(MATCH('My Colleges'!$B$9&amp;"|1",DB_Prompts!$A$2:$A$800,0))),INDEX(DB_Prompts!$G$2:$G$800,MATCH('My Colleges'!$B$9&amp;"|1",DB_Prompts!$A$2:$A$800,0)),"")</f>
        <v/>
      </c>
      <c r="H17" s="24"/>
      <c r="I17" s="17" t="str">
        <f aca="false">IF(AND($C17&lt;&gt;"",ISNUMBER('My Colleges'!$I$9)),'My Colleges'!$I$9-10,"")</f>
        <v/>
      </c>
      <c r="J17" s="24"/>
      <c r="K17" s="24"/>
    </row>
    <row r="18" customFormat="false" ht="15" hidden="false" customHeight="true" outlineLevel="0" collapsed="false">
      <c r="A18" s="18" t="str">
        <f aca="false">IF(AND(ISNUMBER(MATCH('My Colleges'!$B$9&amp;"|2",DB_Prompts!$A$2:$A$800,0)),'My Colleges'!$V$9&lt;&gt;"No"),'My Colleges'!$B$9,"")</f>
        <v/>
      </c>
      <c r="B18" s="18" t="str">
        <f aca="false">IF($A18="","",2)</f>
        <v/>
      </c>
      <c r="C18" s="18" t="str">
        <f aca="false">IF(AND($A18&lt;&gt;"",ISNUMBER(MATCH('My Colleges'!$B$9&amp;"|2",DB_Prompts!$A$2:$A$800,0))),INDEX(DB_Prompts!$D$2:$D$800,MATCH('My Colleges'!$B$9&amp;"|2",DB_Prompts!$A$2:$A$800,0)),"")</f>
        <v/>
      </c>
      <c r="D18" s="18" t="str">
        <f aca="false">IF(AND($A18&lt;&gt;"",ISNUMBER(MATCH('My Colleges'!$B$9&amp;"|2",DB_Prompts!$A$2:$A$800,0))),INDEX(DB_Prompts!$E$2:$E$800,MATCH('My Colleges'!$B$9&amp;"|2",DB_Prompts!$A$2:$A$800,0)),"")</f>
        <v/>
      </c>
      <c r="E18" s="18" t="str">
        <f aca="false">IF(AND($A18&lt;&gt;"",ISNUMBER(MATCH('My Colleges'!$B$9&amp;"|2",DB_Prompts!$A$2:$A$800,0))),INDEX(DB_Prompts!$F$2:$F$800,MATCH('My Colleges'!$B$9&amp;"|2",DB_Prompts!$A$2:$A$800,0)),"")</f>
        <v/>
      </c>
      <c r="F18" s="18" t="str">
        <f aca="false">IF(AND($A18&lt;&gt;"",ISNUMBER(MATCH('My Colleges'!$B$9&amp;"|2",DB_Prompts!$A$2:$A$800,0))),INDEX(DB_Prompts!$H$2:$H$800,MATCH('My Colleges'!$B$9&amp;"|2",DB_Prompts!$A$2:$A$800,0)),"")</f>
        <v/>
      </c>
      <c r="G18" s="18" t="str">
        <f aca="false">IF(AND($A18&lt;&gt;"",ISNUMBER(MATCH('My Colleges'!$B$9&amp;"|2",DB_Prompts!$A$2:$A$800,0))),INDEX(DB_Prompts!$G$2:$G$800,MATCH('My Colleges'!$B$9&amp;"|2",DB_Prompts!$A$2:$A$800,0)),"")</f>
        <v/>
      </c>
      <c r="H18" s="24"/>
      <c r="I18" s="17" t="str">
        <f aca="false">IF(AND($C18&lt;&gt;"",ISNUMBER('My Colleges'!$I$9)),'My Colleges'!$I$9-10,"")</f>
        <v/>
      </c>
      <c r="J18" s="24"/>
      <c r="K18" s="24"/>
    </row>
    <row r="19" customFormat="false" ht="15" hidden="false" customHeight="true" outlineLevel="0" collapsed="false">
      <c r="A19" s="18" t="str">
        <f aca="false">IF(AND(ISNUMBER(MATCH('My Colleges'!$B$9&amp;"|3",DB_Prompts!$A$2:$A$800,0)),'My Colleges'!$V$9&lt;&gt;"No"),'My Colleges'!$B$9,"")</f>
        <v/>
      </c>
      <c r="B19" s="18" t="str">
        <f aca="false">IF($A19="","",3)</f>
        <v/>
      </c>
      <c r="C19" s="18" t="str">
        <f aca="false">IF(AND($A19&lt;&gt;"",ISNUMBER(MATCH('My Colleges'!$B$9&amp;"|3",DB_Prompts!$A$2:$A$800,0))),INDEX(DB_Prompts!$D$2:$D$800,MATCH('My Colleges'!$B$9&amp;"|3",DB_Prompts!$A$2:$A$800,0)),"")</f>
        <v/>
      </c>
      <c r="D19" s="18" t="str">
        <f aca="false">IF(AND($A19&lt;&gt;"",ISNUMBER(MATCH('My Colleges'!$B$9&amp;"|3",DB_Prompts!$A$2:$A$800,0))),INDEX(DB_Prompts!$E$2:$E$800,MATCH('My Colleges'!$B$9&amp;"|3",DB_Prompts!$A$2:$A$800,0)),"")</f>
        <v/>
      </c>
      <c r="E19" s="18" t="str">
        <f aca="false">IF(AND($A19&lt;&gt;"",ISNUMBER(MATCH('My Colleges'!$B$9&amp;"|3",DB_Prompts!$A$2:$A$800,0))),INDEX(DB_Prompts!$F$2:$F$800,MATCH('My Colleges'!$B$9&amp;"|3",DB_Prompts!$A$2:$A$800,0)),"")</f>
        <v/>
      </c>
      <c r="F19" s="18" t="str">
        <f aca="false">IF(AND($A19&lt;&gt;"",ISNUMBER(MATCH('My Colleges'!$B$9&amp;"|3",DB_Prompts!$A$2:$A$800,0))),INDEX(DB_Prompts!$H$2:$H$800,MATCH('My Colleges'!$B$9&amp;"|3",DB_Prompts!$A$2:$A$800,0)),"")</f>
        <v/>
      </c>
      <c r="G19" s="18" t="str">
        <f aca="false">IF(AND($A19&lt;&gt;"",ISNUMBER(MATCH('My Colleges'!$B$9&amp;"|3",DB_Prompts!$A$2:$A$800,0))),INDEX(DB_Prompts!$G$2:$G$800,MATCH('My Colleges'!$B$9&amp;"|3",DB_Prompts!$A$2:$A$800,0)),"")</f>
        <v/>
      </c>
      <c r="H19" s="24"/>
      <c r="I19" s="17" t="str">
        <f aca="false">IF(AND($C19&lt;&gt;"",ISNUMBER('My Colleges'!$I$9)),'My Colleges'!$I$9-10,"")</f>
        <v/>
      </c>
      <c r="J19" s="24"/>
      <c r="K19" s="24"/>
    </row>
    <row r="20" customFormat="false" ht="15" hidden="false" customHeight="true" outlineLevel="0" collapsed="false">
      <c r="A20" s="18" t="str">
        <f aca="false">IF(AND(ISNUMBER(MATCH('My Colleges'!$B$9&amp;"|4",DB_Prompts!$A$2:$A$800,0)),'My Colleges'!$V$9&lt;&gt;"No"),'My Colleges'!$B$9,"")</f>
        <v/>
      </c>
      <c r="B20" s="18" t="str">
        <f aca="false">IF($A20="","",4)</f>
        <v/>
      </c>
      <c r="C20" s="18" t="str">
        <f aca="false">IF(AND($A20&lt;&gt;"",ISNUMBER(MATCH('My Colleges'!$B$9&amp;"|4",DB_Prompts!$A$2:$A$800,0))),INDEX(DB_Prompts!$D$2:$D$800,MATCH('My Colleges'!$B$9&amp;"|4",DB_Prompts!$A$2:$A$800,0)),"")</f>
        <v/>
      </c>
      <c r="D20" s="18" t="str">
        <f aca="false">IF(AND($A20&lt;&gt;"",ISNUMBER(MATCH('My Colleges'!$B$9&amp;"|4",DB_Prompts!$A$2:$A$800,0))),INDEX(DB_Prompts!$E$2:$E$800,MATCH('My Colleges'!$B$9&amp;"|4",DB_Prompts!$A$2:$A$800,0)),"")</f>
        <v/>
      </c>
      <c r="E20" s="18" t="str">
        <f aca="false">IF(AND($A20&lt;&gt;"",ISNUMBER(MATCH('My Colleges'!$B$9&amp;"|4",DB_Prompts!$A$2:$A$800,0))),INDEX(DB_Prompts!$F$2:$F$800,MATCH('My Colleges'!$B$9&amp;"|4",DB_Prompts!$A$2:$A$800,0)),"")</f>
        <v/>
      </c>
      <c r="F20" s="18" t="str">
        <f aca="false">IF(AND($A20&lt;&gt;"",ISNUMBER(MATCH('My Colleges'!$B$9&amp;"|4",DB_Prompts!$A$2:$A$800,0))),INDEX(DB_Prompts!$H$2:$H$800,MATCH('My Colleges'!$B$9&amp;"|4",DB_Prompts!$A$2:$A$800,0)),"")</f>
        <v/>
      </c>
      <c r="G20" s="18" t="str">
        <f aca="false">IF(AND($A20&lt;&gt;"",ISNUMBER(MATCH('My Colleges'!$B$9&amp;"|4",DB_Prompts!$A$2:$A$800,0))),INDEX(DB_Prompts!$G$2:$G$800,MATCH('My Colleges'!$B$9&amp;"|4",DB_Prompts!$A$2:$A$800,0)),"")</f>
        <v/>
      </c>
      <c r="H20" s="24"/>
      <c r="I20" s="17" t="str">
        <f aca="false">IF(AND($C20&lt;&gt;"",ISNUMBER('My Colleges'!$I$9)),'My Colleges'!$I$9-10,"")</f>
        <v/>
      </c>
      <c r="J20" s="24"/>
      <c r="K20" s="24"/>
    </row>
    <row r="21" customFormat="false" ht="15" hidden="false" customHeight="true" outlineLevel="0" collapsed="false">
      <c r="A21" s="18" t="str">
        <f aca="false">IF(AND(ISNUMBER(MATCH('My Colleges'!$B$9&amp;"|5",DB_Prompts!$A$2:$A$800,0)),'My Colleges'!$V$9&lt;&gt;"No"),'My Colleges'!$B$9,"")</f>
        <v/>
      </c>
      <c r="B21" s="18" t="str">
        <f aca="false">IF($A21="","",5)</f>
        <v/>
      </c>
      <c r="C21" s="18" t="str">
        <f aca="false">IF(AND($A21&lt;&gt;"",ISNUMBER(MATCH('My Colleges'!$B$9&amp;"|5",DB_Prompts!$A$2:$A$800,0))),INDEX(DB_Prompts!$D$2:$D$800,MATCH('My Colleges'!$B$9&amp;"|5",DB_Prompts!$A$2:$A$800,0)),"")</f>
        <v/>
      </c>
      <c r="D21" s="18" t="str">
        <f aca="false">IF(AND($A21&lt;&gt;"",ISNUMBER(MATCH('My Colleges'!$B$9&amp;"|5",DB_Prompts!$A$2:$A$800,0))),INDEX(DB_Prompts!$E$2:$E$800,MATCH('My Colleges'!$B$9&amp;"|5",DB_Prompts!$A$2:$A$800,0)),"")</f>
        <v/>
      </c>
      <c r="E21" s="18" t="str">
        <f aca="false">IF(AND($A21&lt;&gt;"",ISNUMBER(MATCH('My Colleges'!$B$9&amp;"|5",DB_Prompts!$A$2:$A$800,0))),INDEX(DB_Prompts!$F$2:$F$800,MATCH('My Colleges'!$B$9&amp;"|5",DB_Prompts!$A$2:$A$800,0)),"")</f>
        <v/>
      </c>
      <c r="F21" s="18" t="str">
        <f aca="false">IF(AND($A21&lt;&gt;"",ISNUMBER(MATCH('My Colleges'!$B$9&amp;"|5",DB_Prompts!$A$2:$A$800,0))),INDEX(DB_Prompts!$H$2:$H$800,MATCH('My Colleges'!$B$9&amp;"|5",DB_Prompts!$A$2:$A$800,0)),"")</f>
        <v/>
      </c>
      <c r="G21" s="18" t="str">
        <f aca="false">IF(AND($A21&lt;&gt;"",ISNUMBER(MATCH('My Colleges'!$B$9&amp;"|5",DB_Prompts!$A$2:$A$800,0))),INDEX(DB_Prompts!$G$2:$G$800,MATCH('My Colleges'!$B$9&amp;"|5",DB_Prompts!$A$2:$A$800,0)),"")</f>
        <v/>
      </c>
      <c r="H21" s="24"/>
      <c r="I21" s="17" t="str">
        <f aca="false">IF(AND($C21&lt;&gt;"",ISNUMBER('My Colleges'!$I$9)),'My Colleges'!$I$9-10,"")</f>
        <v/>
      </c>
      <c r="J21" s="24"/>
      <c r="K21" s="24"/>
    </row>
    <row r="22" customFormat="false" ht="15" hidden="false" customHeight="true" outlineLevel="0" collapsed="false">
      <c r="A22" s="18" t="str">
        <f aca="false">IF(OR('My Colleges'!$B$10="",'My Colleges'!$V$10="No"),"",'My Colleges'!$B$10)</f>
        <v/>
      </c>
      <c r="B22" s="18" t="str">
        <f aca="false">IF($A22="","",1)</f>
        <v/>
      </c>
      <c r="C22" s="18" t="str">
        <f aca="false">IF($A22="","",IF(ISNUMBER(MATCH('My Colleges'!$B$10&amp;"|1",DB_Prompts!$A$2:$A$800,0)),INDEX(DB_Prompts!$D$2:$D$800,MATCH('My Colleges'!$B$10&amp;"|1",DB_Prompts!$A$2:$A$800,0)),IF('My Colleges'!$P$10=0,"No extra essays required.","Prompts not loaded yet: check this college's Admissions Page (last column on Explore) or its Common App page, and copy any prompts into Notes.")))</f>
        <v/>
      </c>
      <c r="D22" s="18" t="str">
        <f aca="false">IF(AND($A22&lt;&gt;"",ISNUMBER(MATCH('My Colleges'!$B$10&amp;"|1",DB_Prompts!$A$2:$A$800,0))),INDEX(DB_Prompts!$E$2:$E$800,MATCH('My Colleges'!$B$10&amp;"|1",DB_Prompts!$A$2:$A$800,0)),"")</f>
        <v/>
      </c>
      <c r="E22" s="18" t="str">
        <f aca="false">IF(AND($A22&lt;&gt;"",ISNUMBER(MATCH('My Colleges'!$B$10&amp;"|1",DB_Prompts!$A$2:$A$800,0))),INDEX(DB_Prompts!$F$2:$F$800,MATCH('My Colleges'!$B$10&amp;"|1",DB_Prompts!$A$2:$A$800,0)),"")</f>
        <v/>
      </c>
      <c r="F22" s="18" t="str">
        <f aca="false">IF(AND($A22&lt;&gt;"",ISNUMBER(MATCH('My Colleges'!$B$10&amp;"|1",DB_Prompts!$A$2:$A$800,0))),INDEX(DB_Prompts!$H$2:$H$800,MATCH('My Colleges'!$B$10&amp;"|1",DB_Prompts!$A$2:$A$800,0)),"")</f>
        <v/>
      </c>
      <c r="G22" s="18" t="str">
        <f aca="false">IF(AND($A22&lt;&gt;"",ISNUMBER(MATCH('My Colleges'!$B$10&amp;"|1",DB_Prompts!$A$2:$A$800,0))),INDEX(DB_Prompts!$G$2:$G$800,MATCH('My Colleges'!$B$10&amp;"|1",DB_Prompts!$A$2:$A$800,0)),"")</f>
        <v/>
      </c>
      <c r="H22" s="24"/>
      <c r="I22" s="17" t="str">
        <f aca="false">IF(AND($C22&lt;&gt;"",ISNUMBER('My Colleges'!$I$10)),'My Colleges'!$I$10-10,"")</f>
        <v/>
      </c>
      <c r="J22" s="24"/>
      <c r="K22" s="24"/>
    </row>
    <row r="23" customFormat="false" ht="15" hidden="false" customHeight="true" outlineLevel="0" collapsed="false">
      <c r="A23" s="18" t="str">
        <f aca="false">IF(AND(ISNUMBER(MATCH('My Colleges'!$B$10&amp;"|2",DB_Prompts!$A$2:$A$800,0)),'My Colleges'!$V$10&lt;&gt;"No"),'My Colleges'!$B$10,"")</f>
        <v/>
      </c>
      <c r="B23" s="18" t="str">
        <f aca="false">IF($A23="","",2)</f>
        <v/>
      </c>
      <c r="C23" s="18" t="str">
        <f aca="false">IF(AND($A23&lt;&gt;"",ISNUMBER(MATCH('My Colleges'!$B$10&amp;"|2",DB_Prompts!$A$2:$A$800,0))),INDEX(DB_Prompts!$D$2:$D$800,MATCH('My Colleges'!$B$10&amp;"|2",DB_Prompts!$A$2:$A$800,0)),"")</f>
        <v/>
      </c>
      <c r="D23" s="18" t="str">
        <f aca="false">IF(AND($A23&lt;&gt;"",ISNUMBER(MATCH('My Colleges'!$B$10&amp;"|2",DB_Prompts!$A$2:$A$800,0))),INDEX(DB_Prompts!$E$2:$E$800,MATCH('My Colleges'!$B$10&amp;"|2",DB_Prompts!$A$2:$A$800,0)),"")</f>
        <v/>
      </c>
      <c r="E23" s="18" t="str">
        <f aca="false">IF(AND($A23&lt;&gt;"",ISNUMBER(MATCH('My Colleges'!$B$10&amp;"|2",DB_Prompts!$A$2:$A$800,0))),INDEX(DB_Prompts!$F$2:$F$800,MATCH('My Colleges'!$B$10&amp;"|2",DB_Prompts!$A$2:$A$800,0)),"")</f>
        <v/>
      </c>
      <c r="F23" s="18" t="str">
        <f aca="false">IF(AND($A23&lt;&gt;"",ISNUMBER(MATCH('My Colleges'!$B$10&amp;"|2",DB_Prompts!$A$2:$A$800,0))),INDEX(DB_Prompts!$H$2:$H$800,MATCH('My Colleges'!$B$10&amp;"|2",DB_Prompts!$A$2:$A$800,0)),"")</f>
        <v/>
      </c>
      <c r="G23" s="18" t="str">
        <f aca="false">IF(AND($A23&lt;&gt;"",ISNUMBER(MATCH('My Colleges'!$B$10&amp;"|2",DB_Prompts!$A$2:$A$800,0))),INDEX(DB_Prompts!$G$2:$G$800,MATCH('My Colleges'!$B$10&amp;"|2",DB_Prompts!$A$2:$A$800,0)),"")</f>
        <v/>
      </c>
      <c r="H23" s="24"/>
      <c r="I23" s="17" t="str">
        <f aca="false">IF(AND($C23&lt;&gt;"",ISNUMBER('My Colleges'!$I$10)),'My Colleges'!$I$10-10,"")</f>
        <v/>
      </c>
      <c r="J23" s="24"/>
      <c r="K23" s="24"/>
    </row>
    <row r="24" customFormat="false" ht="15" hidden="false" customHeight="true" outlineLevel="0" collapsed="false">
      <c r="A24" s="18" t="str">
        <f aca="false">IF(AND(ISNUMBER(MATCH('My Colleges'!$B$10&amp;"|3",DB_Prompts!$A$2:$A$800,0)),'My Colleges'!$V$10&lt;&gt;"No"),'My Colleges'!$B$10,"")</f>
        <v/>
      </c>
      <c r="B24" s="18" t="str">
        <f aca="false">IF($A24="","",3)</f>
        <v/>
      </c>
      <c r="C24" s="18" t="str">
        <f aca="false">IF(AND($A24&lt;&gt;"",ISNUMBER(MATCH('My Colleges'!$B$10&amp;"|3",DB_Prompts!$A$2:$A$800,0))),INDEX(DB_Prompts!$D$2:$D$800,MATCH('My Colleges'!$B$10&amp;"|3",DB_Prompts!$A$2:$A$800,0)),"")</f>
        <v/>
      </c>
      <c r="D24" s="18" t="str">
        <f aca="false">IF(AND($A24&lt;&gt;"",ISNUMBER(MATCH('My Colleges'!$B$10&amp;"|3",DB_Prompts!$A$2:$A$800,0))),INDEX(DB_Prompts!$E$2:$E$800,MATCH('My Colleges'!$B$10&amp;"|3",DB_Prompts!$A$2:$A$800,0)),"")</f>
        <v/>
      </c>
      <c r="E24" s="18" t="str">
        <f aca="false">IF(AND($A24&lt;&gt;"",ISNUMBER(MATCH('My Colleges'!$B$10&amp;"|3",DB_Prompts!$A$2:$A$800,0))),INDEX(DB_Prompts!$F$2:$F$800,MATCH('My Colleges'!$B$10&amp;"|3",DB_Prompts!$A$2:$A$800,0)),"")</f>
        <v/>
      </c>
      <c r="F24" s="18" t="str">
        <f aca="false">IF(AND($A24&lt;&gt;"",ISNUMBER(MATCH('My Colleges'!$B$10&amp;"|3",DB_Prompts!$A$2:$A$800,0))),INDEX(DB_Prompts!$H$2:$H$800,MATCH('My Colleges'!$B$10&amp;"|3",DB_Prompts!$A$2:$A$800,0)),"")</f>
        <v/>
      </c>
      <c r="G24" s="18" t="str">
        <f aca="false">IF(AND($A24&lt;&gt;"",ISNUMBER(MATCH('My Colleges'!$B$10&amp;"|3",DB_Prompts!$A$2:$A$800,0))),INDEX(DB_Prompts!$G$2:$G$800,MATCH('My Colleges'!$B$10&amp;"|3",DB_Prompts!$A$2:$A$800,0)),"")</f>
        <v/>
      </c>
      <c r="H24" s="24"/>
      <c r="I24" s="17" t="str">
        <f aca="false">IF(AND($C24&lt;&gt;"",ISNUMBER('My Colleges'!$I$10)),'My Colleges'!$I$10-10,"")</f>
        <v/>
      </c>
      <c r="J24" s="24"/>
      <c r="K24" s="24"/>
    </row>
    <row r="25" customFormat="false" ht="15" hidden="false" customHeight="true" outlineLevel="0" collapsed="false">
      <c r="A25" s="18" t="str">
        <f aca="false">IF(AND(ISNUMBER(MATCH('My Colleges'!$B$10&amp;"|4",DB_Prompts!$A$2:$A$800,0)),'My Colleges'!$V$10&lt;&gt;"No"),'My Colleges'!$B$10,"")</f>
        <v/>
      </c>
      <c r="B25" s="18" t="str">
        <f aca="false">IF($A25="","",4)</f>
        <v/>
      </c>
      <c r="C25" s="18" t="str">
        <f aca="false">IF(AND($A25&lt;&gt;"",ISNUMBER(MATCH('My Colleges'!$B$10&amp;"|4",DB_Prompts!$A$2:$A$800,0))),INDEX(DB_Prompts!$D$2:$D$800,MATCH('My Colleges'!$B$10&amp;"|4",DB_Prompts!$A$2:$A$800,0)),"")</f>
        <v/>
      </c>
      <c r="D25" s="18" t="str">
        <f aca="false">IF(AND($A25&lt;&gt;"",ISNUMBER(MATCH('My Colleges'!$B$10&amp;"|4",DB_Prompts!$A$2:$A$800,0))),INDEX(DB_Prompts!$E$2:$E$800,MATCH('My Colleges'!$B$10&amp;"|4",DB_Prompts!$A$2:$A$800,0)),"")</f>
        <v/>
      </c>
      <c r="E25" s="18" t="str">
        <f aca="false">IF(AND($A25&lt;&gt;"",ISNUMBER(MATCH('My Colleges'!$B$10&amp;"|4",DB_Prompts!$A$2:$A$800,0))),INDEX(DB_Prompts!$F$2:$F$800,MATCH('My Colleges'!$B$10&amp;"|4",DB_Prompts!$A$2:$A$800,0)),"")</f>
        <v/>
      </c>
      <c r="F25" s="18" t="str">
        <f aca="false">IF(AND($A25&lt;&gt;"",ISNUMBER(MATCH('My Colleges'!$B$10&amp;"|4",DB_Prompts!$A$2:$A$800,0))),INDEX(DB_Prompts!$H$2:$H$800,MATCH('My Colleges'!$B$10&amp;"|4",DB_Prompts!$A$2:$A$800,0)),"")</f>
        <v/>
      </c>
      <c r="G25" s="18" t="str">
        <f aca="false">IF(AND($A25&lt;&gt;"",ISNUMBER(MATCH('My Colleges'!$B$10&amp;"|4",DB_Prompts!$A$2:$A$800,0))),INDEX(DB_Prompts!$G$2:$G$800,MATCH('My Colleges'!$B$10&amp;"|4",DB_Prompts!$A$2:$A$800,0)),"")</f>
        <v/>
      </c>
      <c r="H25" s="24"/>
      <c r="I25" s="17" t="str">
        <f aca="false">IF(AND($C25&lt;&gt;"",ISNUMBER('My Colleges'!$I$10)),'My Colleges'!$I$10-10,"")</f>
        <v/>
      </c>
      <c r="J25" s="24"/>
      <c r="K25" s="24"/>
    </row>
    <row r="26" customFormat="false" ht="15" hidden="false" customHeight="true" outlineLevel="0" collapsed="false">
      <c r="A26" s="18" t="str">
        <f aca="false">IF(AND(ISNUMBER(MATCH('My Colleges'!$B$10&amp;"|5",DB_Prompts!$A$2:$A$800,0)),'My Colleges'!$V$10&lt;&gt;"No"),'My Colleges'!$B$10,"")</f>
        <v/>
      </c>
      <c r="B26" s="18" t="str">
        <f aca="false">IF($A26="","",5)</f>
        <v/>
      </c>
      <c r="C26" s="18" t="str">
        <f aca="false">IF(AND($A26&lt;&gt;"",ISNUMBER(MATCH('My Colleges'!$B$10&amp;"|5",DB_Prompts!$A$2:$A$800,0))),INDEX(DB_Prompts!$D$2:$D$800,MATCH('My Colleges'!$B$10&amp;"|5",DB_Prompts!$A$2:$A$800,0)),"")</f>
        <v/>
      </c>
      <c r="D26" s="18" t="str">
        <f aca="false">IF(AND($A26&lt;&gt;"",ISNUMBER(MATCH('My Colleges'!$B$10&amp;"|5",DB_Prompts!$A$2:$A$800,0))),INDEX(DB_Prompts!$E$2:$E$800,MATCH('My Colleges'!$B$10&amp;"|5",DB_Prompts!$A$2:$A$800,0)),"")</f>
        <v/>
      </c>
      <c r="E26" s="18" t="str">
        <f aca="false">IF(AND($A26&lt;&gt;"",ISNUMBER(MATCH('My Colleges'!$B$10&amp;"|5",DB_Prompts!$A$2:$A$800,0))),INDEX(DB_Prompts!$F$2:$F$800,MATCH('My Colleges'!$B$10&amp;"|5",DB_Prompts!$A$2:$A$800,0)),"")</f>
        <v/>
      </c>
      <c r="F26" s="18" t="str">
        <f aca="false">IF(AND($A26&lt;&gt;"",ISNUMBER(MATCH('My Colleges'!$B$10&amp;"|5",DB_Prompts!$A$2:$A$800,0))),INDEX(DB_Prompts!$H$2:$H$800,MATCH('My Colleges'!$B$10&amp;"|5",DB_Prompts!$A$2:$A$800,0)),"")</f>
        <v/>
      </c>
      <c r="G26" s="18" t="str">
        <f aca="false">IF(AND($A26&lt;&gt;"",ISNUMBER(MATCH('My Colleges'!$B$10&amp;"|5",DB_Prompts!$A$2:$A$800,0))),INDEX(DB_Prompts!$G$2:$G$800,MATCH('My Colleges'!$B$10&amp;"|5",DB_Prompts!$A$2:$A$800,0)),"")</f>
        <v/>
      </c>
      <c r="H26" s="24"/>
      <c r="I26" s="17" t="str">
        <f aca="false">IF(AND($C26&lt;&gt;"",ISNUMBER('My Colleges'!$I$10)),'My Colleges'!$I$10-10,"")</f>
        <v/>
      </c>
      <c r="J26" s="24"/>
      <c r="K26" s="24"/>
    </row>
    <row r="27" customFormat="false" ht="15" hidden="false" customHeight="true" outlineLevel="0" collapsed="false">
      <c r="A27" s="18" t="str">
        <f aca="false">IF(OR('My Colleges'!$B$11="",'My Colleges'!$V$11="No"),"",'My Colleges'!$B$11)</f>
        <v/>
      </c>
      <c r="B27" s="18" t="str">
        <f aca="false">IF($A27="","",1)</f>
        <v/>
      </c>
      <c r="C27" s="18" t="str">
        <f aca="false">IF($A27="","",IF(ISNUMBER(MATCH('My Colleges'!$B$11&amp;"|1",DB_Prompts!$A$2:$A$800,0)),INDEX(DB_Prompts!$D$2:$D$800,MATCH('My Colleges'!$B$11&amp;"|1",DB_Prompts!$A$2:$A$800,0)),IF('My Colleges'!$P$11=0,"No extra essays required.","Prompts not loaded yet: check this college's Admissions Page (last column on Explore) or its Common App page, and copy any prompts into Notes.")))</f>
        <v/>
      </c>
      <c r="D27" s="18" t="str">
        <f aca="false">IF(AND($A27&lt;&gt;"",ISNUMBER(MATCH('My Colleges'!$B$11&amp;"|1",DB_Prompts!$A$2:$A$800,0))),INDEX(DB_Prompts!$E$2:$E$800,MATCH('My Colleges'!$B$11&amp;"|1",DB_Prompts!$A$2:$A$800,0)),"")</f>
        <v/>
      </c>
      <c r="E27" s="18" t="str">
        <f aca="false">IF(AND($A27&lt;&gt;"",ISNUMBER(MATCH('My Colleges'!$B$11&amp;"|1",DB_Prompts!$A$2:$A$800,0))),INDEX(DB_Prompts!$F$2:$F$800,MATCH('My Colleges'!$B$11&amp;"|1",DB_Prompts!$A$2:$A$800,0)),"")</f>
        <v/>
      </c>
      <c r="F27" s="18" t="str">
        <f aca="false">IF(AND($A27&lt;&gt;"",ISNUMBER(MATCH('My Colleges'!$B$11&amp;"|1",DB_Prompts!$A$2:$A$800,0))),INDEX(DB_Prompts!$H$2:$H$800,MATCH('My Colleges'!$B$11&amp;"|1",DB_Prompts!$A$2:$A$800,0)),"")</f>
        <v/>
      </c>
      <c r="G27" s="18" t="str">
        <f aca="false">IF(AND($A27&lt;&gt;"",ISNUMBER(MATCH('My Colleges'!$B$11&amp;"|1",DB_Prompts!$A$2:$A$800,0))),INDEX(DB_Prompts!$G$2:$G$800,MATCH('My Colleges'!$B$11&amp;"|1",DB_Prompts!$A$2:$A$800,0)),"")</f>
        <v/>
      </c>
      <c r="H27" s="24"/>
      <c r="I27" s="17" t="str">
        <f aca="false">IF(AND($C27&lt;&gt;"",ISNUMBER('My Colleges'!$I$11)),'My Colleges'!$I$11-10,"")</f>
        <v/>
      </c>
      <c r="J27" s="24"/>
      <c r="K27" s="24"/>
    </row>
    <row r="28" customFormat="false" ht="15" hidden="false" customHeight="true" outlineLevel="0" collapsed="false">
      <c r="A28" s="18" t="str">
        <f aca="false">IF(AND(ISNUMBER(MATCH('My Colleges'!$B$11&amp;"|2",DB_Prompts!$A$2:$A$800,0)),'My Colleges'!$V$11&lt;&gt;"No"),'My Colleges'!$B$11,"")</f>
        <v/>
      </c>
      <c r="B28" s="18" t="str">
        <f aca="false">IF($A28="","",2)</f>
        <v/>
      </c>
      <c r="C28" s="18" t="str">
        <f aca="false">IF(AND($A28&lt;&gt;"",ISNUMBER(MATCH('My Colleges'!$B$11&amp;"|2",DB_Prompts!$A$2:$A$800,0))),INDEX(DB_Prompts!$D$2:$D$800,MATCH('My Colleges'!$B$11&amp;"|2",DB_Prompts!$A$2:$A$800,0)),"")</f>
        <v/>
      </c>
      <c r="D28" s="18" t="str">
        <f aca="false">IF(AND($A28&lt;&gt;"",ISNUMBER(MATCH('My Colleges'!$B$11&amp;"|2",DB_Prompts!$A$2:$A$800,0))),INDEX(DB_Prompts!$E$2:$E$800,MATCH('My Colleges'!$B$11&amp;"|2",DB_Prompts!$A$2:$A$800,0)),"")</f>
        <v/>
      </c>
      <c r="E28" s="18" t="str">
        <f aca="false">IF(AND($A28&lt;&gt;"",ISNUMBER(MATCH('My Colleges'!$B$11&amp;"|2",DB_Prompts!$A$2:$A$800,0))),INDEX(DB_Prompts!$F$2:$F$800,MATCH('My Colleges'!$B$11&amp;"|2",DB_Prompts!$A$2:$A$800,0)),"")</f>
        <v/>
      </c>
      <c r="F28" s="18" t="str">
        <f aca="false">IF(AND($A28&lt;&gt;"",ISNUMBER(MATCH('My Colleges'!$B$11&amp;"|2",DB_Prompts!$A$2:$A$800,0))),INDEX(DB_Prompts!$H$2:$H$800,MATCH('My Colleges'!$B$11&amp;"|2",DB_Prompts!$A$2:$A$800,0)),"")</f>
        <v/>
      </c>
      <c r="G28" s="18" t="str">
        <f aca="false">IF(AND($A28&lt;&gt;"",ISNUMBER(MATCH('My Colleges'!$B$11&amp;"|2",DB_Prompts!$A$2:$A$800,0))),INDEX(DB_Prompts!$G$2:$G$800,MATCH('My Colleges'!$B$11&amp;"|2",DB_Prompts!$A$2:$A$800,0)),"")</f>
        <v/>
      </c>
      <c r="H28" s="24"/>
      <c r="I28" s="17" t="str">
        <f aca="false">IF(AND($C28&lt;&gt;"",ISNUMBER('My Colleges'!$I$11)),'My Colleges'!$I$11-10,"")</f>
        <v/>
      </c>
      <c r="J28" s="24"/>
      <c r="K28" s="24"/>
    </row>
    <row r="29" customFormat="false" ht="15" hidden="false" customHeight="true" outlineLevel="0" collapsed="false">
      <c r="A29" s="18" t="str">
        <f aca="false">IF(AND(ISNUMBER(MATCH('My Colleges'!$B$11&amp;"|3",DB_Prompts!$A$2:$A$800,0)),'My Colleges'!$V$11&lt;&gt;"No"),'My Colleges'!$B$11,"")</f>
        <v/>
      </c>
      <c r="B29" s="18" t="str">
        <f aca="false">IF($A29="","",3)</f>
        <v/>
      </c>
      <c r="C29" s="18" t="str">
        <f aca="false">IF(AND($A29&lt;&gt;"",ISNUMBER(MATCH('My Colleges'!$B$11&amp;"|3",DB_Prompts!$A$2:$A$800,0))),INDEX(DB_Prompts!$D$2:$D$800,MATCH('My Colleges'!$B$11&amp;"|3",DB_Prompts!$A$2:$A$800,0)),"")</f>
        <v/>
      </c>
      <c r="D29" s="18" t="str">
        <f aca="false">IF(AND($A29&lt;&gt;"",ISNUMBER(MATCH('My Colleges'!$B$11&amp;"|3",DB_Prompts!$A$2:$A$800,0))),INDEX(DB_Prompts!$E$2:$E$800,MATCH('My Colleges'!$B$11&amp;"|3",DB_Prompts!$A$2:$A$800,0)),"")</f>
        <v/>
      </c>
      <c r="E29" s="18" t="str">
        <f aca="false">IF(AND($A29&lt;&gt;"",ISNUMBER(MATCH('My Colleges'!$B$11&amp;"|3",DB_Prompts!$A$2:$A$800,0))),INDEX(DB_Prompts!$F$2:$F$800,MATCH('My Colleges'!$B$11&amp;"|3",DB_Prompts!$A$2:$A$800,0)),"")</f>
        <v/>
      </c>
      <c r="F29" s="18" t="str">
        <f aca="false">IF(AND($A29&lt;&gt;"",ISNUMBER(MATCH('My Colleges'!$B$11&amp;"|3",DB_Prompts!$A$2:$A$800,0))),INDEX(DB_Prompts!$H$2:$H$800,MATCH('My Colleges'!$B$11&amp;"|3",DB_Prompts!$A$2:$A$800,0)),"")</f>
        <v/>
      </c>
      <c r="G29" s="18" t="str">
        <f aca="false">IF(AND($A29&lt;&gt;"",ISNUMBER(MATCH('My Colleges'!$B$11&amp;"|3",DB_Prompts!$A$2:$A$800,0))),INDEX(DB_Prompts!$G$2:$G$800,MATCH('My Colleges'!$B$11&amp;"|3",DB_Prompts!$A$2:$A$800,0)),"")</f>
        <v/>
      </c>
      <c r="H29" s="24"/>
      <c r="I29" s="17" t="str">
        <f aca="false">IF(AND($C29&lt;&gt;"",ISNUMBER('My Colleges'!$I$11)),'My Colleges'!$I$11-10,"")</f>
        <v/>
      </c>
      <c r="J29" s="24"/>
      <c r="K29" s="24"/>
    </row>
    <row r="30" customFormat="false" ht="15" hidden="false" customHeight="true" outlineLevel="0" collapsed="false">
      <c r="A30" s="18" t="str">
        <f aca="false">IF(AND(ISNUMBER(MATCH('My Colleges'!$B$11&amp;"|4",DB_Prompts!$A$2:$A$800,0)),'My Colleges'!$V$11&lt;&gt;"No"),'My Colleges'!$B$11,"")</f>
        <v/>
      </c>
      <c r="B30" s="18" t="str">
        <f aca="false">IF($A30="","",4)</f>
        <v/>
      </c>
      <c r="C30" s="18" t="str">
        <f aca="false">IF(AND($A30&lt;&gt;"",ISNUMBER(MATCH('My Colleges'!$B$11&amp;"|4",DB_Prompts!$A$2:$A$800,0))),INDEX(DB_Prompts!$D$2:$D$800,MATCH('My Colleges'!$B$11&amp;"|4",DB_Prompts!$A$2:$A$800,0)),"")</f>
        <v/>
      </c>
      <c r="D30" s="18" t="str">
        <f aca="false">IF(AND($A30&lt;&gt;"",ISNUMBER(MATCH('My Colleges'!$B$11&amp;"|4",DB_Prompts!$A$2:$A$800,0))),INDEX(DB_Prompts!$E$2:$E$800,MATCH('My Colleges'!$B$11&amp;"|4",DB_Prompts!$A$2:$A$800,0)),"")</f>
        <v/>
      </c>
      <c r="E30" s="18" t="str">
        <f aca="false">IF(AND($A30&lt;&gt;"",ISNUMBER(MATCH('My Colleges'!$B$11&amp;"|4",DB_Prompts!$A$2:$A$800,0))),INDEX(DB_Prompts!$F$2:$F$800,MATCH('My Colleges'!$B$11&amp;"|4",DB_Prompts!$A$2:$A$800,0)),"")</f>
        <v/>
      </c>
      <c r="F30" s="18" t="str">
        <f aca="false">IF(AND($A30&lt;&gt;"",ISNUMBER(MATCH('My Colleges'!$B$11&amp;"|4",DB_Prompts!$A$2:$A$800,0))),INDEX(DB_Prompts!$H$2:$H$800,MATCH('My Colleges'!$B$11&amp;"|4",DB_Prompts!$A$2:$A$800,0)),"")</f>
        <v/>
      </c>
      <c r="G30" s="18" t="str">
        <f aca="false">IF(AND($A30&lt;&gt;"",ISNUMBER(MATCH('My Colleges'!$B$11&amp;"|4",DB_Prompts!$A$2:$A$800,0))),INDEX(DB_Prompts!$G$2:$G$800,MATCH('My Colleges'!$B$11&amp;"|4",DB_Prompts!$A$2:$A$800,0)),"")</f>
        <v/>
      </c>
      <c r="H30" s="24"/>
      <c r="I30" s="17" t="str">
        <f aca="false">IF(AND($C30&lt;&gt;"",ISNUMBER('My Colleges'!$I$11)),'My Colleges'!$I$11-10,"")</f>
        <v/>
      </c>
      <c r="J30" s="24"/>
      <c r="K30" s="24"/>
    </row>
    <row r="31" customFormat="false" ht="15" hidden="false" customHeight="true" outlineLevel="0" collapsed="false">
      <c r="A31" s="18" t="str">
        <f aca="false">IF(AND(ISNUMBER(MATCH('My Colleges'!$B$11&amp;"|5",DB_Prompts!$A$2:$A$800,0)),'My Colleges'!$V$11&lt;&gt;"No"),'My Colleges'!$B$11,"")</f>
        <v/>
      </c>
      <c r="B31" s="18" t="str">
        <f aca="false">IF($A31="","",5)</f>
        <v/>
      </c>
      <c r="C31" s="18" t="str">
        <f aca="false">IF(AND($A31&lt;&gt;"",ISNUMBER(MATCH('My Colleges'!$B$11&amp;"|5",DB_Prompts!$A$2:$A$800,0))),INDEX(DB_Prompts!$D$2:$D$800,MATCH('My Colleges'!$B$11&amp;"|5",DB_Prompts!$A$2:$A$800,0)),"")</f>
        <v/>
      </c>
      <c r="D31" s="18" t="str">
        <f aca="false">IF(AND($A31&lt;&gt;"",ISNUMBER(MATCH('My Colleges'!$B$11&amp;"|5",DB_Prompts!$A$2:$A$800,0))),INDEX(DB_Prompts!$E$2:$E$800,MATCH('My Colleges'!$B$11&amp;"|5",DB_Prompts!$A$2:$A$800,0)),"")</f>
        <v/>
      </c>
      <c r="E31" s="18" t="str">
        <f aca="false">IF(AND($A31&lt;&gt;"",ISNUMBER(MATCH('My Colleges'!$B$11&amp;"|5",DB_Prompts!$A$2:$A$800,0))),INDEX(DB_Prompts!$F$2:$F$800,MATCH('My Colleges'!$B$11&amp;"|5",DB_Prompts!$A$2:$A$800,0)),"")</f>
        <v/>
      </c>
      <c r="F31" s="18" t="str">
        <f aca="false">IF(AND($A31&lt;&gt;"",ISNUMBER(MATCH('My Colleges'!$B$11&amp;"|5",DB_Prompts!$A$2:$A$800,0))),INDEX(DB_Prompts!$H$2:$H$800,MATCH('My Colleges'!$B$11&amp;"|5",DB_Prompts!$A$2:$A$800,0)),"")</f>
        <v/>
      </c>
      <c r="G31" s="18" t="str">
        <f aca="false">IF(AND($A31&lt;&gt;"",ISNUMBER(MATCH('My Colleges'!$B$11&amp;"|5",DB_Prompts!$A$2:$A$800,0))),INDEX(DB_Prompts!$G$2:$G$800,MATCH('My Colleges'!$B$11&amp;"|5",DB_Prompts!$A$2:$A$800,0)),"")</f>
        <v/>
      </c>
      <c r="H31" s="24"/>
      <c r="I31" s="17" t="str">
        <f aca="false">IF(AND($C31&lt;&gt;"",ISNUMBER('My Colleges'!$I$11)),'My Colleges'!$I$11-10,"")</f>
        <v/>
      </c>
      <c r="J31" s="24"/>
      <c r="K31" s="24"/>
    </row>
    <row r="32" customFormat="false" ht="15" hidden="false" customHeight="true" outlineLevel="0" collapsed="false">
      <c r="A32" s="18" t="str">
        <f aca="false">IF(OR('My Colleges'!$B$12="",'My Colleges'!$V$12="No"),"",'My Colleges'!$B$12)</f>
        <v/>
      </c>
      <c r="B32" s="18" t="str">
        <f aca="false">IF($A32="","",1)</f>
        <v/>
      </c>
      <c r="C32" s="18" t="str">
        <f aca="false">IF($A32="","",IF(ISNUMBER(MATCH('My Colleges'!$B$12&amp;"|1",DB_Prompts!$A$2:$A$800,0)),INDEX(DB_Prompts!$D$2:$D$800,MATCH('My Colleges'!$B$12&amp;"|1",DB_Prompts!$A$2:$A$800,0)),IF('My Colleges'!$P$12=0,"No extra essays required.","Prompts not loaded yet: check this college's Admissions Page (last column on Explore) or its Common App page, and copy any prompts into Notes.")))</f>
        <v/>
      </c>
      <c r="D32" s="18" t="str">
        <f aca="false">IF(AND($A32&lt;&gt;"",ISNUMBER(MATCH('My Colleges'!$B$12&amp;"|1",DB_Prompts!$A$2:$A$800,0))),INDEX(DB_Prompts!$E$2:$E$800,MATCH('My Colleges'!$B$12&amp;"|1",DB_Prompts!$A$2:$A$800,0)),"")</f>
        <v/>
      </c>
      <c r="E32" s="18" t="str">
        <f aca="false">IF(AND($A32&lt;&gt;"",ISNUMBER(MATCH('My Colleges'!$B$12&amp;"|1",DB_Prompts!$A$2:$A$800,0))),INDEX(DB_Prompts!$F$2:$F$800,MATCH('My Colleges'!$B$12&amp;"|1",DB_Prompts!$A$2:$A$800,0)),"")</f>
        <v/>
      </c>
      <c r="F32" s="18" t="str">
        <f aca="false">IF(AND($A32&lt;&gt;"",ISNUMBER(MATCH('My Colleges'!$B$12&amp;"|1",DB_Prompts!$A$2:$A$800,0))),INDEX(DB_Prompts!$H$2:$H$800,MATCH('My Colleges'!$B$12&amp;"|1",DB_Prompts!$A$2:$A$800,0)),"")</f>
        <v/>
      </c>
      <c r="G32" s="18" t="str">
        <f aca="false">IF(AND($A32&lt;&gt;"",ISNUMBER(MATCH('My Colleges'!$B$12&amp;"|1",DB_Prompts!$A$2:$A$800,0))),INDEX(DB_Prompts!$G$2:$G$800,MATCH('My Colleges'!$B$12&amp;"|1",DB_Prompts!$A$2:$A$800,0)),"")</f>
        <v/>
      </c>
      <c r="H32" s="24"/>
      <c r="I32" s="17" t="str">
        <f aca="false">IF(AND($C32&lt;&gt;"",ISNUMBER('My Colleges'!$I$12)),'My Colleges'!$I$12-10,"")</f>
        <v/>
      </c>
      <c r="J32" s="24"/>
      <c r="K32" s="24"/>
    </row>
    <row r="33" customFormat="false" ht="15" hidden="false" customHeight="true" outlineLevel="0" collapsed="false">
      <c r="A33" s="18" t="str">
        <f aca="false">IF(AND(ISNUMBER(MATCH('My Colleges'!$B$12&amp;"|2",DB_Prompts!$A$2:$A$800,0)),'My Colleges'!$V$12&lt;&gt;"No"),'My Colleges'!$B$12,"")</f>
        <v/>
      </c>
      <c r="B33" s="18" t="str">
        <f aca="false">IF($A33="","",2)</f>
        <v/>
      </c>
      <c r="C33" s="18" t="str">
        <f aca="false">IF(AND($A33&lt;&gt;"",ISNUMBER(MATCH('My Colleges'!$B$12&amp;"|2",DB_Prompts!$A$2:$A$800,0))),INDEX(DB_Prompts!$D$2:$D$800,MATCH('My Colleges'!$B$12&amp;"|2",DB_Prompts!$A$2:$A$800,0)),"")</f>
        <v/>
      </c>
      <c r="D33" s="18" t="str">
        <f aca="false">IF(AND($A33&lt;&gt;"",ISNUMBER(MATCH('My Colleges'!$B$12&amp;"|2",DB_Prompts!$A$2:$A$800,0))),INDEX(DB_Prompts!$E$2:$E$800,MATCH('My Colleges'!$B$12&amp;"|2",DB_Prompts!$A$2:$A$800,0)),"")</f>
        <v/>
      </c>
      <c r="E33" s="18" t="str">
        <f aca="false">IF(AND($A33&lt;&gt;"",ISNUMBER(MATCH('My Colleges'!$B$12&amp;"|2",DB_Prompts!$A$2:$A$800,0))),INDEX(DB_Prompts!$F$2:$F$800,MATCH('My Colleges'!$B$12&amp;"|2",DB_Prompts!$A$2:$A$800,0)),"")</f>
        <v/>
      </c>
      <c r="F33" s="18" t="str">
        <f aca="false">IF(AND($A33&lt;&gt;"",ISNUMBER(MATCH('My Colleges'!$B$12&amp;"|2",DB_Prompts!$A$2:$A$800,0))),INDEX(DB_Prompts!$H$2:$H$800,MATCH('My Colleges'!$B$12&amp;"|2",DB_Prompts!$A$2:$A$800,0)),"")</f>
        <v/>
      </c>
      <c r="G33" s="18" t="str">
        <f aca="false">IF(AND($A33&lt;&gt;"",ISNUMBER(MATCH('My Colleges'!$B$12&amp;"|2",DB_Prompts!$A$2:$A$800,0))),INDEX(DB_Prompts!$G$2:$G$800,MATCH('My Colleges'!$B$12&amp;"|2",DB_Prompts!$A$2:$A$800,0)),"")</f>
        <v/>
      </c>
      <c r="H33" s="24"/>
      <c r="I33" s="17" t="str">
        <f aca="false">IF(AND($C33&lt;&gt;"",ISNUMBER('My Colleges'!$I$12)),'My Colleges'!$I$12-10,"")</f>
        <v/>
      </c>
      <c r="J33" s="24"/>
      <c r="K33" s="24"/>
    </row>
    <row r="34" customFormat="false" ht="15" hidden="false" customHeight="true" outlineLevel="0" collapsed="false">
      <c r="A34" s="18" t="str">
        <f aca="false">IF(AND(ISNUMBER(MATCH('My Colleges'!$B$12&amp;"|3",DB_Prompts!$A$2:$A$800,0)),'My Colleges'!$V$12&lt;&gt;"No"),'My Colleges'!$B$12,"")</f>
        <v/>
      </c>
      <c r="B34" s="18" t="str">
        <f aca="false">IF($A34="","",3)</f>
        <v/>
      </c>
      <c r="C34" s="18" t="str">
        <f aca="false">IF(AND($A34&lt;&gt;"",ISNUMBER(MATCH('My Colleges'!$B$12&amp;"|3",DB_Prompts!$A$2:$A$800,0))),INDEX(DB_Prompts!$D$2:$D$800,MATCH('My Colleges'!$B$12&amp;"|3",DB_Prompts!$A$2:$A$800,0)),"")</f>
        <v/>
      </c>
      <c r="D34" s="18" t="str">
        <f aca="false">IF(AND($A34&lt;&gt;"",ISNUMBER(MATCH('My Colleges'!$B$12&amp;"|3",DB_Prompts!$A$2:$A$800,0))),INDEX(DB_Prompts!$E$2:$E$800,MATCH('My Colleges'!$B$12&amp;"|3",DB_Prompts!$A$2:$A$800,0)),"")</f>
        <v/>
      </c>
      <c r="E34" s="18" t="str">
        <f aca="false">IF(AND($A34&lt;&gt;"",ISNUMBER(MATCH('My Colleges'!$B$12&amp;"|3",DB_Prompts!$A$2:$A$800,0))),INDEX(DB_Prompts!$F$2:$F$800,MATCH('My Colleges'!$B$12&amp;"|3",DB_Prompts!$A$2:$A$800,0)),"")</f>
        <v/>
      </c>
      <c r="F34" s="18" t="str">
        <f aca="false">IF(AND($A34&lt;&gt;"",ISNUMBER(MATCH('My Colleges'!$B$12&amp;"|3",DB_Prompts!$A$2:$A$800,0))),INDEX(DB_Prompts!$H$2:$H$800,MATCH('My Colleges'!$B$12&amp;"|3",DB_Prompts!$A$2:$A$800,0)),"")</f>
        <v/>
      </c>
      <c r="G34" s="18" t="str">
        <f aca="false">IF(AND($A34&lt;&gt;"",ISNUMBER(MATCH('My Colleges'!$B$12&amp;"|3",DB_Prompts!$A$2:$A$800,0))),INDEX(DB_Prompts!$G$2:$G$800,MATCH('My Colleges'!$B$12&amp;"|3",DB_Prompts!$A$2:$A$800,0)),"")</f>
        <v/>
      </c>
      <c r="H34" s="24"/>
      <c r="I34" s="17" t="str">
        <f aca="false">IF(AND($C34&lt;&gt;"",ISNUMBER('My Colleges'!$I$12)),'My Colleges'!$I$12-10,"")</f>
        <v/>
      </c>
      <c r="J34" s="24"/>
      <c r="K34" s="24"/>
    </row>
    <row r="35" customFormat="false" ht="15" hidden="false" customHeight="true" outlineLevel="0" collapsed="false">
      <c r="A35" s="18" t="str">
        <f aca="false">IF(AND(ISNUMBER(MATCH('My Colleges'!$B$12&amp;"|4",DB_Prompts!$A$2:$A$800,0)),'My Colleges'!$V$12&lt;&gt;"No"),'My Colleges'!$B$12,"")</f>
        <v/>
      </c>
      <c r="B35" s="18" t="str">
        <f aca="false">IF($A35="","",4)</f>
        <v/>
      </c>
      <c r="C35" s="18" t="str">
        <f aca="false">IF(AND($A35&lt;&gt;"",ISNUMBER(MATCH('My Colleges'!$B$12&amp;"|4",DB_Prompts!$A$2:$A$800,0))),INDEX(DB_Prompts!$D$2:$D$800,MATCH('My Colleges'!$B$12&amp;"|4",DB_Prompts!$A$2:$A$800,0)),"")</f>
        <v/>
      </c>
      <c r="D35" s="18" t="str">
        <f aca="false">IF(AND($A35&lt;&gt;"",ISNUMBER(MATCH('My Colleges'!$B$12&amp;"|4",DB_Prompts!$A$2:$A$800,0))),INDEX(DB_Prompts!$E$2:$E$800,MATCH('My Colleges'!$B$12&amp;"|4",DB_Prompts!$A$2:$A$800,0)),"")</f>
        <v/>
      </c>
      <c r="E35" s="18" t="str">
        <f aca="false">IF(AND($A35&lt;&gt;"",ISNUMBER(MATCH('My Colleges'!$B$12&amp;"|4",DB_Prompts!$A$2:$A$800,0))),INDEX(DB_Prompts!$F$2:$F$800,MATCH('My Colleges'!$B$12&amp;"|4",DB_Prompts!$A$2:$A$800,0)),"")</f>
        <v/>
      </c>
      <c r="F35" s="18" t="str">
        <f aca="false">IF(AND($A35&lt;&gt;"",ISNUMBER(MATCH('My Colleges'!$B$12&amp;"|4",DB_Prompts!$A$2:$A$800,0))),INDEX(DB_Prompts!$H$2:$H$800,MATCH('My Colleges'!$B$12&amp;"|4",DB_Prompts!$A$2:$A$800,0)),"")</f>
        <v/>
      </c>
      <c r="G35" s="18" t="str">
        <f aca="false">IF(AND($A35&lt;&gt;"",ISNUMBER(MATCH('My Colleges'!$B$12&amp;"|4",DB_Prompts!$A$2:$A$800,0))),INDEX(DB_Prompts!$G$2:$G$800,MATCH('My Colleges'!$B$12&amp;"|4",DB_Prompts!$A$2:$A$800,0)),"")</f>
        <v/>
      </c>
      <c r="H35" s="24"/>
      <c r="I35" s="17" t="str">
        <f aca="false">IF(AND($C35&lt;&gt;"",ISNUMBER('My Colleges'!$I$12)),'My Colleges'!$I$12-10,"")</f>
        <v/>
      </c>
      <c r="J35" s="24"/>
      <c r="K35" s="24"/>
    </row>
    <row r="36" customFormat="false" ht="15" hidden="false" customHeight="true" outlineLevel="0" collapsed="false">
      <c r="A36" s="18" t="str">
        <f aca="false">IF(AND(ISNUMBER(MATCH('My Colleges'!$B$12&amp;"|5",DB_Prompts!$A$2:$A$800,0)),'My Colleges'!$V$12&lt;&gt;"No"),'My Colleges'!$B$12,"")</f>
        <v/>
      </c>
      <c r="B36" s="18" t="str">
        <f aca="false">IF($A36="","",5)</f>
        <v/>
      </c>
      <c r="C36" s="18" t="str">
        <f aca="false">IF(AND($A36&lt;&gt;"",ISNUMBER(MATCH('My Colleges'!$B$12&amp;"|5",DB_Prompts!$A$2:$A$800,0))),INDEX(DB_Prompts!$D$2:$D$800,MATCH('My Colleges'!$B$12&amp;"|5",DB_Prompts!$A$2:$A$800,0)),"")</f>
        <v/>
      </c>
      <c r="D36" s="18" t="str">
        <f aca="false">IF(AND($A36&lt;&gt;"",ISNUMBER(MATCH('My Colleges'!$B$12&amp;"|5",DB_Prompts!$A$2:$A$800,0))),INDEX(DB_Prompts!$E$2:$E$800,MATCH('My Colleges'!$B$12&amp;"|5",DB_Prompts!$A$2:$A$800,0)),"")</f>
        <v/>
      </c>
      <c r="E36" s="18" t="str">
        <f aca="false">IF(AND($A36&lt;&gt;"",ISNUMBER(MATCH('My Colleges'!$B$12&amp;"|5",DB_Prompts!$A$2:$A$800,0))),INDEX(DB_Prompts!$F$2:$F$800,MATCH('My Colleges'!$B$12&amp;"|5",DB_Prompts!$A$2:$A$800,0)),"")</f>
        <v/>
      </c>
      <c r="F36" s="18" t="str">
        <f aca="false">IF(AND($A36&lt;&gt;"",ISNUMBER(MATCH('My Colleges'!$B$12&amp;"|5",DB_Prompts!$A$2:$A$800,0))),INDEX(DB_Prompts!$H$2:$H$800,MATCH('My Colleges'!$B$12&amp;"|5",DB_Prompts!$A$2:$A$800,0)),"")</f>
        <v/>
      </c>
      <c r="G36" s="18" t="str">
        <f aca="false">IF(AND($A36&lt;&gt;"",ISNUMBER(MATCH('My Colleges'!$B$12&amp;"|5",DB_Prompts!$A$2:$A$800,0))),INDEX(DB_Prompts!$G$2:$G$800,MATCH('My Colleges'!$B$12&amp;"|5",DB_Prompts!$A$2:$A$800,0)),"")</f>
        <v/>
      </c>
      <c r="H36" s="24"/>
      <c r="I36" s="17" t="str">
        <f aca="false">IF(AND($C36&lt;&gt;"",ISNUMBER('My Colleges'!$I$12)),'My Colleges'!$I$12-10,"")</f>
        <v/>
      </c>
      <c r="J36" s="24"/>
      <c r="K36" s="24"/>
    </row>
    <row r="37" customFormat="false" ht="15" hidden="false" customHeight="true" outlineLevel="0" collapsed="false">
      <c r="A37" s="18" t="str">
        <f aca="false">IF(OR('My Colleges'!$B$13="",'My Colleges'!$V$13="No"),"",'My Colleges'!$B$13)</f>
        <v/>
      </c>
      <c r="B37" s="18" t="str">
        <f aca="false">IF($A37="","",1)</f>
        <v/>
      </c>
      <c r="C37" s="18" t="str">
        <f aca="false">IF($A37="","",IF(ISNUMBER(MATCH('My Colleges'!$B$13&amp;"|1",DB_Prompts!$A$2:$A$800,0)),INDEX(DB_Prompts!$D$2:$D$800,MATCH('My Colleges'!$B$13&amp;"|1",DB_Prompts!$A$2:$A$800,0)),IF('My Colleges'!$P$13=0,"No extra essays required.","Prompts not loaded yet: check this college's Admissions Page (last column on Explore) or its Common App page, and copy any prompts into Notes.")))</f>
        <v/>
      </c>
      <c r="D37" s="18" t="str">
        <f aca="false">IF(AND($A37&lt;&gt;"",ISNUMBER(MATCH('My Colleges'!$B$13&amp;"|1",DB_Prompts!$A$2:$A$800,0))),INDEX(DB_Prompts!$E$2:$E$800,MATCH('My Colleges'!$B$13&amp;"|1",DB_Prompts!$A$2:$A$800,0)),"")</f>
        <v/>
      </c>
      <c r="E37" s="18" t="str">
        <f aca="false">IF(AND($A37&lt;&gt;"",ISNUMBER(MATCH('My Colleges'!$B$13&amp;"|1",DB_Prompts!$A$2:$A$800,0))),INDEX(DB_Prompts!$F$2:$F$800,MATCH('My Colleges'!$B$13&amp;"|1",DB_Prompts!$A$2:$A$800,0)),"")</f>
        <v/>
      </c>
      <c r="F37" s="18" t="str">
        <f aca="false">IF(AND($A37&lt;&gt;"",ISNUMBER(MATCH('My Colleges'!$B$13&amp;"|1",DB_Prompts!$A$2:$A$800,0))),INDEX(DB_Prompts!$H$2:$H$800,MATCH('My Colleges'!$B$13&amp;"|1",DB_Prompts!$A$2:$A$800,0)),"")</f>
        <v/>
      </c>
      <c r="G37" s="18" t="str">
        <f aca="false">IF(AND($A37&lt;&gt;"",ISNUMBER(MATCH('My Colleges'!$B$13&amp;"|1",DB_Prompts!$A$2:$A$800,0))),INDEX(DB_Prompts!$G$2:$G$800,MATCH('My Colleges'!$B$13&amp;"|1",DB_Prompts!$A$2:$A$800,0)),"")</f>
        <v/>
      </c>
      <c r="H37" s="24"/>
      <c r="I37" s="17" t="str">
        <f aca="false">IF(AND($C37&lt;&gt;"",ISNUMBER('My Colleges'!$I$13)),'My Colleges'!$I$13-10,"")</f>
        <v/>
      </c>
      <c r="J37" s="24"/>
      <c r="K37" s="24"/>
    </row>
    <row r="38" customFormat="false" ht="15" hidden="false" customHeight="true" outlineLevel="0" collapsed="false">
      <c r="A38" s="18" t="str">
        <f aca="false">IF(AND(ISNUMBER(MATCH('My Colleges'!$B$13&amp;"|2",DB_Prompts!$A$2:$A$800,0)),'My Colleges'!$V$13&lt;&gt;"No"),'My Colleges'!$B$13,"")</f>
        <v/>
      </c>
      <c r="B38" s="18" t="str">
        <f aca="false">IF($A38="","",2)</f>
        <v/>
      </c>
      <c r="C38" s="18" t="str">
        <f aca="false">IF(AND($A38&lt;&gt;"",ISNUMBER(MATCH('My Colleges'!$B$13&amp;"|2",DB_Prompts!$A$2:$A$800,0))),INDEX(DB_Prompts!$D$2:$D$800,MATCH('My Colleges'!$B$13&amp;"|2",DB_Prompts!$A$2:$A$800,0)),"")</f>
        <v/>
      </c>
      <c r="D38" s="18" t="str">
        <f aca="false">IF(AND($A38&lt;&gt;"",ISNUMBER(MATCH('My Colleges'!$B$13&amp;"|2",DB_Prompts!$A$2:$A$800,0))),INDEX(DB_Prompts!$E$2:$E$800,MATCH('My Colleges'!$B$13&amp;"|2",DB_Prompts!$A$2:$A$800,0)),"")</f>
        <v/>
      </c>
      <c r="E38" s="18" t="str">
        <f aca="false">IF(AND($A38&lt;&gt;"",ISNUMBER(MATCH('My Colleges'!$B$13&amp;"|2",DB_Prompts!$A$2:$A$800,0))),INDEX(DB_Prompts!$F$2:$F$800,MATCH('My Colleges'!$B$13&amp;"|2",DB_Prompts!$A$2:$A$800,0)),"")</f>
        <v/>
      </c>
      <c r="F38" s="18" t="str">
        <f aca="false">IF(AND($A38&lt;&gt;"",ISNUMBER(MATCH('My Colleges'!$B$13&amp;"|2",DB_Prompts!$A$2:$A$800,0))),INDEX(DB_Prompts!$H$2:$H$800,MATCH('My Colleges'!$B$13&amp;"|2",DB_Prompts!$A$2:$A$800,0)),"")</f>
        <v/>
      </c>
      <c r="G38" s="18" t="str">
        <f aca="false">IF(AND($A38&lt;&gt;"",ISNUMBER(MATCH('My Colleges'!$B$13&amp;"|2",DB_Prompts!$A$2:$A$800,0))),INDEX(DB_Prompts!$G$2:$G$800,MATCH('My Colleges'!$B$13&amp;"|2",DB_Prompts!$A$2:$A$800,0)),"")</f>
        <v/>
      </c>
      <c r="H38" s="24"/>
      <c r="I38" s="17" t="str">
        <f aca="false">IF(AND($C38&lt;&gt;"",ISNUMBER('My Colleges'!$I$13)),'My Colleges'!$I$13-10,"")</f>
        <v/>
      </c>
      <c r="J38" s="24"/>
      <c r="K38" s="24"/>
    </row>
    <row r="39" customFormat="false" ht="15" hidden="false" customHeight="true" outlineLevel="0" collapsed="false">
      <c r="A39" s="18" t="str">
        <f aca="false">IF(AND(ISNUMBER(MATCH('My Colleges'!$B$13&amp;"|3",DB_Prompts!$A$2:$A$800,0)),'My Colleges'!$V$13&lt;&gt;"No"),'My Colleges'!$B$13,"")</f>
        <v/>
      </c>
      <c r="B39" s="18" t="str">
        <f aca="false">IF($A39="","",3)</f>
        <v/>
      </c>
      <c r="C39" s="18" t="str">
        <f aca="false">IF(AND($A39&lt;&gt;"",ISNUMBER(MATCH('My Colleges'!$B$13&amp;"|3",DB_Prompts!$A$2:$A$800,0))),INDEX(DB_Prompts!$D$2:$D$800,MATCH('My Colleges'!$B$13&amp;"|3",DB_Prompts!$A$2:$A$800,0)),"")</f>
        <v/>
      </c>
      <c r="D39" s="18" t="str">
        <f aca="false">IF(AND($A39&lt;&gt;"",ISNUMBER(MATCH('My Colleges'!$B$13&amp;"|3",DB_Prompts!$A$2:$A$800,0))),INDEX(DB_Prompts!$E$2:$E$800,MATCH('My Colleges'!$B$13&amp;"|3",DB_Prompts!$A$2:$A$800,0)),"")</f>
        <v/>
      </c>
      <c r="E39" s="18" t="str">
        <f aca="false">IF(AND($A39&lt;&gt;"",ISNUMBER(MATCH('My Colleges'!$B$13&amp;"|3",DB_Prompts!$A$2:$A$800,0))),INDEX(DB_Prompts!$F$2:$F$800,MATCH('My Colleges'!$B$13&amp;"|3",DB_Prompts!$A$2:$A$800,0)),"")</f>
        <v/>
      </c>
      <c r="F39" s="18" t="str">
        <f aca="false">IF(AND($A39&lt;&gt;"",ISNUMBER(MATCH('My Colleges'!$B$13&amp;"|3",DB_Prompts!$A$2:$A$800,0))),INDEX(DB_Prompts!$H$2:$H$800,MATCH('My Colleges'!$B$13&amp;"|3",DB_Prompts!$A$2:$A$800,0)),"")</f>
        <v/>
      </c>
      <c r="G39" s="18" t="str">
        <f aca="false">IF(AND($A39&lt;&gt;"",ISNUMBER(MATCH('My Colleges'!$B$13&amp;"|3",DB_Prompts!$A$2:$A$800,0))),INDEX(DB_Prompts!$G$2:$G$800,MATCH('My Colleges'!$B$13&amp;"|3",DB_Prompts!$A$2:$A$800,0)),"")</f>
        <v/>
      </c>
      <c r="H39" s="24"/>
      <c r="I39" s="17" t="str">
        <f aca="false">IF(AND($C39&lt;&gt;"",ISNUMBER('My Colleges'!$I$13)),'My Colleges'!$I$13-10,"")</f>
        <v/>
      </c>
      <c r="J39" s="24"/>
      <c r="K39" s="24"/>
    </row>
    <row r="40" customFormat="false" ht="15" hidden="false" customHeight="true" outlineLevel="0" collapsed="false">
      <c r="A40" s="18" t="str">
        <f aca="false">IF(AND(ISNUMBER(MATCH('My Colleges'!$B$13&amp;"|4",DB_Prompts!$A$2:$A$800,0)),'My Colleges'!$V$13&lt;&gt;"No"),'My Colleges'!$B$13,"")</f>
        <v/>
      </c>
      <c r="B40" s="18" t="str">
        <f aca="false">IF($A40="","",4)</f>
        <v/>
      </c>
      <c r="C40" s="18" t="str">
        <f aca="false">IF(AND($A40&lt;&gt;"",ISNUMBER(MATCH('My Colleges'!$B$13&amp;"|4",DB_Prompts!$A$2:$A$800,0))),INDEX(DB_Prompts!$D$2:$D$800,MATCH('My Colleges'!$B$13&amp;"|4",DB_Prompts!$A$2:$A$800,0)),"")</f>
        <v/>
      </c>
      <c r="D40" s="18" t="str">
        <f aca="false">IF(AND($A40&lt;&gt;"",ISNUMBER(MATCH('My Colleges'!$B$13&amp;"|4",DB_Prompts!$A$2:$A$800,0))),INDEX(DB_Prompts!$E$2:$E$800,MATCH('My Colleges'!$B$13&amp;"|4",DB_Prompts!$A$2:$A$800,0)),"")</f>
        <v/>
      </c>
      <c r="E40" s="18" t="str">
        <f aca="false">IF(AND($A40&lt;&gt;"",ISNUMBER(MATCH('My Colleges'!$B$13&amp;"|4",DB_Prompts!$A$2:$A$800,0))),INDEX(DB_Prompts!$F$2:$F$800,MATCH('My Colleges'!$B$13&amp;"|4",DB_Prompts!$A$2:$A$800,0)),"")</f>
        <v/>
      </c>
      <c r="F40" s="18" t="str">
        <f aca="false">IF(AND($A40&lt;&gt;"",ISNUMBER(MATCH('My Colleges'!$B$13&amp;"|4",DB_Prompts!$A$2:$A$800,0))),INDEX(DB_Prompts!$H$2:$H$800,MATCH('My Colleges'!$B$13&amp;"|4",DB_Prompts!$A$2:$A$800,0)),"")</f>
        <v/>
      </c>
      <c r="G40" s="18" t="str">
        <f aca="false">IF(AND($A40&lt;&gt;"",ISNUMBER(MATCH('My Colleges'!$B$13&amp;"|4",DB_Prompts!$A$2:$A$800,0))),INDEX(DB_Prompts!$G$2:$G$800,MATCH('My Colleges'!$B$13&amp;"|4",DB_Prompts!$A$2:$A$800,0)),"")</f>
        <v/>
      </c>
      <c r="H40" s="24"/>
      <c r="I40" s="17" t="str">
        <f aca="false">IF(AND($C40&lt;&gt;"",ISNUMBER('My Colleges'!$I$13)),'My Colleges'!$I$13-10,"")</f>
        <v/>
      </c>
      <c r="J40" s="24"/>
      <c r="K40" s="24"/>
    </row>
    <row r="41" customFormat="false" ht="15" hidden="false" customHeight="true" outlineLevel="0" collapsed="false">
      <c r="A41" s="18" t="str">
        <f aca="false">IF(AND(ISNUMBER(MATCH('My Colleges'!$B$13&amp;"|5",DB_Prompts!$A$2:$A$800,0)),'My Colleges'!$V$13&lt;&gt;"No"),'My Colleges'!$B$13,"")</f>
        <v/>
      </c>
      <c r="B41" s="18" t="str">
        <f aca="false">IF($A41="","",5)</f>
        <v/>
      </c>
      <c r="C41" s="18" t="str">
        <f aca="false">IF(AND($A41&lt;&gt;"",ISNUMBER(MATCH('My Colleges'!$B$13&amp;"|5",DB_Prompts!$A$2:$A$800,0))),INDEX(DB_Prompts!$D$2:$D$800,MATCH('My Colleges'!$B$13&amp;"|5",DB_Prompts!$A$2:$A$800,0)),"")</f>
        <v/>
      </c>
      <c r="D41" s="18" t="str">
        <f aca="false">IF(AND($A41&lt;&gt;"",ISNUMBER(MATCH('My Colleges'!$B$13&amp;"|5",DB_Prompts!$A$2:$A$800,0))),INDEX(DB_Prompts!$E$2:$E$800,MATCH('My Colleges'!$B$13&amp;"|5",DB_Prompts!$A$2:$A$800,0)),"")</f>
        <v/>
      </c>
      <c r="E41" s="18" t="str">
        <f aca="false">IF(AND($A41&lt;&gt;"",ISNUMBER(MATCH('My Colleges'!$B$13&amp;"|5",DB_Prompts!$A$2:$A$800,0))),INDEX(DB_Prompts!$F$2:$F$800,MATCH('My Colleges'!$B$13&amp;"|5",DB_Prompts!$A$2:$A$800,0)),"")</f>
        <v/>
      </c>
      <c r="F41" s="18" t="str">
        <f aca="false">IF(AND($A41&lt;&gt;"",ISNUMBER(MATCH('My Colleges'!$B$13&amp;"|5",DB_Prompts!$A$2:$A$800,0))),INDEX(DB_Prompts!$H$2:$H$800,MATCH('My Colleges'!$B$13&amp;"|5",DB_Prompts!$A$2:$A$800,0)),"")</f>
        <v/>
      </c>
      <c r="G41" s="18" t="str">
        <f aca="false">IF(AND($A41&lt;&gt;"",ISNUMBER(MATCH('My Colleges'!$B$13&amp;"|5",DB_Prompts!$A$2:$A$800,0))),INDEX(DB_Prompts!$G$2:$G$800,MATCH('My Colleges'!$B$13&amp;"|5",DB_Prompts!$A$2:$A$800,0)),"")</f>
        <v/>
      </c>
      <c r="H41" s="24"/>
      <c r="I41" s="17" t="str">
        <f aca="false">IF(AND($C41&lt;&gt;"",ISNUMBER('My Colleges'!$I$13)),'My Colleges'!$I$13-10,"")</f>
        <v/>
      </c>
      <c r="J41" s="24"/>
      <c r="K41" s="24"/>
    </row>
    <row r="42" customFormat="false" ht="15" hidden="false" customHeight="true" outlineLevel="0" collapsed="false">
      <c r="A42" s="18" t="str">
        <f aca="false">IF(OR('My Colleges'!$B$14="",'My Colleges'!$V$14="No"),"",'My Colleges'!$B$14)</f>
        <v/>
      </c>
      <c r="B42" s="18" t="str">
        <f aca="false">IF($A42="","",1)</f>
        <v/>
      </c>
      <c r="C42" s="18" t="str">
        <f aca="false">IF($A42="","",IF(ISNUMBER(MATCH('My Colleges'!$B$14&amp;"|1",DB_Prompts!$A$2:$A$800,0)),INDEX(DB_Prompts!$D$2:$D$800,MATCH('My Colleges'!$B$14&amp;"|1",DB_Prompts!$A$2:$A$800,0)),IF('My Colleges'!$P$14=0,"No extra essays required.","Prompts not loaded yet: check this college's Admissions Page (last column on Explore) or its Common App page, and copy any prompts into Notes.")))</f>
        <v/>
      </c>
      <c r="D42" s="18" t="str">
        <f aca="false">IF(AND($A42&lt;&gt;"",ISNUMBER(MATCH('My Colleges'!$B$14&amp;"|1",DB_Prompts!$A$2:$A$800,0))),INDEX(DB_Prompts!$E$2:$E$800,MATCH('My Colleges'!$B$14&amp;"|1",DB_Prompts!$A$2:$A$800,0)),"")</f>
        <v/>
      </c>
      <c r="E42" s="18" t="str">
        <f aca="false">IF(AND($A42&lt;&gt;"",ISNUMBER(MATCH('My Colleges'!$B$14&amp;"|1",DB_Prompts!$A$2:$A$800,0))),INDEX(DB_Prompts!$F$2:$F$800,MATCH('My Colleges'!$B$14&amp;"|1",DB_Prompts!$A$2:$A$800,0)),"")</f>
        <v/>
      </c>
      <c r="F42" s="18" t="str">
        <f aca="false">IF(AND($A42&lt;&gt;"",ISNUMBER(MATCH('My Colleges'!$B$14&amp;"|1",DB_Prompts!$A$2:$A$800,0))),INDEX(DB_Prompts!$H$2:$H$800,MATCH('My Colleges'!$B$14&amp;"|1",DB_Prompts!$A$2:$A$800,0)),"")</f>
        <v/>
      </c>
      <c r="G42" s="18" t="str">
        <f aca="false">IF(AND($A42&lt;&gt;"",ISNUMBER(MATCH('My Colleges'!$B$14&amp;"|1",DB_Prompts!$A$2:$A$800,0))),INDEX(DB_Prompts!$G$2:$G$800,MATCH('My Colleges'!$B$14&amp;"|1",DB_Prompts!$A$2:$A$800,0)),"")</f>
        <v/>
      </c>
      <c r="H42" s="24"/>
      <c r="I42" s="17" t="str">
        <f aca="false">IF(AND($C42&lt;&gt;"",ISNUMBER('My Colleges'!$I$14)),'My Colleges'!$I$14-10,"")</f>
        <v/>
      </c>
      <c r="J42" s="24"/>
      <c r="K42" s="24"/>
    </row>
    <row r="43" customFormat="false" ht="15" hidden="false" customHeight="true" outlineLevel="0" collapsed="false">
      <c r="A43" s="18" t="str">
        <f aca="false">IF(AND(ISNUMBER(MATCH('My Colleges'!$B$14&amp;"|2",DB_Prompts!$A$2:$A$800,0)),'My Colleges'!$V$14&lt;&gt;"No"),'My Colleges'!$B$14,"")</f>
        <v/>
      </c>
      <c r="B43" s="18" t="str">
        <f aca="false">IF($A43="","",2)</f>
        <v/>
      </c>
      <c r="C43" s="18" t="str">
        <f aca="false">IF(AND($A43&lt;&gt;"",ISNUMBER(MATCH('My Colleges'!$B$14&amp;"|2",DB_Prompts!$A$2:$A$800,0))),INDEX(DB_Prompts!$D$2:$D$800,MATCH('My Colleges'!$B$14&amp;"|2",DB_Prompts!$A$2:$A$800,0)),"")</f>
        <v/>
      </c>
      <c r="D43" s="18" t="str">
        <f aca="false">IF(AND($A43&lt;&gt;"",ISNUMBER(MATCH('My Colleges'!$B$14&amp;"|2",DB_Prompts!$A$2:$A$800,0))),INDEX(DB_Prompts!$E$2:$E$800,MATCH('My Colleges'!$B$14&amp;"|2",DB_Prompts!$A$2:$A$800,0)),"")</f>
        <v/>
      </c>
      <c r="E43" s="18" t="str">
        <f aca="false">IF(AND($A43&lt;&gt;"",ISNUMBER(MATCH('My Colleges'!$B$14&amp;"|2",DB_Prompts!$A$2:$A$800,0))),INDEX(DB_Prompts!$F$2:$F$800,MATCH('My Colleges'!$B$14&amp;"|2",DB_Prompts!$A$2:$A$800,0)),"")</f>
        <v/>
      </c>
      <c r="F43" s="18" t="str">
        <f aca="false">IF(AND($A43&lt;&gt;"",ISNUMBER(MATCH('My Colleges'!$B$14&amp;"|2",DB_Prompts!$A$2:$A$800,0))),INDEX(DB_Prompts!$H$2:$H$800,MATCH('My Colleges'!$B$14&amp;"|2",DB_Prompts!$A$2:$A$800,0)),"")</f>
        <v/>
      </c>
      <c r="G43" s="18" t="str">
        <f aca="false">IF(AND($A43&lt;&gt;"",ISNUMBER(MATCH('My Colleges'!$B$14&amp;"|2",DB_Prompts!$A$2:$A$800,0))),INDEX(DB_Prompts!$G$2:$G$800,MATCH('My Colleges'!$B$14&amp;"|2",DB_Prompts!$A$2:$A$800,0)),"")</f>
        <v/>
      </c>
      <c r="H43" s="24"/>
      <c r="I43" s="17" t="str">
        <f aca="false">IF(AND($C43&lt;&gt;"",ISNUMBER('My Colleges'!$I$14)),'My Colleges'!$I$14-10,"")</f>
        <v/>
      </c>
      <c r="J43" s="24"/>
      <c r="K43" s="24"/>
    </row>
    <row r="44" customFormat="false" ht="15" hidden="false" customHeight="true" outlineLevel="0" collapsed="false">
      <c r="A44" s="18" t="str">
        <f aca="false">IF(AND(ISNUMBER(MATCH('My Colleges'!$B$14&amp;"|3",DB_Prompts!$A$2:$A$800,0)),'My Colleges'!$V$14&lt;&gt;"No"),'My Colleges'!$B$14,"")</f>
        <v/>
      </c>
      <c r="B44" s="18" t="str">
        <f aca="false">IF($A44="","",3)</f>
        <v/>
      </c>
      <c r="C44" s="18" t="str">
        <f aca="false">IF(AND($A44&lt;&gt;"",ISNUMBER(MATCH('My Colleges'!$B$14&amp;"|3",DB_Prompts!$A$2:$A$800,0))),INDEX(DB_Prompts!$D$2:$D$800,MATCH('My Colleges'!$B$14&amp;"|3",DB_Prompts!$A$2:$A$800,0)),"")</f>
        <v/>
      </c>
      <c r="D44" s="18" t="str">
        <f aca="false">IF(AND($A44&lt;&gt;"",ISNUMBER(MATCH('My Colleges'!$B$14&amp;"|3",DB_Prompts!$A$2:$A$800,0))),INDEX(DB_Prompts!$E$2:$E$800,MATCH('My Colleges'!$B$14&amp;"|3",DB_Prompts!$A$2:$A$800,0)),"")</f>
        <v/>
      </c>
      <c r="E44" s="18" t="str">
        <f aca="false">IF(AND($A44&lt;&gt;"",ISNUMBER(MATCH('My Colleges'!$B$14&amp;"|3",DB_Prompts!$A$2:$A$800,0))),INDEX(DB_Prompts!$F$2:$F$800,MATCH('My Colleges'!$B$14&amp;"|3",DB_Prompts!$A$2:$A$800,0)),"")</f>
        <v/>
      </c>
      <c r="F44" s="18" t="str">
        <f aca="false">IF(AND($A44&lt;&gt;"",ISNUMBER(MATCH('My Colleges'!$B$14&amp;"|3",DB_Prompts!$A$2:$A$800,0))),INDEX(DB_Prompts!$H$2:$H$800,MATCH('My Colleges'!$B$14&amp;"|3",DB_Prompts!$A$2:$A$800,0)),"")</f>
        <v/>
      </c>
      <c r="G44" s="18" t="str">
        <f aca="false">IF(AND($A44&lt;&gt;"",ISNUMBER(MATCH('My Colleges'!$B$14&amp;"|3",DB_Prompts!$A$2:$A$800,0))),INDEX(DB_Prompts!$G$2:$G$800,MATCH('My Colleges'!$B$14&amp;"|3",DB_Prompts!$A$2:$A$800,0)),"")</f>
        <v/>
      </c>
      <c r="H44" s="24"/>
      <c r="I44" s="17" t="str">
        <f aca="false">IF(AND($C44&lt;&gt;"",ISNUMBER('My Colleges'!$I$14)),'My Colleges'!$I$14-10,"")</f>
        <v/>
      </c>
      <c r="J44" s="24"/>
      <c r="K44" s="24"/>
    </row>
    <row r="45" customFormat="false" ht="15" hidden="false" customHeight="true" outlineLevel="0" collapsed="false">
      <c r="A45" s="18" t="str">
        <f aca="false">IF(AND(ISNUMBER(MATCH('My Colleges'!$B$14&amp;"|4",DB_Prompts!$A$2:$A$800,0)),'My Colleges'!$V$14&lt;&gt;"No"),'My Colleges'!$B$14,"")</f>
        <v/>
      </c>
      <c r="B45" s="18" t="str">
        <f aca="false">IF($A45="","",4)</f>
        <v/>
      </c>
      <c r="C45" s="18" t="str">
        <f aca="false">IF(AND($A45&lt;&gt;"",ISNUMBER(MATCH('My Colleges'!$B$14&amp;"|4",DB_Prompts!$A$2:$A$800,0))),INDEX(DB_Prompts!$D$2:$D$800,MATCH('My Colleges'!$B$14&amp;"|4",DB_Prompts!$A$2:$A$800,0)),"")</f>
        <v/>
      </c>
      <c r="D45" s="18" t="str">
        <f aca="false">IF(AND($A45&lt;&gt;"",ISNUMBER(MATCH('My Colleges'!$B$14&amp;"|4",DB_Prompts!$A$2:$A$800,0))),INDEX(DB_Prompts!$E$2:$E$800,MATCH('My Colleges'!$B$14&amp;"|4",DB_Prompts!$A$2:$A$800,0)),"")</f>
        <v/>
      </c>
      <c r="E45" s="18" t="str">
        <f aca="false">IF(AND($A45&lt;&gt;"",ISNUMBER(MATCH('My Colleges'!$B$14&amp;"|4",DB_Prompts!$A$2:$A$800,0))),INDEX(DB_Prompts!$F$2:$F$800,MATCH('My Colleges'!$B$14&amp;"|4",DB_Prompts!$A$2:$A$800,0)),"")</f>
        <v/>
      </c>
      <c r="F45" s="18" t="str">
        <f aca="false">IF(AND($A45&lt;&gt;"",ISNUMBER(MATCH('My Colleges'!$B$14&amp;"|4",DB_Prompts!$A$2:$A$800,0))),INDEX(DB_Prompts!$H$2:$H$800,MATCH('My Colleges'!$B$14&amp;"|4",DB_Prompts!$A$2:$A$800,0)),"")</f>
        <v/>
      </c>
      <c r="G45" s="18" t="str">
        <f aca="false">IF(AND($A45&lt;&gt;"",ISNUMBER(MATCH('My Colleges'!$B$14&amp;"|4",DB_Prompts!$A$2:$A$800,0))),INDEX(DB_Prompts!$G$2:$G$800,MATCH('My Colleges'!$B$14&amp;"|4",DB_Prompts!$A$2:$A$800,0)),"")</f>
        <v/>
      </c>
      <c r="H45" s="24"/>
      <c r="I45" s="17" t="str">
        <f aca="false">IF(AND($C45&lt;&gt;"",ISNUMBER('My Colleges'!$I$14)),'My Colleges'!$I$14-10,"")</f>
        <v/>
      </c>
      <c r="J45" s="24"/>
      <c r="K45" s="24"/>
    </row>
    <row r="46" customFormat="false" ht="15" hidden="false" customHeight="true" outlineLevel="0" collapsed="false">
      <c r="A46" s="18" t="str">
        <f aca="false">IF(AND(ISNUMBER(MATCH('My Colleges'!$B$14&amp;"|5",DB_Prompts!$A$2:$A$800,0)),'My Colleges'!$V$14&lt;&gt;"No"),'My Colleges'!$B$14,"")</f>
        <v/>
      </c>
      <c r="B46" s="18" t="str">
        <f aca="false">IF($A46="","",5)</f>
        <v/>
      </c>
      <c r="C46" s="18" t="str">
        <f aca="false">IF(AND($A46&lt;&gt;"",ISNUMBER(MATCH('My Colleges'!$B$14&amp;"|5",DB_Prompts!$A$2:$A$800,0))),INDEX(DB_Prompts!$D$2:$D$800,MATCH('My Colleges'!$B$14&amp;"|5",DB_Prompts!$A$2:$A$800,0)),"")</f>
        <v/>
      </c>
      <c r="D46" s="18" t="str">
        <f aca="false">IF(AND($A46&lt;&gt;"",ISNUMBER(MATCH('My Colleges'!$B$14&amp;"|5",DB_Prompts!$A$2:$A$800,0))),INDEX(DB_Prompts!$E$2:$E$800,MATCH('My Colleges'!$B$14&amp;"|5",DB_Prompts!$A$2:$A$800,0)),"")</f>
        <v/>
      </c>
      <c r="E46" s="18" t="str">
        <f aca="false">IF(AND($A46&lt;&gt;"",ISNUMBER(MATCH('My Colleges'!$B$14&amp;"|5",DB_Prompts!$A$2:$A$800,0))),INDEX(DB_Prompts!$F$2:$F$800,MATCH('My Colleges'!$B$14&amp;"|5",DB_Prompts!$A$2:$A$800,0)),"")</f>
        <v/>
      </c>
      <c r="F46" s="18" t="str">
        <f aca="false">IF(AND($A46&lt;&gt;"",ISNUMBER(MATCH('My Colleges'!$B$14&amp;"|5",DB_Prompts!$A$2:$A$800,0))),INDEX(DB_Prompts!$H$2:$H$800,MATCH('My Colleges'!$B$14&amp;"|5",DB_Prompts!$A$2:$A$800,0)),"")</f>
        <v/>
      </c>
      <c r="G46" s="18" t="str">
        <f aca="false">IF(AND($A46&lt;&gt;"",ISNUMBER(MATCH('My Colleges'!$B$14&amp;"|5",DB_Prompts!$A$2:$A$800,0))),INDEX(DB_Prompts!$G$2:$G$800,MATCH('My Colleges'!$B$14&amp;"|5",DB_Prompts!$A$2:$A$800,0)),"")</f>
        <v/>
      </c>
      <c r="H46" s="24"/>
      <c r="I46" s="17" t="str">
        <f aca="false">IF(AND($C46&lt;&gt;"",ISNUMBER('My Colleges'!$I$14)),'My Colleges'!$I$14-10,"")</f>
        <v/>
      </c>
      <c r="J46" s="24"/>
      <c r="K46" s="24"/>
    </row>
    <row r="47" customFormat="false" ht="15" hidden="false" customHeight="true" outlineLevel="0" collapsed="false">
      <c r="A47" s="18" t="str">
        <f aca="false">IF(OR('My Colleges'!$B$15="",'My Colleges'!$V$15="No"),"",'My Colleges'!$B$15)</f>
        <v/>
      </c>
      <c r="B47" s="18" t="str">
        <f aca="false">IF($A47="","",1)</f>
        <v/>
      </c>
      <c r="C47" s="18" t="str">
        <f aca="false">IF($A47="","",IF(ISNUMBER(MATCH('My Colleges'!$B$15&amp;"|1",DB_Prompts!$A$2:$A$800,0)),INDEX(DB_Prompts!$D$2:$D$800,MATCH('My Colleges'!$B$15&amp;"|1",DB_Prompts!$A$2:$A$800,0)),IF('My Colleges'!$P$15=0,"No extra essays required.","Prompts not loaded yet: check this college's Admissions Page (last column on Explore) or its Common App page, and copy any prompts into Notes.")))</f>
        <v/>
      </c>
      <c r="D47" s="18" t="str">
        <f aca="false">IF(AND($A47&lt;&gt;"",ISNUMBER(MATCH('My Colleges'!$B$15&amp;"|1",DB_Prompts!$A$2:$A$800,0))),INDEX(DB_Prompts!$E$2:$E$800,MATCH('My Colleges'!$B$15&amp;"|1",DB_Prompts!$A$2:$A$800,0)),"")</f>
        <v/>
      </c>
      <c r="E47" s="18" t="str">
        <f aca="false">IF(AND($A47&lt;&gt;"",ISNUMBER(MATCH('My Colleges'!$B$15&amp;"|1",DB_Prompts!$A$2:$A$800,0))),INDEX(DB_Prompts!$F$2:$F$800,MATCH('My Colleges'!$B$15&amp;"|1",DB_Prompts!$A$2:$A$800,0)),"")</f>
        <v/>
      </c>
      <c r="F47" s="18" t="str">
        <f aca="false">IF(AND($A47&lt;&gt;"",ISNUMBER(MATCH('My Colleges'!$B$15&amp;"|1",DB_Prompts!$A$2:$A$800,0))),INDEX(DB_Prompts!$H$2:$H$800,MATCH('My Colleges'!$B$15&amp;"|1",DB_Prompts!$A$2:$A$800,0)),"")</f>
        <v/>
      </c>
      <c r="G47" s="18" t="str">
        <f aca="false">IF(AND($A47&lt;&gt;"",ISNUMBER(MATCH('My Colleges'!$B$15&amp;"|1",DB_Prompts!$A$2:$A$800,0))),INDEX(DB_Prompts!$G$2:$G$800,MATCH('My Colleges'!$B$15&amp;"|1",DB_Prompts!$A$2:$A$800,0)),"")</f>
        <v/>
      </c>
      <c r="H47" s="24"/>
      <c r="I47" s="17" t="str">
        <f aca="false">IF(AND($C47&lt;&gt;"",ISNUMBER('My Colleges'!$I$15)),'My Colleges'!$I$15-10,"")</f>
        <v/>
      </c>
      <c r="J47" s="24"/>
      <c r="K47" s="24"/>
    </row>
    <row r="48" customFormat="false" ht="15" hidden="false" customHeight="true" outlineLevel="0" collapsed="false">
      <c r="A48" s="18" t="str">
        <f aca="false">IF(AND(ISNUMBER(MATCH('My Colleges'!$B$15&amp;"|2",DB_Prompts!$A$2:$A$800,0)),'My Colleges'!$V$15&lt;&gt;"No"),'My Colleges'!$B$15,"")</f>
        <v/>
      </c>
      <c r="B48" s="18" t="str">
        <f aca="false">IF($A48="","",2)</f>
        <v/>
      </c>
      <c r="C48" s="18" t="str">
        <f aca="false">IF(AND($A48&lt;&gt;"",ISNUMBER(MATCH('My Colleges'!$B$15&amp;"|2",DB_Prompts!$A$2:$A$800,0))),INDEX(DB_Prompts!$D$2:$D$800,MATCH('My Colleges'!$B$15&amp;"|2",DB_Prompts!$A$2:$A$800,0)),"")</f>
        <v/>
      </c>
      <c r="D48" s="18" t="str">
        <f aca="false">IF(AND($A48&lt;&gt;"",ISNUMBER(MATCH('My Colleges'!$B$15&amp;"|2",DB_Prompts!$A$2:$A$800,0))),INDEX(DB_Prompts!$E$2:$E$800,MATCH('My Colleges'!$B$15&amp;"|2",DB_Prompts!$A$2:$A$800,0)),"")</f>
        <v/>
      </c>
      <c r="E48" s="18" t="str">
        <f aca="false">IF(AND($A48&lt;&gt;"",ISNUMBER(MATCH('My Colleges'!$B$15&amp;"|2",DB_Prompts!$A$2:$A$800,0))),INDEX(DB_Prompts!$F$2:$F$800,MATCH('My Colleges'!$B$15&amp;"|2",DB_Prompts!$A$2:$A$800,0)),"")</f>
        <v/>
      </c>
      <c r="F48" s="18" t="str">
        <f aca="false">IF(AND($A48&lt;&gt;"",ISNUMBER(MATCH('My Colleges'!$B$15&amp;"|2",DB_Prompts!$A$2:$A$800,0))),INDEX(DB_Prompts!$H$2:$H$800,MATCH('My Colleges'!$B$15&amp;"|2",DB_Prompts!$A$2:$A$800,0)),"")</f>
        <v/>
      </c>
      <c r="G48" s="18" t="str">
        <f aca="false">IF(AND($A48&lt;&gt;"",ISNUMBER(MATCH('My Colleges'!$B$15&amp;"|2",DB_Prompts!$A$2:$A$800,0))),INDEX(DB_Prompts!$G$2:$G$800,MATCH('My Colleges'!$B$15&amp;"|2",DB_Prompts!$A$2:$A$800,0)),"")</f>
        <v/>
      </c>
      <c r="H48" s="24"/>
      <c r="I48" s="17" t="str">
        <f aca="false">IF(AND($C48&lt;&gt;"",ISNUMBER('My Colleges'!$I$15)),'My Colleges'!$I$15-10,"")</f>
        <v/>
      </c>
      <c r="J48" s="24"/>
      <c r="K48" s="24"/>
    </row>
    <row r="49" customFormat="false" ht="15" hidden="false" customHeight="true" outlineLevel="0" collapsed="false">
      <c r="A49" s="18" t="str">
        <f aca="false">IF(AND(ISNUMBER(MATCH('My Colleges'!$B$15&amp;"|3",DB_Prompts!$A$2:$A$800,0)),'My Colleges'!$V$15&lt;&gt;"No"),'My Colleges'!$B$15,"")</f>
        <v/>
      </c>
      <c r="B49" s="18" t="str">
        <f aca="false">IF($A49="","",3)</f>
        <v/>
      </c>
      <c r="C49" s="18" t="str">
        <f aca="false">IF(AND($A49&lt;&gt;"",ISNUMBER(MATCH('My Colleges'!$B$15&amp;"|3",DB_Prompts!$A$2:$A$800,0))),INDEX(DB_Prompts!$D$2:$D$800,MATCH('My Colleges'!$B$15&amp;"|3",DB_Prompts!$A$2:$A$800,0)),"")</f>
        <v/>
      </c>
      <c r="D49" s="18" t="str">
        <f aca="false">IF(AND($A49&lt;&gt;"",ISNUMBER(MATCH('My Colleges'!$B$15&amp;"|3",DB_Prompts!$A$2:$A$800,0))),INDEX(DB_Prompts!$E$2:$E$800,MATCH('My Colleges'!$B$15&amp;"|3",DB_Prompts!$A$2:$A$800,0)),"")</f>
        <v/>
      </c>
      <c r="E49" s="18" t="str">
        <f aca="false">IF(AND($A49&lt;&gt;"",ISNUMBER(MATCH('My Colleges'!$B$15&amp;"|3",DB_Prompts!$A$2:$A$800,0))),INDEX(DB_Prompts!$F$2:$F$800,MATCH('My Colleges'!$B$15&amp;"|3",DB_Prompts!$A$2:$A$800,0)),"")</f>
        <v/>
      </c>
      <c r="F49" s="18" t="str">
        <f aca="false">IF(AND($A49&lt;&gt;"",ISNUMBER(MATCH('My Colleges'!$B$15&amp;"|3",DB_Prompts!$A$2:$A$800,0))),INDEX(DB_Prompts!$H$2:$H$800,MATCH('My Colleges'!$B$15&amp;"|3",DB_Prompts!$A$2:$A$800,0)),"")</f>
        <v/>
      </c>
      <c r="G49" s="18" t="str">
        <f aca="false">IF(AND($A49&lt;&gt;"",ISNUMBER(MATCH('My Colleges'!$B$15&amp;"|3",DB_Prompts!$A$2:$A$800,0))),INDEX(DB_Prompts!$G$2:$G$800,MATCH('My Colleges'!$B$15&amp;"|3",DB_Prompts!$A$2:$A$800,0)),"")</f>
        <v/>
      </c>
      <c r="H49" s="24"/>
      <c r="I49" s="17" t="str">
        <f aca="false">IF(AND($C49&lt;&gt;"",ISNUMBER('My Colleges'!$I$15)),'My Colleges'!$I$15-10,"")</f>
        <v/>
      </c>
      <c r="J49" s="24"/>
      <c r="K49" s="24"/>
    </row>
    <row r="50" customFormat="false" ht="15" hidden="false" customHeight="true" outlineLevel="0" collapsed="false">
      <c r="A50" s="18" t="str">
        <f aca="false">IF(AND(ISNUMBER(MATCH('My Colleges'!$B$15&amp;"|4",DB_Prompts!$A$2:$A$800,0)),'My Colleges'!$V$15&lt;&gt;"No"),'My Colleges'!$B$15,"")</f>
        <v/>
      </c>
      <c r="B50" s="18" t="str">
        <f aca="false">IF($A50="","",4)</f>
        <v/>
      </c>
      <c r="C50" s="18" t="str">
        <f aca="false">IF(AND($A50&lt;&gt;"",ISNUMBER(MATCH('My Colleges'!$B$15&amp;"|4",DB_Prompts!$A$2:$A$800,0))),INDEX(DB_Prompts!$D$2:$D$800,MATCH('My Colleges'!$B$15&amp;"|4",DB_Prompts!$A$2:$A$800,0)),"")</f>
        <v/>
      </c>
      <c r="D50" s="18" t="str">
        <f aca="false">IF(AND($A50&lt;&gt;"",ISNUMBER(MATCH('My Colleges'!$B$15&amp;"|4",DB_Prompts!$A$2:$A$800,0))),INDEX(DB_Prompts!$E$2:$E$800,MATCH('My Colleges'!$B$15&amp;"|4",DB_Prompts!$A$2:$A$800,0)),"")</f>
        <v/>
      </c>
      <c r="E50" s="18" t="str">
        <f aca="false">IF(AND($A50&lt;&gt;"",ISNUMBER(MATCH('My Colleges'!$B$15&amp;"|4",DB_Prompts!$A$2:$A$800,0))),INDEX(DB_Prompts!$F$2:$F$800,MATCH('My Colleges'!$B$15&amp;"|4",DB_Prompts!$A$2:$A$800,0)),"")</f>
        <v/>
      </c>
      <c r="F50" s="18" t="str">
        <f aca="false">IF(AND($A50&lt;&gt;"",ISNUMBER(MATCH('My Colleges'!$B$15&amp;"|4",DB_Prompts!$A$2:$A$800,0))),INDEX(DB_Prompts!$H$2:$H$800,MATCH('My Colleges'!$B$15&amp;"|4",DB_Prompts!$A$2:$A$800,0)),"")</f>
        <v/>
      </c>
      <c r="G50" s="18" t="str">
        <f aca="false">IF(AND($A50&lt;&gt;"",ISNUMBER(MATCH('My Colleges'!$B$15&amp;"|4",DB_Prompts!$A$2:$A$800,0))),INDEX(DB_Prompts!$G$2:$G$800,MATCH('My Colleges'!$B$15&amp;"|4",DB_Prompts!$A$2:$A$800,0)),"")</f>
        <v/>
      </c>
      <c r="H50" s="24"/>
      <c r="I50" s="17" t="str">
        <f aca="false">IF(AND($C50&lt;&gt;"",ISNUMBER('My Colleges'!$I$15)),'My Colleges'!$I$15-10,"")</f>
        <v/>
      </c>
      <c r="J50" s="24"/>
      <c r="K50" s="24"/>
    </row>
    <row r="51" customFormat="false" ht="15" hidden="false" customHeight="true" outlineLevel="0" collapsed="false">
      <c r="A51" s="18" t="str">
        <f aca="false">IF(AND(ISNUMBER(MATCH('My Colleges'!$B$15&amp;"|5",DB_Prompts!$A$2:$A$800,0)),'My Colleges'!$V$15&lt;&gt;"No"),'My Colleges'!$B$15,"")</f>
        <v/>
      </c>
      <c r="B51" s="18" t="str">
        <f aca="false">IF($A51="","",5)</f>
        <v/>
      </c>
      <c r="C51" s="18" t="str">
        <f aca="false">IF(AND($A51&lt;&gt;"",ISNUMBER(MATCH('My Colleges'!$B$15&amp;"|5",DB_Prompts!$A$2:$A$800,0))),INDEX(DB_Prompts!$D$2:$D$800,MATCH('My Colleges'!$B$15&amp;"|5",DB_Prompts!$A$2:$A$800,0)),"")</f>
        <v/>
      </c>
      <c r="D51" s="18" t="str">
        <f aca="false">IF(AND($A51&lt;&gt;"",ISNUMBER(MATCH('My Colleges'!$B$15&amp;"|5",DB_Prompts!$A$2:$A$800,0))),INDEX(DB_Prompts!$E$2:$E$800,MATCH('My Colleges'!$B$15&amp;"|5",DB_Prompts!$A$2:$A$800,0)),"")</f>
        <v/>
      </c>
      <c r="E51" s="18" t="str">
        <f aca="false">IF(AND($A51&lt;&gt;"",ISNUMBER(MATCH('My Colleges'!$B$15&amp;"|5",DB_Prompts!$A$2:$A$800,0))),INDEX(DB_Prompts!$F$2:$F$800,MATCH('My Colleges'!$B$15&amp;"|5",DB_Prompts!$A$2:$A$800,0)),"")</f>
        <v/>
      </c>
      <c r="F51" s="18" t="str">
        <f aca="false">IF(AND($A51&lt;&gt;"",ISNUMBER(MATCH('My Colleges'!$B$15&amp;"|5",DB_Prompts!$A$2:$A$800,0))),INDEX(DB_Prompts!$H$2:$H$800,MATCH('My Colleges'!$B$15&amp;"|5",DB_Prompts!$A$2:$A$800,0)),"")</f>
        <v/>
      </c>
      <c r="G51" s="18" t="str">
        <f aca="false">IF(AND($A51&lt;&gt;"",ISNUMBER(MATCH('My Colleges'!$B$15&amp;"|5",DB_Prompts!$A$2:$A$800,0))),INDEX(DB_Prompts!$G$2:$G$800,MATCH('My Colleges'!$B$15&amp;"|5",DB_Prompts!$A$2:$A$800,0)),"")</f>
        <v/>
      </c>
      <c r="H51" s="24"/>
      <c r="I51" s="17" t="str">
        <f aca="false">IF(AND($C51&lt;&gt;"",ISNUMBER('My Colleges'!$I$15)),'My Colleges'!$I$15-10,"")</f>
        <v/>
      </c>
      <c r="J51" s="24"/>
      <c r="K51" s="24"/>
    </row>
    <row r="52" customFormat="false" ht="15" hidden="false" customHeight="true" outlineLevel="0" collapsed="false">
      <c r="A52" s="18" t="str">
        <f aca="false">IF(OR('My Colleges'!$B$16="",'My Colleges'!$V$16="No"),"",'My Colleges'!$B$16)</f>
        <v/>
      </c>
      <c r="B52" s="18" t="str">
        <f aca="false">IF($A52="","",1)</f>
        <v/>
      </c>
      <c r="C52" s="18" t="str">
        <f aca="false">IF($A52="","",IF(ISNUMBER(MATCH('My Colleges'!$B$16&amp;"|1",DB_Prompts!$A$2:$A$800,0)),INDEX(DB_Prompts!$D$2:$D$800,MATCH('My Colleges'!$B$16&amp;"|1",DB_Prompts!$A$2:$A$800,0)),IF('My Colleges'!$P$16=0,"No extra essays required.","Prompts not loaded yet: check this college's Admissions Page (last column on Explore) or its Common App page, and copy any prompts into Notes.")))</f>
        <v/>
      </c>
      <c r="D52" s="18" t="str">
        <f aca="false">IF(AND($A52&lt;&gt;"",ISNUMBER(MATCH('My Colleges'!$B$16&amp;"|1",DB_Prompts!$A$2:$A$800,0))),INDEX(DB_Prompts!$E$2:$E$800,MATCH('My Colleges'!$B$16&amp;"|1",DB_Prompts!$A$2:$A$800,0)),"")</f>
        <v/>
      </c>
      <c r="E52" s="18" t="str">
        <f aca="false">IF(AND($A52&lt;&gt;"",ISNUMBER(MATCH('My Colleges'!$B$16&amp;"|1",DB_Prompts!$A$2:$A$800,0))),INDEX(DB_Prompts!$F$2:$F$800,MATCH('My Colleges'!$B$16&amp;"|1",DB_Prompts!$A$2:$A$800,0)),"")</f>
        <v/>
      </c>
      <c r="F52" s="18" t="str">
        <f aca="false">IF(AND($A52&lt;&gt;"",ISNUMBER(MATCH('My Colleges'!$B$16&amp;"|1",DB_Prompts!$A$2:$A$800,0))),INDEX(DB_Prompts!$H$2:$H$800,MATCH('My Colleges'!$B$16&amp;"|1",DB_Prompts!$A$2:$A$800,0)),"")</f>
        <v/>
      </c>
      <c r="G52" s="18" t="str">
        <f aca="false">IF(AND($A52&lt;&gt;"",ISNUMBER(MATCH('My Colleges'!$B$16&amp;"|1",DB_Prompts!$A$2:$A$800,0))),INDEX(DB_Prompts!$G$2:$G$800,MATCH('My Colleges'!$B$16&amp;"|1",DB_Prompts!$A$2:$A$800,0)),"")</f>
        <v/>
      </c>
      <c r="H52" s="24"/>
      <c r="I52" s="17" t="str">
        <f aca="false">IF(AND($C52&lt;&gt;"",ISNUMBER('My Colleges'!$I$16)),'My Colleges'!$I$16-10,"")</f>
        <v/>
      </c>
      <c r="J52" s="24"/>
      <c r="K52" s="24"/>
    </row>
    <row r="53" customFormat="false" ht="15" hidden="false" customHeight="true" outlineLevel="0" collapsed="false">
      <c r="A53" s="18" t="str">
        <f aca="false">IF(AND(ISNUMBER(MATCH('My Colleges'!$B$16&amp;"|2",DB_Prompts!$A$2:$A$800,0)),'My Colleges'!$V$16&lt;&gt;"No"),'My Colleges'!$B$16,"")</f>
        <v/>
      </c>
      <c r="B53" s="18" t="str">
        <f aca="false">IF($A53="","",2)</f>
        <v/>
      </c>
      <c r="C53" s="18" t="str">
        <f aca="false">IF(AND($A53&lt;&gt;"",ISNUMBER(MATCH('My Colleges'!$B$16&amp;"|2",DB_Prompts!$A$2:$A$800,0))),INDEX(DB_Prompts!$D$2:$D$800,MATCH('My Colleges'!$B$16&amp;"|2",DB_Prompts!$A$2:$A$800,0)),"")</f>
        <v/>
      </c>
      <c r="D53" s="18" t="str">
        <f aca="false">IF(AND($A53&lt;&gt;"",ISNUMBER(MATCH('My Colleges'!$B$16&amp;"|2",DB_Prompts!$A$2:$A$800,0))),INDEX(DB_Prompts!$E$2:$E$800,MATCH('My Colleges'!$B$16&amp;"|2",DB_Prompts!$A$2:$A$800,0)),"")</f>
        <v/>
      </c>
      <c r="E53" s="18" t="str">
        <f aca="false">IF(AND($A53&lt;&gt;"",ISNUMBER(MATCH('My Colleges'!$B$16&amp;"|2",DB_Prompts!$A$2:$A$800,0))),INDEX(DB_Prompts!$F$2:$F$800,MATCH('My Colleges'!$B$16&amp;"|2",DB_Prompts!$A$2:$A$800,0)),"")</f>
        <v/>
      </c>
      <c r="F53" s="18" t="str">
        <f aca="false">IF(AND($A53&lt;&gt;"",ISNUMBER(MATCH('My Colleges'!$B$16&amp;"|2",DB_Prompts!$A$2:$A$800,0))),INDEX(DB_Prompts!$H$2:$H$800,MATCH('My Colleges'!$B$16&amp;"|2",DB_Prompts!$A$2:$A$800,0)),"")</f>
        <v/>
      </c>
      <c r="G53" s="18" t="str">
        <f aca="false">IF(AND($A53&lt;&gt;"",ISNUMBER(MATCH('My Colleges'!$B$16&amp;"|2",DB_Prompts!$A$2:$A$800,0))),INDEX(DB_Prompts!$G$2:$G$800,MATCH('My Colleges'!$B$16&amp;"|2",DB_Prompts!$A$2:$A$800,0)),"")</f>
        <v/>
      </c>
      <c r="H53" s="24"/>
      <c r="I53" s="17" t="str">
        <f aca="false">IF(AND($C53&lt;&gt;"",ISNUMBER('My Colleges'!$I$16)),'My Colleges'!$I$16-10,"")</f>
        <v/>
      </c>
      <c r="J53" s="24"/>
      <c r="K53" s="24"/>
    </row>
    <row r="54" customFormat="false" ht="15" hidden="false" customHeight="true" outlineLevel="0" collapsed="false">
      <c r="A54" s="18" t="str">
        <f aca="false">IF(AND(ISNUMBER(MATCH('My Colleges'!$B$16&amp;"|3",DB_Prompts!$A$2:$A$800,0)),'My Colleges'!$V$16&lt;&gt;"No"),'My Colleges'!$B$16,"")</f>
        <v/>
      </c>
      <c r="B54" s="18" t="str">
        <f aca="false">IF($A54="","",3)</f>
        <v/>
      </c>
      <c r="C54" s="18" t="str">
        <f aca="false">IF(AND($A54&lt;&gt;"",ISNUMBER(MATCH('My Colleges'!$B$16&amp;"|3",DB_Prompts!$A$2:$A$800,0))),INDEX(DB_Prompts!$D$2:$D$800,MATCH('My Colleges'!$B$16&amp;"|3",DB_Prompts!$A$2:$A$800,0)),"")</f>
        <v/>
      </c>
      <c r="D54" s="18" t="str">
        <f aca="false">IF(AND($A54&lt;&gt;"",ISNUMBER(MATCH('My Colleges'!$B$16&amp;"|3",DB_Prompts!$A$2:$A$800,0))),INDEX(DB_Prompts!$E$2:$E$800,MATCH('My Colleges'!$B$16&amp;"|3",DB_Prompts!$A$2:$A$800,0)),"")</f>
        <v/>
      </c>
      <c r="E54" s="18" t="str">
        <f aca="false">IF(AND($A54&lt;&gt;"",ISNUMBER(MATCH('My Colleges'!$B$16&amp;"|3",DB_Prompts!$A$2:$A$800,0))),INDEX(DB_Prompts!$F$2:$F$800,MATCH('My Colleges'!$B$16&amp;"|3",DB_Prompts!$A$2:$A$800,0)),"")</f>
        <v/>
      </c>
      <c r="F54" s="18" t="str">
        <f aca="false">IF(AND($A54&lt;&gt;"",ISNUMBER(MATCH('My Colleges'!$B$16&amp;"|3",DB_Prompts!$A$2:$A$800,0))),INDEX(DB_Prompts!$H$2:$H$800,MATCH('My Colleges'!$B$16&amp;"|3",DB_Prompts!$A$2:$A$800,0)),"")</f>
        <v/>
      </c>
      <c r="G54" s="18" t="str">
        <f aca="false">IF(AND($A54&lt;&gt;"",ISNUMBER(MATCH('My Colleges'!$B$16&amp;"|3",DB_Prompts!$A$2:$A$800,0))),INDEX(DB_Prompts!$G$2:$G$800,MATCH('My Colleges'!$B$16&amp;"|3",DB_Prompts!$A$2:$A$800,0)),"")</f>
        <v/>
      </c>
      <c r="H54" s="24"/>
      <c r="I54" s="17" t="str">
        <f aca="false">IF(AND($C54&lt;&gt;"",ISNUMBER('My Colleges'!$I$16)),'My Colleges'!$I$16-10,"")</f>
        <v/>
      </c>
      <c r="J54" s="24"/>
      <c r="K54" s="24"/>
    </row>
    <row r="55" customFormat="false" ht="15" hidden="false" customHeight="true" outlineLevel="0" collapsed="false">
      <c r="A55" s="18" t="str">
        <f aca="false">IF(AND(ISNUMBER(MATCH('My Colleges'!$B$16&amp;"|4",DB_Prompts!$A$2:$A$800,0)),'My Colleges'!$V$16&lt;&gt;"No"),'My Colleges'!$B$16,"")</f>
        <v/>
      </c>
      <c r="B55" s="18" t="str">
        <f aca="false">IF($A55="","",4)</f>
        <v/>
      </c>
      <c r="C55" s="18" t="str">
        <f aca="false">IF(AND($A55&lt;&gt;"",ISNUMBER(MATCH('My Colleges'!$B$16&amp;"|4",DB_Prompts!$A$2:$A$800,0))),INDEX(DB_Prompts!$D$2:$D$800,MATCH('My Colleges'!$B$16&amp;"|4",DB_Prompts!$A$2:$A$800,0)),"")</f>
        <v/>
      </c>
      <c r="D55" s="18" t="str">
        <f aca="false">IF(AND($A55&lt;&gt;"",ISNUMBER(MATCH('My Colleges'!$B$16&amp;"|4",DB_Prompts!$A$2:$A$800,0))),INDEX(DB_Prompts!$E$2:$E$800,MATCH('My Colleges'!$B$16&amp;"|4",DB_Prompts!$A$2:$A$800,0)),"")</f>
        <v/>
      </c>
      <c r="E55" s="18" t="str">
        <f aca="false">IF(AND($A55&lt;&gt;"",ISNUMBER(MATCH('My Colleges'!$B$16&amp;"|4",DB_Prompts!$A$2:$A$800,0))),INDEX(DB_Prompts!$F$2:$F$800,MATCH('My Colleges'!$B$16&amp;"|4",DB_Prompts!$A$2:$A$800,0)),"")</f>
        <v/>
      </c>
      <c r="F55" s="18" t="str">
        <f aca="false">IF(AND($A55&lt;&gt;"",ISNUMBER(MATCH('My Colleges'!$B$16&amp;"|4",DB_Prompts!$A$2:$A$800,0))),INDEX(DB_Prompts!$H$2:$H$800,MATCH('My Colleges'!$B$16&amp;"|4",DB_Prompts!$A$2:$A$800,0)),"")</f>
        <v/>
      </c>
      <c r="G55" s="18" t="str">
        <f aca="false">IF(AND($A55&lt;&gt;"",ISNUMBER(MATCH('My Colleges'!$B$16&amp;"|4",DB_Prompts!$A$2:$A$800,0))),INDEX(DB_Prompts!$G$2:$G$800,MATCH('My Colleges'!$B$16&amp;"|4",DB_Prompts!$A$2:$A$800,0)),"")</f>
        <v/>
      </c>
      <c r="H55" s="24"/>
      <c r="I55" s="17" t="str">
        <f aca="false">IF(AND($C55&lt;&gt;"",ISNUMBER('My Colleges'!$I$16)),'My Colleges'!$I$16-10,"")</f>
        <v/>
      </c>
      <c r="J55" s="24"/>
      <c r="K55" s="24"/>
    </row>
    <row r="56" customFormat="false" ht="15" hidden="false" customHeight="true" outlineLevel="0" collapsed="false">
      <c r="A56" s="18" t="str">
        <f aca="false">IF(AND(ISNUMBER(MATCH('My Colleges'!$B$16&amp;"|5",DB_Prompts!$A$2:$A$800,0)),'My Colleges'!$V$16&lt;&gt;"No"),'My Colleges'!$B$16,"")</f>
        <v/>
      </c>
      <c r="B56" s="18" t="str">
        <f aca="false">IF($A56="","",5)</f>
        <v/>
      </c>
      <c r="C56" s="18" t="str">
        <f aca="false">IF(AND($A56&lt;&gt;"",ISNUMBER(MATCH('My Colleges'!$B$16&amp;"|5",DB_Prompts!$A$2:$A$800,0))),INDEX(DB_Prompts!$D$2:$D$800,MATCH('My Colleges'!$B$16&amp;"|5",DB_Prompts!$A$2:$A$800,0)),"")</f>
        <v/>
      </c>
      <c r="D56" s="18" t="str">
        <f aca="false">IF(AND($A56&lt;&gt;"",ISNUMBER(MATCH('My Colleges'!$B$16&amp;"|5",DB_Prompts!$A$2:$A$800,0))),INDEX(DB_Prompts!$E$2:$E$800,MATCH('My Colleges'!$B$16&amp;"|5",DB_Prompts!$A$2:$A$800,0)),"")</f>
        <v/>
      </c>
      <c r="E56" s="18" t="str">
        <f aca="false">IF(AND($A56&lt;&gt;"",ISNUMBER(MATCH('My Colleges'!$B$16&amp;"|5",DB_Prompts!$A$2:$A$800,0))),INDEX(DB_Prompts!$F$2:$F$800,MATCH('My Colleges'!$B$16&amp;"|5",DB_Prompts!$A$2:$A$800,0)),"")</f>
        <v/>
      </c>
      <c r="F56" s="18" t="str">
        <f aca="false">IF(AND($A56&lt;&gt;"",ISNUMBER(MATCH('My Colleges'!$B$16&amp;"|5",DB_Prompts!$A$2:$A$800,0))),INDEX(DB_Prompts!$H$2:$H$800,MATCH('My Colleges'!$B$16&amp;"|5",DB_Prompts!$A$2:$A$800,0)),"")</f>
        <v/>
      </c>
      <c r="G56" s="18" t="str">
        <f aca="false">IF(AND($A56&lt;&gt;"",ISNUMBER(MATCH('My Colleges'!$B$16&amp;"|5",DB_Prompts!$A$2:$A$800,0))),INDEX(DB_Prompts!$G$2:$G$800,MATCH('My Colleges'!$B$16&amp;"|5",DB_Prompts!$A$2:$A$800,0)),"")</f>
        <v/>
      </c>
      <c r="H56" s="24"/>
      <c r="I56" s="17" t="str">
        <f aca="false">IF(AND($C56&lt;&gt;"",ISNUMBER('My Colleges'!$I$16)),'My Colleges'!$I$16-10,"")</f>
        <v/>
      </c>
      <c r="J56" s="24"/>
      <c r="K56" s="24"/>
    </row>
    <row r="57" customFormat="false" ht="15" hidden="false" customHeight="true" outlineLevel="0" collapsed="false">
      <c r="A57" s="18" t="str">
        <f aca="false">IF(OR('My Colleges'!$B$17="",'My Colleges'!$V$17="No"),"",'My Colleges'!$B$17)</f>
        <v/>
      </c>
      <c r="B57" s="18" t="str">
        <f aca="false">IF($A57="","",1)</f>
        <v/>
      </c>
      <c r="C57" s="18" t="str">
        <f aca="false">IF($A57="","",IF(ISNUMBER(MATCH('My Colleges'!$B$17&amp;"|1",DB_Prompts!$A$2:$A$800,0)),INDEX(DB_Prompts!$D$2:$D$800,MATCH('My Colleges'!$B$17&amp;"|1",DB_Prompts!$A$2:$A$800,0)),IF('My Colleges'!$P$17=0,"No extra essays required.","Prompts not loaded yet: check this college's Admissions Page (last column on Explore) or its Common App page, and copy any prompts into Notes.")))</f>
        <v/>
      </c>
      <c r="D57" s="18" t="str">
        <f aca="false">IF(AND($A57&lt;&gt;"",ISNUMBER(MATCH('My Colleges'!$B$17&amp;"|1",DB_Prompts!$A$2:$A$800,0))),INDEX(DB_Prompts!$E$2:$E$800,MATCH('My Colleges'!$B$17&amp;"|1",DB_Prompts!$A$2:$A$800,0)),"")</f>
        <v/>
      </c>
      <c r="E57" s="18" t="str">
        <f aca="false">IF(AND($A57&lt;&gt;"",ISNUMBER(MATCH('My Colleges'!$B$17&amp;"|1",DB_Prompts!$A$2:$A$800,0))),INDEX(DB_Prompts!$F$2:$F$800,MATCH('My Colleges'!$B$17&amp;"|1",DB_Prompts!$A$2:$A$800,0)),"")</f>
        <v/>
      </c>
      <c r="F57" s="18" t="str">
        <f aca="false">IF(AND($A57&lt;&gt;"",ISNUMBER(MATCH('My Colleges'!$B$17&amp;"|1",DB_Prompts!$A$2:$A$800,0))),INDEX(DB_Prompts!$H$2:$H$800,MATCH('My Colleges'!$B$17&amp;"|1",DB_Prompts!$A$2:$A$800,0)),"")</f>
        <v/>
      </c>
      <c r="G57" s="18" t="str">
        <f aca="false">IF(AND($A57&lt;&gt;"",ISNUMBER(MATCH('My Colleges'!$B$17&amp;"|1",DB_Prompts!$A$2:$A$800,0))),INDEX(DB_Prompts!$G$2:$G$800,MATCH('My Colleges'!$B$17&amp;"|1",DB_Prompts!$A$2:$A$800,0)),"")</f>
        <v/>
      </c>
      <c r="H57" s="24"/>
      <c r="I57" s="17" t="str">
        <f aca="false">IF(AND($C57&lt;&gt;"",ISNUMBER('My Colleges'!$I$17)),'My Colleges'!$I$17-10,"")</f>
        <v/>
      </c>
      <c r="J57" s="24"/>
      <c r="K57" s="24"/>
    </row>
    <row r="58" customFormat="false" ht="15" hidden="false" customHeight="true" outlineLevel="0" collapsed="false">
      <c r="A58" s="18" t="str">
        <f aca="false">IF(AND(ISNUMBER(MATCH('My Colleges'!$B$17&amp;"|2",DB_Prompts!$A$2:$A$800,0)),'My Colleges'!$V$17&lt;&gt;"No"),'My Colleges'!$B$17,"")</f>
        <v/>
      </c>
      <c r="B58" s="18" t="str">
        <f aca="false">IF($A58="","",2)</f>
        <v/>
      </c>
      <c r="C58" s="18" t="str">
        <f aca="false">IF(AND($A58&lt;&gt;"",ISNUMBER(MATCH('My Colleges'!$B$17&amp;"|2",DB_Prompts!$A$2:$A$800,0))),INDEX(DB_Prompts!$D$2:$D$800,MATCH('My Colleges'!$B$17&amp;"|2",DB_Prompts!$A$2:$A$800,0)),"")</f>
        <v/>
      </c>
      <c r="D58" s="18" t="str">
        <f aca="false">IF(AND($A58&lt;&gt;"",ISNUMBER(MATCH('My Colleges'!$B$17&amp;"|2",DB_Prompts!$A$2:$A$800,0))),INDEX(DB_Prompts!$E$2:$E$800,MATCH('My Colleges'!$B$17&amp;"|2",DB_Prompts!$A$2:$A$800,0)),"")</f>
        <v/>
      </c>
      <c r="E58" s="18" t="str">
        <f aca="false">IF(AND($A58&lt;&gt;"",ISNUMBER(MATCH('My Colleges'!$B$17&amp;"|2",DB_Prompts!$A$2:$A$800,0))),INDEX(DB_Prompts!$F$2:$F$800,MATCH('My Colleges'!$B$17&amp;"|2",DB_Prompts!$A$2:$A$800,0)),"")</f>
        <v/>
      </c>
      <c r="F58" s="18" t="str">
        <f aca="false">IF(AND($A58&lt;&gt;"",ISNUMBER(MATCH('My Colleges'!$B$17&amp;"|2",DB_Prompts!$A$2:$A$800,0))),INDEX(DB_Prompts!$H$2:$H$800,MATCH('My Colleges'!$B$17&amp;"|2",DB_Prompts!$A$2:$A$800,0)),"")</f>
        <v/>
      </c>
      <c r="G58" s="18" t="str">
        <f aca="false">IF(AND($A58&lt;&gt;"",ISNUMBER(MATCH('My Colleges'!$B$17&amp;"|2",DB_Prompts!$A$2:$A$800,0))),INDEX(DB_Prompts!$G$2:$G$800,MATCH('My Colleges'!$B$17&amp;"|2",DB_Prompts!$A$2:$A$800,0)),"")</f>
        <v/>
      </c>
      <c r="H58" s="24"/>
      <c r="I58" s="17" t="str">
        <f aca="false">IF(AND($C58&lt;&gt;"",ISNUMBER('My Colleges'!$I$17)),'My Colleges'!$I$17-10,"")</f>
        <v/>
      </c>
      <c r="J58" s="24"/>
      <c r="K58" s="24"/>
    </row>
    <row r="59" customFormat="false" ht="15" hidden="false" customHeight="true" outlineLevel="0" collapsed="false">
      <c r="A59" s="18" t="str">
        <f aca="false">IF(AND(ISNUMBER(MATCH('My Colleges'!$B$17&amp;"|3",DB_Prompts!$A$2:$A$800,0)),'My Colleges'!$V$17&lt;&gt;"No"),'My Colleges'!$B$17,"")</f>
        <v/>
      </c>
      <c r="B59" s="18" t="str">
        <f aca="false">IF($A59="","",3)</f>
        <v/>
      </c>
      <c r="C59" s="18" t="str">
        <f aca="false">IF(AND($A59&lt;&gt;"",ISNUMBER(MATCH('My Colleges'!$B$17&amp;"|3",DB_Prompts!$A$2:$A$800,0))),INDEX(DB_Prompts!$D$2:$D$800,MATCH('My Colleges'!$B$17&amp;"|3",DB_Prompts!$A$2:$A$800,0)),"")</f>
        <v/>
      </c>
      <c r="D59" s="18" t="str">
        <f aca="false">IF(AND($A59&lt;&gt;"",ISNUMBER(MATCH('My Colleges'!$B$17&amp;"|3",DB_Prompts!$A$2:$A$800,0))),INDEX(DB_Prompts!$E$2:$E$800,MATCH('My Colleges'!$B$17&amp;"|3",DB_Prompts!$A$2:$A$800,0)),"")</f>
        <v/>
      </c>
      <c r="E59" s="18" t="str">
        <f aca="false">IF(AND($A59&lt;&gt;"",ISNUMBER(MATCH('My Colleges'!$B$17&amp;"|3",DB_Prompts!$A$2:$A$800,0))),INDEX(DB_Prompts!$F$2:$F$800,MATCH('My Colleges'!$B$17&amp;"|3",DB_Prompts!$A$2:$A$800,0)),"")</f>
        <v/>
      </c>
      <c r="F59" s="18" t="str">
        <f aca="false">IF(AND($A59&lt;&gt;"",ISNUMBER(MATCH('My Colleges'!$B$17&amp;"|3",DB_Prompts!$A$2:$A$800,0))),INDEX(DB_Prompts!$H$2:$H$800,MATCH('My Colleges'!$B$17&amp;"|3",DB_Prompts!$A$2:$A$800,0)),"")</f>
        <v/>
      </c>
      <c r="G59" s="18" t="str">
        <f aca="false">IF(AND($A59&lt;&gt;"",ISNUMBER(MATCH('My Colleges'!$B$17&amp;"|3",DB_Prompts!$A$2:$A$800,0))),INDEX(DB_Prompts!$G$2:$G$800,MATCH('My Colleges'!$B$17&amp;"|3",DB_Prompts!$A$2:$A$800,0)),"")</f>
        <v/>
      </c>
      <c r="H59" s="24"/>
      <c r="I59" s="17" t="str">
        <f aca="false">IF(AND($C59&lt;&gt;"",ISNUMBER('My Colleges'!$I$17)),'My Colleges'!$I$17-10,"")</f>
        <v/>
      </c>
      <c r="J59" s="24"/>
      <c r="K59" s="24"/>
    </row>
    <row r="60" customFormat="false" ht="15" hidden="false" customHeight="true" outlineLevel="0" collapsed="false">
      <c r="A60" s="18" t="str">
        <f aca="false">IF(AND(ISNUMBER(MATCH('My Colleges'!$B$17&amp;"|4",DB_Prompts!$A$2:$A$800,0)),'My Colleges'!$V$17&lt;&gt;"No"),'My Colleges'!$B$17,"")</f>
        <v/>
      </c>
      <c r="B60" s="18" t="str">
        <f aca="false">IF($A60="","",4)</f>
        <v/>
      </c>
      <c r="C60" s="18" t="str">
        <f aca="false">IF(AND($A60&lt;&gt;"",ISNUMBER(MATCH('My Colleges'!$B$17&amp;"|4",DB_Prompts!$A$2:$A$800,0))),INDEX(DB_Prompts!$D$2:$D$800,MATCH('My Colleges'!$B$17&amp;"|4",DB_Prompts!$A$2:$A$800,0)),"")</f>
        <v/>
      </c>
      <c r="D60" s="18" t="str">
        <f aca="false">IF(AND($A60&lt;&gt;"",ISNUMBER(MATCH('My Colleges'!$B$17&amp;"|4",DB_Prompts!$A$2:$A$800,0))),INDEX(DB_Prompts!$E$2:$E$800,MATCH('My Colleges'!$B$17&amp;"|4",DB_Prompts!$A$2:$A$800,0)),"")</f>
        <v/>
      </c>
      <c r="E60" s="18" t="str">
        <f aca="false">IF(AND($A60&lt;&gt;"",ISNUMBER(MATCH('My Colleges'!$B$17&amp;"|4",DB_Prompts!$A$2:$A$800,0))),INDEX(DB_Prompts!$F$2:$F$800,MATCH('My Colleges'!$B$17&amp;"|4",DB_Prompts!$A$2:$A$800,0)),"")</f>
        <v/>
      </c>
      <c r="F60" s="18" t="str">
        <f aca="false">IF(AND($A60&lt;&gt;"",ISNUMBER(MATCH('My Colleges'!$B$17&amp;"|4",DB_Prompts!$A$2:$A$800,0))),INDEX(DB_Prompts!$H$2:$H$800,MATCH('My Colleges'!$B$17&amp;"|4",DB_Prompts!$A$2:$A$800,0)),"")</f>
        <v/>
      </c>
      <c r="G60" s="18" t="str">
        <f aca="false">IF(AND($A60&lt;&gt;"",ISNUMBER(MATCH('My Colleges'!$B$17&amp;"|4",DB_Prompts!$A$2:$A$800,0))),INDEX(DB_Prompts!$G$2:$G$800,MATCH('My Colleges'!$B$17&amp;"|4",DB_Prompts!$A$2:$A$800,0)),"")</f>
        <v/>
      </c>
      <c r="H60" s="24"/>
      <c r="I60" s="17" t="str">
        <f aca="false">IF(AND($C60&lt;&gt;"",ISNUMBER('My Colleges'!$I$17)),'My Colleges'!$I$17-10,"")</f>
        <v/>
      </c>
      <c r="J60" s="24"/>
      <c r="K60" s="24"/>
    </row>
    <row r="61" customFormat="false" ht="15" hidden="false" customHeight="true" outlineLevel="0" collapsed="false">
      <c r="A61" s="18" t="str">
        <f aca="false">IF(AND(ISNUMBER(MATCH('My Colleges'!$B$17&amp;"|5",DB_Prompts!$A$2:$A$800,0)),'My Colleges'!$V$17&lt;&gt;"No"),'My Colleges'!$B$17,"")</f>
        <v/>
      </c>
      <c r="B61" s="18" t="str">
        <f aca="false">IF($A61="","",5)</f>
        <v/>
      </c>
      <c r="C61" s="18" t="str">
        <f aca="false">IF(AND($A61&lt;&gt;"",ISNUMBER(MATCH('My Colleges'!$B$17&amp;"|5",DB_Prompts!$A$2:$A$800,0))),INDEX(DB_Prompts!$D$2:$D$800,MATCH('My Colleges'!$B$17&amp;"|5",DB_Prompts!$A$2:$A$800,0)),"")</f>
        <v/>
      </c>
      <c r="D61" s="18" t="str">
        <f aca="false">IF(AND($A61&lt;&gt;"",ISNUMBER(MATCH('My Colleges'!$B$17&amp;"|5",DB_Prompts!$A$2:$A$800,0))),INDEX(DB_Prompts!$E$2:$E$800,MATCH('My Colleges'!$B$17&amp;"|5",DB_Prompts!$A$2:$A$800,0)),"")</f>
        <v/>
      </c>
      <c r="E61" s="18" t="str">
        <f aca="false">IF(AND($A61&lt;&gt;"",ISNUMBER(MATCH('My Colleges'!$B$17&amp;"|5",DB_Prompts!$A$2:$A$800,0))),INDEX(DB_Prompts!$F$2:$F$800,MATCH('My Colleges'!$B$17&amp;"|5",DB_Prompts!$A$2:$A$800,0)),"")</f>
        <v/>
      </c>
      <c r="F61" s="18" t="str">
        <f aca="false">IF(AND($A61&lt;&gt;"",ISNUMBER(MATCH('My Colleges'!$B$17&amp;"|5",DB_Prompts!$A$2:$A$800,0))),INDEX(DB_Prompts!$H$2:$H$800,MATCH('My Colleges'!$B$17&amp;"|5",DB_Prompts!$A$2:$A$800,0)),"")</f>
        <v/>
      </c>
      <c r="G61" s="18" t="str">
        <f aca="false">IF(AND($A61&lt;&gt;"",ISNUMBER(MATCH('My Colleges'!$B$17&amp;"|5",DB_Prompts!$A$2:$A$800,0))),INDEX(DB_Prompts!$G$2:$G$800,MATCH('My Colleges'!$B$17&amp;"|5",DB_Prompts!$A$2:$A$800,0)),"")</f>
        <v/>
      </c>
      <c r="H61" s="24"/>
      <c r="I61" s="17" t="str">
        <f aca="false">IF(AND($C61&lt;&gt;"",ISNUMBER('My Colleges'!$I$17)),'My Colleges'!$I$17-10,"")</f>
        <v/>
      </c>
      <c r="J61" s="24"/>
      <c r="K61" s="24"/>
    </row>
    <row r="62" customFormat="false" ht="15" hidden="false" customHeight="true" outlineLevel="0" collapsed="false">
      <c r="A62" s="18" t="str">
        <f aca="false">IF(OR('My Colleges'!$B$18="",'My Colleges'!$V$18="No"),"",'My Colleges'!$B$18)</f>
        <v/>
      </c>
      <c r="B62" s="18" t="str">
        <f aca="false">IF($A62="","",1)</f>
        <v/>
      </c>
      <c r="C62" s="18" t="str">
        <f aca="false">IF($A62="","",IF(ISNUMBER(MATCH('My Colleges'!$B$18&amp;"|1",DB_Prompts!$A$2:$A$800,0)),INDEX(DB_Prompts!$D$2:$D$800,MATCH('My Colleges'!$B$18&amp;"|1",DB_Prompts!$A$2:$A$800,0)),IF('My Colleges'!$P$18=0,"No extra essays required.","Prompts not loaded yet: check this college's Admissions Page (last column on Explore) or its Common App page, and copy any prompts into Notes.")))</f>
        <v/>
      </c>
      <c r="D62" s="18" t="str">
        <f aca="false">IF(AND($A62&lt;&gt;"",ISNUMBER(MATCH('My Colleges'!$B$18&amp;"|1",DB_Prompts!$A$2:$A$800,0))),INDEX(DB_Prompts!$E$2:$E$800,MATCH('My Colleges'!$B$18&amp;"|1",DB_Prompts!$A$2:$A$800,0)),"")</f>
        <v/>
      </c>
      <c r="E62" s="18" t="str">
        <f aca="false">IF(AND($A62&lt;&gt;"",ISNUMBER(MATCH('My Colleges'!$B$18&amp;"|1",DB_Prompts!$A$2:$A$800,0))),INDEX(DB_Prompts!$F$2:$F$800,MATCH('My Colleges'!$B$18&amp;"|1",DB_Prompts!$A$2:$A$800,0)),"")</f>
        <v/>
      </c>
      <c r="F62" s="18" t="str">
        <f aca="false">IF(AND($A62&lt;&gt;"",ISNUMBER(MATCH('My Colleges'!$B$18&amp;"|1",DB_Prompts!$A$2:$A$800,0))),INDEX(DB_Prompts!$H$2:$H$800,MATCH('My Colleges'!$B$18&amp;"|1",DB_Prompts!$A$2:$A$800,0)),"")</f>
        <v/>
      </c>
      <c r="G62" s="18" t="str">
        <f aca="false">IF(AND($A62&lt;&gt;"",ISNUMBER(MATCH('My Colleges'!$B$18&amp;"|1",DB_Prompts!$A$2:$A$800,0))),INDEX(DB_Prompts!$G$2:$G$800,MATCH('My Colleges'!$B$18&amp;"|1",DB_Prompts!$A$2:$A$800,0)),"")</f>
        <v/>
      </c>
      <c r="H62" s="24"/>
      <c r="I62" s="17" t="str">
        <f aca="false">IF(AND($C62&lt;&gt;"",ISNUMBER('My Colleges'!$I$18)),'My Colleges'!$I$18-10,"")</f>
        <v/>
      </c>
      <c r="J62" s="24"/>
      <c r="K62" s="24"/>
    </row>
    <row r="63" customFormat="false" ht="15" hidden="false" customHeight="true" outlineLevel="0" collapsed="false">
      <c r="A63" s="18" t="str">
        <f aca="false">IF(AND(ISNUMBER(MATCH('My Colleges'!$B$18&amp;"|2",DB_Prompts!$A$2:$A$800,0)),'My Colleges'!$V$18&lt;&gt;"No"),'My Colleges'!$B$18,"")</f>
        <v/>
      </c>
      <c r="B63" s="18" t="str">
        <f aca="false">IF($A63="","",2)</f>
        <v/>
      </c>
      <c r="C63" s="18" t="str">
        <f aca="false">IF(AND($A63&lt;&gt;"",ISNUMBER(MATCH('My Colleges'!$B$18&amp;"|2",DB_Prompts!$A$2:$A$800,0))),INDEX(DB_Prompts!$D$2:$D$800,MATCH('My Colleges'!$B$18&amp;"|2",DB_Prompts!$A$2:$A$800,0)),"")</f>
        <v/>
      </c>
      <c r="D63" s="18" t="str">
        <f aca="false">IF(AND($A63&lt;&gt;"",ISNUMBER(MATCH('My Colleges'!$B$18&amp;"|2",DB_Prompts!$A$2:$A$800,0))),INDEX(DB_Prompts!$E$2:$E$800,MATCH('My Colleges'!$B$18&amp;"|2",DB_Prompts!$A$2:$A$800,0)),"")</f>
        <v/>
      </c>
      <c r="E63" s="18" t="str">
        <f aca="false">IF(AND($A63&lt;&gt;"",ISNUMBER(MATCH('My Colleges'!$B$18&amp;"|2",DB_Prompts!$A$2:$A$800,0))),INDEX(DB_Prompts!$F$2:$F$800,MATCH('My Colleges'!$B$18&amp;"|2",DB_Prompts!$A$2:$A$800,0)),"")</f>
        <v/>
      </c>
      <c r="F63" s="18" t="str">
        <f aca="false">IF(AND($A63&lt;&gt;"",ISNUMBER(MATCH('My Colleges'!$B$18&amp;"|2",DB_Prompts!$A$2:$A$800,0))),INDEX(DB_Prompts!$H$2:$H$800,MATCH('My Colleges'!$B$18&amp;"|2",DB_Prompts!$A$2:$A$800,0)),"")</f>
        <v/>
      </c>
      <c r="G63" s="18" t="str">
        <f aca="false">IF(AND($A63&lt;&gt;"",ISNUMBER(MATCH('My Colleges'!$B$18&amp;"|2",DB_Prompts!$A$2:$A$800,0))),INDEX(DB_Prompts!$G$2:$G$800,MATCH('My Colleges'!$B$18&amp;"|2",DB_Prompts!$A$2:$A$800,0)),"")</f>
        <v/>
      </c>
      <c r="H63" s="24"/>
      <c r="I63" s="17" t="str">
        <f aca="false">IF(AND($C63&lt;&gt;"",ISNUMBER('My Colleges'!$I$18)),'My Colleges'!$I$18-10,"")</f>
        <v/>
      </c>
      <c r="J63" s="24"/>
      <c r="K63" s="24"/>
    </row>
    <row r="64" customFormat="false" ht="15" hidden="false" customHeight="true" outlineLevel="0" collapsed="false">
      <c r="A64" s="18" t="str">
        <f aca="false">IF(AND(ISNUMBER(MATCH('My Colleges'!$B$18&amp;"|3",DB_Prompts!$A$2:$A$800,0)),'My Colleges'!$V$18&lt;&gt;"No"),'My Colleges'!$B$18,"")</f>
        <v/>
      </c>
      <c r="B64" s="18" t="str">
        <f aca="false">IF($A64="","",3)</f>
        <v/>
      </c>
      <c r="C64" s="18" t="str">
        <f aca="false">IF(AND($A64&lt;&gt;"",ISNUMBER(MATCH('My Colleges'!$B$18&amp;"|3",DB_Prompts!$A$2:$A$800,0))),INDEX(DB_Prompts!$D$2:$D$800,MATCH('My Colleges'!$B$18&amp;"|3",DB_Prompts!$A$2:$A$800,0)),"")</f>
        <v/>
      </c>
      <c r="D64" s="18" t="str">
        <f aca="false">IF(AND($A64&lt;&gt;"",ISNUMBER(MATCH('My Colleges'!$B$18&amp;"|3",DB_Prompts!$A$2:$A$800,0))),INDEX(DB_Prompts!$E$2:$E$800,MATCH('My Colleges'!$B$18&amp;"|3",DB_Prompts!$A$2:$A$800,0)),"")</f>
        <v/>
      </c>
      <c r="E64" s="18" t="str">
        <f aca="false">IF(AND($A64&lt;&gt;"",ISNUMBER(MATCH('My Colleges'!$B$18&amp;"|3",DB_Prompts!$A$2:$A$800,0))),INDEX(DB_Prompts!$F$2:$F$800,MATCH('My Colleges'!$B$18&amp;"|3",DB_Prompts!$A$2:$A$800,0)),"")</f>
        <v/>
      </c>
      <c r="F64" s="18" t="str">
        <f aca="false">IF(AND($A64&lt;&gt;"",ISNUMBER(MATCH('My Colleges'!$B$18&amp;"|3",DB_Prompts!$A$2:$A$800,0))),INDEX(DB_Prompts!$H$2:$H$800,MATCH('My Colleges'!$B$18&amp;"|3",DB_Prompts!$A$2:$A$800,0)),"")</f>
        <v/>
      </c>
      <c r="G64" s="18" t="str">
        <f aca="false">IF(AND($A64&lt;&gt;"",ISNUMBER(MATCH('My Colleges'!$B$18&amp;"|3",DB_Prompts!$A$2:$A$800,0))),INDEX(DB_Prompts!$G$2:$G$800,MATCH('My Colleges'!$B$18&amp;"|3",DB_Prompts!$A$2:$A$800,0)),"")</f>
        <v/>
      </c>
      <c r="H64" s="24"/>
      <c r="I64" s="17" t="str">
        <f aca="false">IF(AND($C64&lt;&gt;"",ISNUMBER('My Colleges'!$I$18)),'My Colleges'!$I$18-10,"")</f>
        <v/>
      </c>
      <c r="J64" s="24"/>
      <c r="K64" s="24"/>
    </row>
    <row r="65" customFormat="false" ht="15" hidden="false" customHeight="true" outlineLevel="0" collapsed="false">
      <c r="A65" s="18" t="str">
        <f aca="false">IF(AND(ISNUMBER(MATCH('My Colleges'!$B$18&amp;"|4",DB_Prompts!$A$2:$A$800,0)),'My Colleges'!$V$18&lt;&gt;"No"),'My Colleges'!$B$18,"")</f>
        <v/>
      </c>
      <c r="B65" s="18" t="str">
        <f aca="false">IF($A65="","",4)</f>
        <v/>
      </c>
      <c r="C65" s="18" t="str">
        <f aca="false">IF(AND($A65&lt;&gt;"",ISNUMBER(MATCH('My Colleges'!$B$18&amp;"|4",DB_Prompts!$A$2:$A$800,0))),INDEX(DB_Prompts!$D$2:$D$800,MATCH('My Colleges'!$B$18&amp;"|4",DB_Prompts!$A$2:$A$800,0)),"")</f>
        <v/>
      </c>
      <c r="D65" s="18" t="str">
        <f aca="false">IF(AND($A65&lt;&gt;"",ISNUMBER(MATCH('My Colleges'!$B$18&amp;"|4",DB_Prompts!$A$2:$A$800,0))),INDEX(DB_Prompts!$E$2:$E$800,MATCH('My Colleges'!$B$18&amp;"|4",DB_Prompts!$A$2:$A$800,0)),"")</f>
        <v/>
      </c>
      <c r="E65" s="18" t="str">
        <f aca="false">IF(AND($A65&lt;&gt;"",ISNUMBER(MATCH('My Colleges'!$B$18&amp;"|4",DB_Prompts!$A$2:$A$800,0))),INDEX(DB_Prompts!$F$2:$F$800,MATCH('My Colleges'!$B$18&amp;"|4",DB_Prompts!$A$2:$A$800,0)),"")</f>
        <v/>
      </c>
      <c r="F65" s="18" t="str">
        <f aca="false">IF(AND($A65&lt;&gt;"",ISNUMBER(MATCH('My Colleges'!$B$18&amp;"|4",DB_Prompts!$A$2:$A$800,0))),INDEX(DB_Prompts!$H$2:$H$800,MATCH('My Colleges'!$B$18&amp;"|4",DB_Prompts!$A$2:$A$800,0)),"")</f>
        <v/>
      </c>
      <c r="G65" s="18" t="str">
        <f aca="false">IF(AND($A65&lt;&gt;"",ISNUMBER(MATCH('My Colleges'!$B$18&amp;"|4",DB_Prompts!$A$2:$A$800,0))),INDEX(DB_Prompts!$G$2:$G$800,MATCH('My Colleges'!$B$18&amp;"|4",DB_Prompts!$A$2:$A$800,0)),"")</f>
        <v/>
      </c>
      <c r="H65" s="24"/>
      <c r="I65" s="17" t="str">
        <f aca="false">IF(AND($C65&lt;&gt;"",ISNUMBER('My Colleges'!$I$18)),'My Colleges'!$I$18-10,"")</f>
        <v/>
      </c>
      <c r="J65" s="24"/>
      <c r="K65" s="24"/>
    </row>
    <row r="66" customFormat="false" ht="15" hidden="false" customHeight="true" outlineLevel="0" collapsed="false">
      <c r="A66" s="18" t="str">
        <f aca="false">IF(AND(ISNUMBER(MATCH('My Colleges'!$B$18&amp;"|5",DB_Prompts!$A$2:$A$800,0)),'My Colleges'!$V$18&lt;&gt;"No"),'My Colleges'!$B$18,"")</f>
        <v/>
      </c>
      <c r="B66" s="18" t="str">
        <f aca="false">IF($A66="","",5)</f>
        <v/>
      </c>
      <c r="C66" s="18" t="str">
        <f aca="false">IF(AND($A66&lt;&gt;"",ISNUMBER(MATCH('My Colleges'!$B$18&amp;"|5",DB_Prompts!$A$2:$A$800,0))),INDEX(DB_Prompts!$D$2:$D$800,MATCH('My Colleges'!$B$18&amp;"|5",DB_Prompts!$A$2:$A$800,0)),"")</f>
        <v/>
      </c>
      <c r="D66" s="18" t="str">
        <f aca="false">IF(AND($A66&lt;&gt;"",ISNUMBER(MATCH('My Colleges'!$B$18&amp;"|5",DB_Prompts!$A$2:$A$800,0))),INDEX(DB_Prompts!$E$2:$E$800,MATCH('My Colleges'!$B$18&amp;"|5",DB_Prompts!$A$2:$A$800,0)),"")</f>
        <v/>
      </c>
      <c r="E66" s="18" t="str">
        <f aca="false">IF(AND($A66&lt;&gt;"",ISNUMBER(MATCH('My Colleges'!$B$18&amp;"|5",DB_Prompts!$A$2:$A$800,0))),INDEX(DB_Prompts!$F$2:$F$800,MATCH('My Colleges'!$B$18&amp;"|5",DB_Prompts!$A$2:$A$800,0)),"")</f>
        <v/>
      </c>
      <c r="F66" s="18" t="str">
        <f aca="false">IF(AND($A66&lt;&gt;"",ISNUMBER(MATCH('My Colleges'!$B$18&amp;"|5",DB_Prompts!$A$2:$A$800,0))),INDEX(DB_Prompts!$H$2:$H$800,MATCH('My Colleges'!$B$18&amp;"|5",DB_Prompts!$A$2:$A$800,0)),"")</f>
        <v/>
      </c>
      <c r="G66" s="18" t="str">
        <f aca="false">IF(AND($A66&lt;&gt;"",ISNUMBER(MATCH('My Colleges'!$B$18&amp;"|5",DB_Prompts!$A$2:$A$800,0))),INDEX(DB_Prompts!$G$2:$G$800,MATCH('My Colleges'!$B$18&amp;"|5",DB_Prompts!$A$2:$A$800,0)),"")</f>
        <v/>
      </c>
      <c r="H66" s="24"/>
      <c r="I66" s="17" t="str">
        <f aca="false">IF(AND($C66&lt;&gt;"",ISNUMBER('My Colleges'!$I$18)),'My Colleges'!$I$18-10,"")</f>
        <v/>
      </c>
      <c r="J66" s="24"/>
      <c r="K66" s="24"/>
    </row>
    <row r="67" customFormat="false" ht="15" hidden="false" customHeight="true" outlineLevel="0" collapsed="false">
      <c r="A67" s="18" t="str">
        <f aca="false">IF(OR('My Colleges'!$B$19="",'My Colleges'!$V$19="No"),"",'My Colleges'!$B$19)</f>
        <v/>
      </c>
      <c r="B67" s="18" t="str">
        <f aca="false">IF($A67="","",1)</f>
        <v/>
      </c>
      <c r="C67" s="18" t="str">
        <f aca="false">IF($A67="","",IF(ISNUMBER(MATCH('My Colleges'!$B$19&amp;"|1",DB_Prompts!$A$2:$A$800,0)),INDEX(DB_Prompts!$D$2:$D$800,MATCH('My Colleges'!$B$19&amp;"|1",DB_Prompts!$A$2:$A$800,0)),IF('My Colleges'!$P$19=0,"No extra essays required.","Prompts not loaded yet: check this college's Admissions Page (last column on Explore) or its Common App page, and copy any prompts into Notes.")))</f>
        <v/>
      </c>
      <c r="D67" s="18" t="str">
        <f aca="false">IF(AND($A67&lt;&gt;"",ISNUMBER(MATCH('My Colleges'!$B$19&amp;"|1",DB_Prompts!$A$2:$A$800,0))),INDEX(DB_Prompts!$E$2:$E$800,MATCH('My Colleges'!$B$19&amp;"|1",DB_Prompts!$A$2:$A$800,0)),"")</f>
        <v/>
      </c>
      <c r="E67" s="18" t="str">
        <f aca="false">IF(AND($A67&lt;&gt;"",ISNUMBER(MATCH('My Colleges'!$B$19&amp;"|1",DB_Prompts!$A$2:$A$800,0))),INDEX(DB_Prompts!$F$2:$F$800,MATCH('My Colleges'!$B$19&amp;"|1",DB_Prompts!$A$2:$A$800,0)),"")</f>
        <v/>
      </c>
      <c r="F67" s="18" t="str">
        <f aca="false">IF(AND($A67&lt;&gt;"",ISNUMBER(MATCH('My Colleges'!$B$19&amp;"|1",DB_Prompts!$A$2:$A$800,0))),INDEX(DB_Prompts!$H$2:$H$800,MATCH('My Colleges'!$B$19&amp;"|1",DB_Prompts!$A$2:$A$800,0)),"")</f>
        <v/>
      </c>
      <c r="G67" s="18" t="str">
        <f aca="false">IF(AND($A67&lt;&gt;"",ISNUMBER(MATCH('My Colleges'!$B$19&amp;"|1",DB_Prompts!$A$2:$A$800,0))),INDEX(DB_Prompts!$G$2:$G$800,MATCH('My Colleges'!$B$19&amp;"|1",DB_Prompts!$A$2:$A$800,0)),"")</f>
        <v/>
      </c>
      <c r="H67" s="24"/>
      <c r="I67" s="17" t="str">
        <f aca="false">IF(AND($C67&lt;&gt;"",ISNUMBER('My Colleges'!$I$19)),'My Colleges'!$I$19-10,"")</f>
        <v/>
      </c>
      <c r="J67" s="24"/>
      <c r="K67" s="24"/>
    </row>
    <row r="68" customFormat="false" ht="15" hidden="false" customHeight="true" outlineLevel="0" collapsed="false">
      <c r="A68" s="18" t="str">
        <f aca="false">IF(AND(ISNUMBER(MATCH('My Colleges'!$B$19&amp;"|2",DB_Prompts!$A$2:$A$800,0)),'My Colleges'!$V$19&lt;&gt;"No"),'My Colleges'!$B$19,"")</f>
        <v/>
      </c>
      <c r="B68" s="18" t="str">
        <f aca="false">IF($A68="","",2)</f>
        <v/>
      </c>
      <c r="C68" s="18" t="str">
        <f aca="false">IF(AND($A68&lt;&gt;"",ISNUMBER(MATCH('My Colleges'!$B$19&amp;"|2",DB_Prompts!$A$2:$A$800,0))),INDEX(DB_Prompts!$D$2:$D$800,MATCH('My Colleges'!$B$19&amp;"|2",DB_Prompts!$A$2:$A$800,0)),"")</f>
        <v/>
      </c>
      <c r="D68" s="18" t="str">
        <f aca="false">IF(AND($A68&lt;&gt;"",ISNUMBER(MATCH('My Colleges'!$B$19&amp;"|2",DB_Prompts!$A$2:$A$800,0))),INDEX(DB_Prompts!$E$2:$E$800,MATCH('My Colleges'!$B$19&amp;"|2",DB_Prompts!$A$2:$A$800,0)),"")</f>
        <v/>
      </c>
      <c r="E68" s="18" t="str">
        <f aca="false">IF(AND($A68&lt;&gt;"",ISNUMBER(MATCH('My Colleges'!$B$19&amp;"|2",DB_Prompts!$A$2:$A$800,0))),INDEX(DB_Prompts!$F$2:$F$800,MATCH('My Colleges'!$B$19&amp;"|2",DB_Prompts!$A$2:$A$800,0)),"")</f>
        <v/>
      </c>
      <c r="F68" s="18" t="str">
        <f aca="false">IF(AND($A68&lt;&gt;"",ISNUMBER(MATCH('My Colleges'!$B$19&amp;"|2",DB_Prompts!$A$2:$A$800,0))),INDEX(DB_Prompts!$H$2:$H$800,MATCH('My Colleges'!$B$19&amp;"|2",DB_Prompts!$A$2:$A$800,0)),"")</f>
        <v/>
      </c>
      <c r="G68" s="18" t="str">
        <f aca="false">IF(AND($A68&lt;&gt;"",ISNUMBER(MATCH('My Colleges'!$B$19&amp;"|2",DB_Prompts!$A$2:$A$800,0))),INDEX(DB_Prompts!$G$2:$G$800,MATCH('My Colleges'!$B$19&amp;"|2",DB_Prompts!$A$2:$A$800,0)),"")</f>
        <v/>
      </c>
      <c r="H68" s="24"/>
      <c r="I68" s="17" t="str">
        <f aca="false">IF(AND($C68&lt;&gt;"",ISNUMBER('My Colleges'!$I$19)),'My Colleges'!$I$19-10,"")</f>
        <v/>
      </c>
      <c r="J68" s="24"/>
      <c r="K68" s="24"/>
    </row>
    <row r="69" customFormat="false" ht="15" hidden="false" customHeight="true" outlineLevel="0" collapsed="false">
      <c r="A69" s="18" t="str">
        <f aca="false">IF(AND(ISNUMBER(MATCH('My Colleges'!$B$19&amp;"|3",DB_Prompts!$A$2:$A$800,0)),'My Colleges'!$V$19&lt;&gt;"No"),'My Colleges'!$B$19,"")</f>
        <v/>
      </c>
      <c r="B69" s="18" t="str">
        <f aca="false">IF($A69="","",3)</f>
        <v/>
      </c>
      <c r="C69" s="18" t="str">
        <f aca="false">IF(AND($A69&lt;&gt;"",ISNUMBER(MATCH('My Colleges'!$B$19&amp;"|3",DB_Prompts!$A$2:$A$800,0))),INDEX(DB_Prompts!$D$2:$D$800,MATCH('My Colleges'!$B$19&amp;"|3",DB_Prompts!$A$2:$A$800,0)),"")</f>
        <v/>
      </c>
      <c r="D69" s="18" t="str">
        <f aca="false">IF(AND($A69&lt;&gt;"",ISNUMBER(MATCH('My Colleges'!$B$19&amp;"|3",DB_Prompts!$A$2:$A$800,0))),INDEX(DB_Prompts!$E$2:$E$800,MATCH('My Colleges'!$B$19&amp;"|3",DB_Prompts!$A$2:$A$800,0)),"")</f>
        <v/>
      </c>
      <c r="E69" s="18" t="str">
        <f aca="false">IF(AND($A69&lt;&gt;"",ISNUMBER(MATCH('My Colleges'!$B$19&amp;"|3",DB_Prompts!$A$2:$A$800,0))),INDEX(DB_Prompts!$F$2:$F$800,MATCH('My Colleges'!$B$19&amp;"|3",DB_Prompts!$A$2:$A$800,0)),"")</f>
        <v/>
      </c>
      <c r="F69" s="18" t="str">
        <f aca="false">IF(AND($A69&lt;&gt;"",ISNUMBER(MATCH('My Colleges'!$B$19&amp;"|3",DB_Prompts!$A$2:$A$800,0))),INDEX(DB_Prompts!$H$2:$H$800,MATCH('My Colleges'!$B$19&amp;"|3",DB_Prompts!$A$2:$A$800,0)),"")</f>
        <v/>
      </c>
      <c r="G69" s="18" t="str">
        <f aca="false">IF(AND($A69&lt;&gt;"",ISNUMBER(MATCH('My Colleges'!$B$19&amp;"|3",DB_Prompts!$A$2:$A$800,0))),INDEX(DB_Prompts!$G$2:$G$800,MATCH('My Colleges'!$B$19&amp;"|3",DB_Prompts!$A$2:$A$800,0)),"")</f>
        <v/>
      </c>
      <c r="H69" s="24"/>
      <c r="I69" s="17" t="str">
        <f aca="false">IF(AND($C69&lt;&gt;"",ISNUMBER('My Colleges'!$I$19)),'My Colleges'!$I$19-10,"")</f>
        <v/>
      </c>
      <c r="J69" s="24"/>
      <c r="K69" s="24"/>
    </row>
    <row r="70" customFormat="false" ht="15" hidden="false" customHeight="true" outlineLevel="0" collapsed="false">
      <c r="A70" s="18" t="str">
        <f aca="false">IF(AND(ISNUMBER(MATCH('My Colleges'!$B$19&amp;"|4",DB_Prompts!$A$2:$A$800,0)),'My Colleges'!$V$19&lt;&gt;"No"),'My Colleges'!$B$19,"")</f>
        <v/>
      </c>
      <c r="B70" s="18" t="str">
        <f aca="false">IF($A70="","",4)</f>
        <v/>
      </c>
      <c r="C70" s="18" t="str">
        <f aca="false">IF(AND($A70&lt;&gt;"",ISNUMBER(MATCH('My Colleges'!$B$19&amp;"|4",DB_Prompts!$A$2:$A$800,0))),INDEX(DB_Prompts!$D$2:$D$800,MATCH('My Colleges'!$B$19&amp;"|4",DB_Prompts!$A$2:$A$800,0)),"")</f>
        <v/>
      </c>
      <c r="D70" s="18" t="str">
        <f aca="false">IF(AND($A70&lt;&gt;"",ISNUMBER(MATCH('My Colleges'!$B$19&amp;"|4",DB_Prompts!$A$2:$A$800,0))),INDEX(DB_Prompts!$E$2:$E$800,MATCH('My Colleges'!$B$19&amp;"|4",DB_Prompts!$A$2:$A$800,0)),"")</f>
        <v/>
      </c>
      <c r="E70" s="18" t="str">
        <f aca="false">IF(AND($A70&lt;&gt;"",ISNUMBER(MATCH('My Colleges'!$B$19&amp;"|4",DB_Prompts!$A$2:$A$800,0))),INDEX(DB_Prompts!$F$2:$F$800,MATCH('My Colleges'!$B$19&amp;"|4",DB_Prompts!$A$2:$A$800,0)),"")</f>
        <v/>
      </c>
      <c r="F70" s="18" t="str">
        <f aca="false">IF(AND($A70&lt;&gt;"",ISNUMBER(MATCH('My Colleges'!$B$19&amp;"|4",DB_Prompts!$A$2:$A$800,0))),INDEX(DB_Prompts!$H$2:$H$800,MATCH('My Colleges'!$B$19&amp;"|4",DB_Prompts!$A$2:$A$800,0)),"")</f>
        <v/>
      </c>
      <c r="G70" s="18" t="str">
        <f aca="false">IF(AND($A70&lt;&gt;"",ISNUMBER(MATCH('My Colleges'!$B$19&amp;"|4",DB_Prompts!$A$2:$A$800,0))),INDEX(DB_Prompts!$G$2:$G$800,MATCH('My Colleges'!$B$19&amp;"|4",DB_Prompts!$A$2:$A$800,0)),"")</f>
        <v/>
      </c>
      <c r="H70" s="24"/>
      <c r="I70" s="17" t="str">
        <f aca="false">IF(AND($C70&lt;&gt;"",ISNUMBER('My Colleges'!$I$19)),'My Colleges'!$I$19-10,"")</f>
        <v/>
      </c>
      <c r="J70" s="24"/>
      <c r="K70" s="24"/>
    </row>
    <row r="71" customFormat="false" ht="15" hidden="false" customHeight="true" outlineLevel="0" collapsed="false">
      <c r="A71" s="18" t="str">
        <f aca="false">IF(AND(ISNUMBER(MATCH('My Colleges'!$B$19&amp;"|5",DB_Prompts!$A$2:$A$800,0)),'My Colleges'!$V$19&lt;&gt;"No"),'My Colleges'!$B$19,"")</f>
        <v/>
      </c>
      <c r="B71" s="18" t="str">
        <f aca="false">IF($A71="","",5)</f>
        <v/>
      </c>
      <c r="C71" s="18" t="str">
        <f aca="false">IF(AND($A71&lt;&gt;"",ISNUMBER(MATCH('My Colleges'!$B$19&amp;"|5",DB_Prompts!$A$2:$A$800,0))),INDEX(DB_Prompts!$D$2:$D$800,MATCH('My Colleges'!$B$19&amp;"|5",DB_Prompts!$A$2:$A$800,0)),"")</f>
        <v/>
      </c>
      <c r="D71" s="18" t="str">
        <f aca="false">IF(AND($A71&lt;&gt;"",ISNUMBER(MATCH('My Colleges'!$B$19&amp;"|5",DB_Prompts!$A$2:$A$800,0))),INDEX(DB_Prompts!$E$2:$E$800,MATCH('My Colleges'!$B$19&amp;"|5",DB_Prompts!$A$2:$A$800,0)),"")</f>
        <v/>
      </c>
      <c r="E71" s="18" t="str">
        <f aca="false">IF(AND($A71&lt;&gt;"",ISNUMBER(MATCH('My Colleges'!$B$19&amp;"|5",DB_Prompts!$A$2:$A$800,0))),INDEX(DB_Prompts!$F$2:$F$800,MATCH('My Colleges'!$B$19&amp;"|5",DB_Prompts!$A$2:$A$800,0)),"")</f>
        <v/>
      </c>
      <c r="F71" s="18" t="str">
        <f aca="false">IF(AND($A71&lt;&gt;"",ISNUMBER(MATCH('My Colleges'!$B$19&amp;"|5",DB_Prompts!$A$2:$A$800,0))),INDEX(DB_Prompts!$H$2:$H$800,MATCH('My Colleges'!$B$19&amp;"|5",DB_Prompts!$A$2:$A$800,0)),"")</f>
        <v/>
      </c>
      <c r="G71" s="18" t="str">
        <f aca="false">IF(AND($A71&lt;&gt;"",ISNUMBER(MATCH('My Colleges'!$B$19&amp;"|5",DB_Prompts!$A$2:$A$800,0))),INDEX(DB_Prompts!$G$2:$G$800,MATCH('My Colleges'!$B$19&amp;"|5",DB_Prompts!$A$2:$A$800,0)),"")</f>
        <v/>
      </c>
      <c r="H71" s="24"/>
      <c r="I71" s="17" t="str">
        <f aca="false">IF(AND($C71&lt;&gt;"",ISNUMBER('My Colleges'!$I$19)),'My Colleges'!$I$19-10,"")</f>
        <v/>
      </c>
      <c r="J71" s="24"/>
      <c r="K71" s="24"/>
    </row>
    <row r="72" customFormat="false" ht="15" hidden="false" customHeight="true" outlineLevel="0" collapsed="false">
      <c r="A72" s="18" t="str">
        <f aca="false">IF(OR('My Colleges'!$B$20="",'My Colleges'!$V$20="No"),"",'My Colleges'!$B$20)</f>
        <v/>
      </c>
      <c r="B72" s="18" t="str">
        <f aca="false">IF($A72="","",1)</f>
        <v/>
      </c>
      <c r="C72" s="18" t="str">
        <f aca="false">IF($A72="","",IF(ISNUMBER(MATCH('My Colleges'!$B$20&amp;"|1",DB_Prompts!$A$2:$A$800,0)),INDEX(DB_Prompts!$D$2:$D$800,MATCH('My Colleges'!$B$20&amp;"|1",DB_Prompts!$A$2:$A$800,0)),IF('My Colleges'!$P$20=0,"No extra essays required.","Prompts not loaded yet: check this college's Admissions Page (last column on Explore) or its Common App page, and copy any prompts into Notes.")))</f>
        <v/>
      </c>
      <c r="D72" s="18" t="str">
        <f aca="false">IF(AND($A72&lt;&gt;"",ISNUMBER(MATCH('My Colleges'!$B$20&amp;"|1",DB_Prompts!$A$2:$A$800,0))),INDEX(DB_Prompts!$E$2:$E$800,MATCH('My Colleges'!$B$20&amp;"|1",DB_Prompts!$A$2:$A$800,0)),"")</f>
        <v/>
      </c>
      <c r="E72" s="18" t="str">
        <f aca="false">IF(AND($A72&lt;&gt;"",ISNUMBER(MATCH('My Colleges'!$B$20&amp;"|1",DB_Prompts!$A$2:$A$800,0))),INDEX(DB_Prompts!$F$2:$F$800,MATCH('My Colleges'!$B$20&amp;"|1",DB_Prompts!$A$2:$A$800,0)),"")</f>
        <v/>
      </c>
      <c r="F72" s="18" t="str">
        <f aca="false">IF(AND($A72&lt;&gt;"",ISNUMBER(MATCH('My Colleges'!$B$20&amp;"|1",DB_Prompts!$A$2:$A$800,0))),INDEX(DB_Prompts!$H$2:$H$800,MATCH('My Colleges'!$B$20&amp;"|1",DB_Prompts!$A$2:$A$800,0)),"")</f>
        <v/>
      </c>
      <c r="G72" s="18" t="str">
        <f aca="false">IF(AND($A72&lt;&gt;"",ISNUMBER(MATCH('My Colleges'!$B$20&amp;"|1",DB_Prompts!$A$2:$A$800,0))),INDEX(DB_Prompts!$G$2:$G$800,MATCH('My Colleges'!$B$20&amp;"|1",DB_Prompts!$A$2:$A$800,0)),"")</f>
        <v/>
      </c>
      <c r="H72" s="24"/>
      <c r="I72" s="17" t="str">
        <f aca="false">IF(AND($C72&lt;&gt;"",ISNUMBER('My Colleges'!$I$20)),'My Colleges'!$I$20-10,"")</f>
        <v/>
      </c>
      <c r="J72" s="24"/>
      <c r="K72" s="24"/>
    </row>
    <row r="73" customFormat="false" ht="15" hidden="false" customHeight="true" outlineLevel="0" collapsed="false">
      <c r="A73" s="18" t="str">
        <f aca="false">IF(AND(ISNUMBER(MATCH('My Colleges'!$B$20&amp;"|2",DB_Prompts!$A$2:$A$800,0)),'My Colleges'!$V$20&lt;&gt;"No"),'My Colleges'!$B$20,"")</f>
        <v/>
      </c>
      <c r="B73" s="18" t="str">
        <f aca="false">IF($A73="","",2)</f>
        <v/>
      </c>
      <c r="C73" s="18" t="str">
        <f aca="false">IF(AND($A73&lt;&gt;"",ISNUMBER(MATCH('My Colleges'!$B$20&amp;"|2",DB_Prompts!$A$2:$A$800,0))),INDEX(DB_Prompts!$D$2:$D$800,MATCH('My Colleges'!$B$20&amp;"|2",DB_Prompts!$A$2:$A$800,0)),"")</f>
        <v/>
      </c>
      <c r="D73" s="18" t="str">
        <f aca="false">IF(AND($A73&lt;&gt;"",ISNUMBER(MATCH('My Colleges'!$B$20&amp;"|2",DB_Prompts!$A$2:$A$800,0))),INDEX(DB_Prompts!$E$2:$E$800,MATCH('My Colleges'!$B$20&amp;"|2",DB_Prompts!$A$2:$A$800,0)),"")</f>
        <v/>
      </c>
      <c r="E73" s="18" t="str">
        <f aca="false">IF(AND($A73&lt;&gt;"",ISNUMBER(MATCH('My Colleges'!$B$20&amp;"|2",DB_Prompts!$A$2:$A$800,0))),INDEX(DB_Prompts!$F$2:$F$800,MATCH('My Colleges'!$B$20&amp;"|2",DB_Prompts!$A$2:$A$800,0)),"")</f>
        <v/>
      </c>
      <c r="F73" s="18" t="str">
        <f aca="false">IF(AND($A73&lt;&gt;"",ISNUMBER(MATCH('My Colleges'!$B$20&amp;"|2",DB_Prompts!$A$2:$A$800,0))),INDEX(DB_Prompts!$H$2:$H$800,MATCH('My Colleges'!$B$20&amp;"|2",DB_Prompts!$A$2:$A$800,0)),"")</f>
        <v/>
      </c>
      <c r="G73" s="18" t="str">
        <f aca="false">IF(AND($A73&lt;&gt;"",ISNUMBER(MATCH('My Colleges'!$B$20&amp;"|2",DB_Prompts!$A$2:$A$800,0))),INDEX(DB_Prompts!$G$2:$G$800,MATCH('My Colleges'!$B$20&amp;"|2",DB_Prompts!$A$2:$A$800,0)),"")</f>
        <v/>
      </c>
      <c r="H73" s="24"/>
      <c r="I73" s="17" t="str">
        <f aca="false">IF(AND($C73&lt;&gt;"",ISNUMBER('My Colleges'!$I$20)),'My Colleges'!$I$20-10,"")</f>
        <v/>
      </c>
      <c r="J73" s="24"/>
      <c r="K73" s="24"/>
    </row>
    <row r="74" customFormat="false" ht="15" hidden="false" customHeight="true" outlineLevel="0" collapsed="false">
      <c r="A74" s="18" t="str">
        <f aca="false">IF(AND(ISNUMBER(MATCH('My Colleges'!$B$20&amp;"|3",DB_Prompts!$A$2:$A$800,0)),'My Colleges'!$V$20&lt;&gt;"No"),'My Colleges'!$B$20,"")</f>
        <v/>
      </c>
      <c r="B74" s="18" t="str">
        <f aca="false">IF($A74="","",3)</f>
        <v/>
      </c>
      <c r="C74" s="18" t="str">
        <f aca="false">IF(AND($A74&lt;&gt;"",ISNUMBER(MATCH('My Colleges'!$B$20&amp;"|3",DB_Prompts!$A$2:$A$800,0))),INDEX(DB_Prompts!$D$2:$D$800,MATCH('My Colleges'!$B$20&amp;"|3",DB_Prompts!$A$2:$A$800,0)),"")</f>
        <v/>
      </c>
      <c r="D74" s="18" t="str">
        <f aca="false">IF(AND($A74&lt;&gt;"",ISNUMBER(MATCH('My Colleges'!$B$20&amp;"|3",DB_Prompts!$A$2:$A$800,0))),INDEX(DB_Prompts!$E$2:$E$800,MATCH('My Colleges'!$B$20&amp;"|3",DB_Prompts!$A$2:$A$800,0)),"")</f>
        <v/>
      </c>
      <c r="E74" s="18" t="str">
        <f aca="false">IF(AND($A74&lt;&gt;"",ISNUMBER(MATCH('My Colleges'!$B$20&amp;"|3",DB_Prompts!$A$2:$A$800,0))),INDEX(DB_Prompts!$F$2:$F$800,MATCH('My Colleges'!$B$20&amp;"|3",DB_Prompts!$A$2:$A$800,0)),"")</f>
        <v/>
      </c>
      <c r="F74" s="18" t="str">
        <f aca="false">IF(AND($A74&lt;&gt;"",ISNUMBER(MATCH('My Colleges'!$B$20&amp;"|3",DB_Prompts!$A$2:$A$800,0))),INDEX(DB_Prompts!$H$2:$H$800,MATCH('My Colleges'!$B$20&amp;"|3",DB_Prompts!$A$2:$A$800,0)),"")</f>
        <v/>
      </c>
      <c r="G74" s="18" t="str">
        <f aca="false">IF(AND($A74&lt;&gt;"",ISNUMBER(MATCH('My Colleges'!$B$20&amp;"|3",DB_Prompts!$A$2:$A$800,0))),INDEX(DB_Prompts!$G$2:$G$800,MATCH('My Colleges'!$B$20&amp;"|3",DB_Prompts!$A$2:$A$800,0)),"")</f>
        <v/>
      </c>
      <c r="H74" s="24"/>
      <c r="I74" s="17" t="str">
        <f aca="false">IF(AND($C74&lt;&gt;"",ISNUMBER('My Colleges'!$I$20)),'My Colleges'!$I$20-10,"")</f>
        <v/>
      </c>
      <c r="J74" s="24"/>
      <c r="K74" s="24"/>
    </row>
    <row r="75" customFormat="false" ht="15" hidden="false" customHeight="true" outlineLevel="0" collapsed="false">
      <c r="A75" s="18" t="str">
        <f aca="false">IF(AND(ISNUMBER(MATCH('My Colleges'!$B$20&amp;"|4",DB_Prompts!$A$2:$A$800,0)),'My Colleges'!$V$20&lt;&gt;"No"),'My Colleges'!$B$20,"")</f>
        <v/>
      </c>
      <c r="B75" s="18" t="str">
        <f aca="false">IF($A75="","",4)</f>
        <v/>
      </c>
      <c r="C75" s="18" t="str">
        <f aca="false">IF(AND($A75&lt;&gt;"",ISNUMBER(MATCH('My Colleges'!$B$20&amp;"|4",DB_Prompts!$A$2:$A$800,0))),INDEX(DB_Prompts!$D$2:$D$800,MATCH('My Colleges'!$B$20&amp;"|4",DB_Prompts!$A$2:$A$800,0)),"")</f>
        <v/>
      </c>
      <c r="D75" s="18" t="str">
        <f aca="false">IF(AND($A75&lt;&gt;"",ISNUMBER(MATCH('My Colleges'!$B$20&amp;"|4",DB_Prompts!$A$2:$A$800,0))),INDEX(DB_Prompts!$E$2:$E$800,MATCH('My Colleges'!$B$20&amp;"|4",DB_Prompts!$A$2:$A$800,0)),"")</f>
        <v/>
      </c>
      <c r="E75" s="18" t="str">
        <f aca="false">IF(AND($A75&lt;&gt;"",ISNUMBER(MATCH('My Colleges'!$B$20&amp;"|4",DB_Prompts!$A$2:$A$800,0))),INDEX(DB_Prompts!$F$2:$F$800,MATCH('My Colleges'!$B$20&amp;"|4",DB_Prompts!$A$2:$A$800,0)),"")</f>
        <v/>
      </c>
      <c r="F75" s="18" t="str">
        <f aca="false">IF(AND($A75&lt;&gt;"",ISNUMBER(MATCH('My Colleges'!$B$20&amp;"|4",DB_Prompts!$A$2:$A$800,0))),INDEX(DB_Prompts!$H$2:$H$800,MATCH('My Colleges'!$B$20&amp;"|4",DB_Prompts!$A$2:$A$800,0)),"")</f>
        <v/>
      </c>
      <c r="G75" s="18" t="str">
        <f aca="false">IF(AND($A75&lt;&gt;"",ISNUMBER(MATCH('My Colleges'!$B$20&amp;"|4",DB_Prompts!$A$2:$A$800,0))),INDEX(DB_Prompts!$G$2:$G$800,MATCH('My Colleges'!$B$20&amp;"|4",DB_Prompts!$A$2:$A$800,0)),"")</f>
        <v/>
      </c>
      <c r="H75" s="24"/>
      <c r="I75" s="17" t="str">
        <f aca="false">IF(AND($C75&lt;&gt;"",ISNUMBER('My Colleges'!$I$20)),'My Colleges'!$I$20-10,"")</f>
        <v/>
      </c>
      <c r="J75" s="24"/>
      <c r="K75" s="24"/>
    </row>
    <row r="76" customFormat="false" ht="15" hidden="false" customHeight="true" outlineLevel="0" collapsed="false">
      <c r="A76" s="18" t="str">
        <f aca="false">IF(AND(ISNUMBER(MATCH('My Colleges'!$B$20&amp;"|5",DB_Prompts!$A$2:$A$800,0)),'My Colleges'!$V$20&lt;&gt;"No"),'My Colleges'!$B$20,"")</f>
        <v/>
      </c>
      <c r="B76" s="18" t="str">
        <f aca="false">IF($A76="","",5)</f>
        <v/>
      </c>
      <c r="C76" s="18" t="str">
        <f aca="false">IF(AND($A76&lt;&gt;"",ISNUMBER(MATCH('My Colleges'!$B$20&amp;"|5",DB_Prompts!$A$2:$A$800,0))),INDEX(DB_Prompts!$D$2:$D$800,MATCH('My Colleges'!$B$20&amp;"|5",DB_Prompts!$A$2:$A$800,0)),"")</f>
        <v/>
      </c>
      <c r="D76" s="18" t="str">
        <f aca="false">IF(AND($A76&lt;&gt;"",ISNUMBER(MATCH('My Colleges'!$B$20&amp;"|5",DB_Prompts!$A$2:$A$800,0))),INDEX(DB_Prompts!$E$2:$E$800,MATCH('My Colleges'!$B$20&amp;"|5",DB_Prompts!$A$2:$A$800,0)),"")</f>
        <v/>
      </c>
      <c r="E76" s="18" t="str">
        <f aca="false">IF(AND($A76&lt;&gt;"",ISNUMBER(MATCH('My Colleges'!$B$20&amp;"|5",DB_Prompts!$A$2:$A$800,0))),INDEX(DB_Prompts!$F$2:$F$800,MATCH('My Colleges'!$B$20&amp;"|5",DB_Prompts!$A$2:$A$800,0)),"")</f>
        <v/>
      </c>
      <c r="F76" s="18" t="str">
        <f aca="false">IF(AND($A76&lt;&gt;"",ISNUMBER(MATCH('My Colleges'!$B$20&amp;"|5",DB_Prompts!$A$2:$A$800,0))),INDEX(DB_Prompts!$H$2:$H$800,MATCH('My Colleges'!$B$20&amp;"|5",DB_Prompts!$A$2:$A$800,0)),"")</f>
        <v/>
      </c>
      <c r="G76" s="18" t="str">
        <f aca="false">IF(AND($A76&lt;&gt;"",ISNUMBER(MATCH('My Colleges'!$B$20&amp;"|5",DB_Prompts!$A$2:$A$800,0))),INDEX(DB_Prompts!$G$2:$G$800,MATCH('My Colleges'!$B$20&amp;"|5",DB_Prompts!$A$2:$A$800,0)),"")</f>
        <v/>
      </c>
      <c r="H76" s="24"/>
      <c r="I76" s="17" t="str">
        <f aca="false">IF(AND($C76&lt;&gt;"",ISNUMBER('My Colleges'!$I$20)),'My Colleges'!$I$20-10,"")</f>
        <v/>
      </c>
      <c r="J76" s="24"/>
      <c r="K76" s="24"/>
    </row>
    <row r="77" customFormat="false" ht="15" hidden="false" customHeight="true" outlineLevel="0" collapsed="false">
      <c r="A77" s="18" t="str">
        <f aca="false">IF(OR('My Colleges'!$B$21="",'My Colleges'!$V$21="No"),"",'My Colleges'!$B$21)</f>
        <v/>
      </c>
      <c r="B77" s="18" t="str">
        <f aca="false">IF($A77="","",1)</f>
        <v/>
      </c>
      <c r="C77" s="18" t="str">
        <f aca="false">IF($A77="","",IF(ISNUMBER(MATCH('My Colleges'!$B$21&amp;"|1",DB_Prompts!$A$2:$A$800,0)),INDEX(DB_Prompts!$D$2:$D$800,MATCH('My Colleges'!$B$21&amp;"|1",DB_Prompts!$A$2:$A$800,0)),IF('My Colleges'!$P$21=0,"No extra essays required.","Prompts not loaded yet: check this college's Admissions Page (last column on Explore) or its Common App page, and copy any prompts into Notes.")))</f>
        <v/>
      </c>
      <c r="D77" s="18" t="str">
        <f aca="false">IF(AND($A77&lt;&gt;"",ISNUMBER(MATCH('My Colleges'!$B$21&amp;"|1",DB_Prompts!$A$2:$A$800,0))),INDEX(DB_Prompts!$E$2:$E$800,MATCH('My Colleges'!$B$21&amp;"|1",DB_Prompts!$A$2:$A$800,0)),"")</f>
        <v/>
      </c>
      <c r="E77" s="18" t="str">
        <f aca="false">IF(AND($A77&lt;&gt;"",ISNUMBER(MATCH('My Colleges'!$B$21&amp;"|1",DB_Prompts!$A$2:$A$800,0))),INDEX(DB_Prompts!$F$2:$F$800,MATCH('My Colleges'!$B$21&amp;"|1",DB_Prompts!$A$2:$A$800,0)),"")</f>
        <v/>
      </c>
      <c r="F77" s="18" t="str">
        <f aca="false">IF(AND($A77&lt;&gt;"",ISNUMBER(MATCH('My Colleges'!$B$21&amp;"|1",DB_Prompts!$A$2:$A$800,0))),INDEX(DB_Prompts!$H$2:$H$800,MATCH('My Colleges'!$B$21&amp;"|1",DB_Prompts!$A$2:$A$800,0)),"")</f>
        <v/>
      </c>
      <c r="G77" s="18" t="str">
        <f aca="false">IF(AND($A77&lt;&gt;"",ISNUMBER(MATCH('My Colleges'!$B$21&amp;"|1",DB_Prompts!$A$2:$A$800,0))),INDEX(DB_Prompts!$G$2:$G$800,MATCH('My Colleges'!$B$21&amp;"|1",DB_Prompts!$A$2:$A$800,0)),"")</f>
        <v/>
      </c>
      <c r="H77" s="24"/>
      <c r="I77" s="17" t="str">
        <f aca="false">IF(AND($C77&lt;&gt;"",ISNUMBER('My Colleges'!$I$21)),'My Colleges'!$I$21-10,"")</f>
        <v/>
      </c>
      <c r="J77" s="24"/>
      <c r="K77" s="24"/>
    </row>
    <row r="78" customFormat="false" ht="15" hidden="false" customHeight="true" outlineLevel="0" collapsed="false">
      <c r="A78" s="18" t="str">
        <f aca="false">IF(AND(ISNUMBER(MATCH('My Colleges'!$B$21&amp;"|2",DB_Prompts!$A$2:$A$800,0)),'My Colleges'!$V$21&lt;&gt;"No"),'My Colleges'!$B$21,"")</f>
        <v/>
      </c>
      <c r="B78" s="18" t="str">
        <f aca="false">IF($A78="","",2)</f>
        <v/>
      </c>
      <c r="C78" s="18" t="str">
        <f aca="false">IF(AND($A78&lt;&gt;"",ISNUMBER(MATCH('My Colleges'!$B$21&amp;"|2",DB_Prompts!$A$2:$A$800,0))),INDEX(DB_Prompts!$D$2:$D$800,MATCH('My Colleges'!$B$21&amp;"|2",DB_Prompts!$A$2:$A$800,0)),"")</f>
        <v/>
      </c>
      <c r="D78" s="18" t="str">
        <f aca="false">IF(AND($A78&lt;&gt;"",ISNUMBER(MATCH('My Colleges'!$B$21&amp;"|2",DB_Prompts!$A$2:$A$800,0))),INDEX(DB_Prompts!$E$2:$E$800,MATCH('My Colleges'!$B$21&amp;"|2",DB_Prompts!$A$2:$A$800,0)),"")</f>
        <v/>
      </c>
      <c r="E78" s="18" t="str">
        <f aca="false">IF(AND($A78&lt;&gt;"",ISNUMBER(MATCH('My Colleges'!$B$21&amp;"|2",DB_Prompts!$A$2:$A$800,0))),INDEX(DB_Prompts!$F$2:$F$800,MATCH('My Colleges'!$B$21&amp;"|2",DB_Prompts!$A$2:$A$800,0)),"")</f>
        <v/>
      </c>
      <c r="F78" s="18" t="str">
        <f aca="false">IF(AND($A78&lt;&gt;"",ISNUMBER(MATCH('My Colleges'!$B$21&amp;"|2",DB_Prompts!$A$2:$A$800,0))),INDEX(DB_Prompts!$H$2:$H$800,MATCH('My Colleges'!$B$21&amp;"|2",DB_Prompts!$A$2:$A$800,0)),"")</f>
        <v/>
      </c>
      <c r="G78" s="18" t="str">
        <f aca="false">IF(AND($A78&lt;&gt;"",ISNUMBER(MATCH('My Colleges'!$B$21&amp;"|2",DB_Prompts!$A$2:$A$800,0))),INDEX(DB_Prompts!$G$2:$G$800,MATCH('My Colleges'!$B$21&amp;"|2",DB_Prompts!$A$2:$A$800,0)),"")</f>
        <v/>
      </c>
      <c r="H78" s="24"/>
      <c r="I78" s="17" t="str">
        <f aca="false">IF(AND($C78&lt;&gt;"",ISNUMBER('My Colleges'!$I$21)),'My Colleges'!$I$21-10,"")</f>
        <v/>
      </c>
      <c r="J78" s="24"/>
      <c r="K78" s="24"/>
    </row>
    <row r="79" customFormat="false" ht="15" hidden="false" customHeight="true" outlineLevel="0" collapsed="false">
      <c r="A79" s="18" t="str">
        <f aca="false">IF(AND(ISNUMBER(MATCH('My Colleges'!$B$21&amp;"|3",DB_Prompts!$A$2:$A$800,0)),'My Colleges'!$V$21&lt;&gt;"No"),'My Colleges'!$B$21,"")</f>
        <v/>
      </c>
      <c r="B79" s="18" t="str">
        <f aca="false">IF($A79="","",3)</f>
        <v/>
      </c>
      <c r="C79" s="18" t="str">
        <f aca="false">IF(AND($A79&lt;&gt;"",ISNUMBER(MATCH('My Colleges'!$B$21&amp;"|3",DB_Prompts!$A$2:$A$800,0))),INDEX(DB_Prompts!$D$2:$D$800,MATCH('My Colleges'!$B$21&amp;"|3",DB_Prompts!$A$2:$A$800,0)),"")</f>
        <v/>
      </c>
      <c r="D79" s="18" t="str">
        <f aca="false">IF(AND($A79&lt;&gt;"",ISNUMBER(MATCH('My Colleges'!$B$21&amp;"|3",DB_Prompts!$A$2:$A$800,0))),INDEX(DB_Prompts!$E$2:$E$800,MATCH('My Colleges'!$B$21&amp;"|3",DB_Prompts!$A$2:$A$800,0)),"")</f>
        <v/>
      </c>
      <c r="E79" s="18" t="str">
        <f aca="false">IF(AND($A79&lt;&gt;"",ISNUMBER(MATCH('My Colleges'!$B$21&amp;"|3",DB_Prompts!$A$2:$A$800,0))),INDEX(DB_Prompts!$F$2:$F$800,MATCH('My Colleges'!$B$21&amp;"|3",DB_Prompts!$A$2:$A$800,0)),"")</f>
        <v/>
      </c>
      <c r="F79" s="18" t="str">
        <f aca="false">IF(AND($A79&lt;&gt;"",ISNUMBER(MATCH('My Colleges'!$B$21&amp;"|3",DB_Prompts!$A$2:$A$800,0))),INDEX(DB_Prompts!$H$2:$H$800,MATCH('My Colleges'!$B$21&amp;"|3",DB_Prompts!$A$2:$A$800,0)),"")</f>
        <v/>
      </c>
      <c r="G79" s="18" t="str">
        <f aca="false">IF(AND($A79&lt;&gt;"",ISNUMBER(MATCH('My Colleges'!$B$21&amp;"|3",DB_Prompts!$A$2:$A$800,0))),INDEX(DB_Prompts!$G$2:$G$800,MATCH('My Colleges'!$B$21&amp;"|3",DB_Prompts!$A$2:$A$800,0)),"")</f>
        <v/>
      </c>
      <c r="H79" s="24"/>
      <c r="I79" s="17" t="str">
        <f aca="false">IF(AND($C79&lt;&gt;"",ISNUMBER('My Colleges'!$I$21)),'My Colleges'!$I$21-10,"")</f>
        <v/>
      </c>
      <c r="J79" s="24"/>
      <c r="K79" s="24"/>
    </row>
    <row r="80" customFormat="false" ht="15" hidden="false" customHeight="true" outlineLevel="0" collapsed="false">
      <c r="A80" s="18" t="str">
        <f aca="false">IF(AND(ISNUMBER(MATCH('My Colleges'!$B$21&amp;"|4",DB_Prompts!$A$2:$A$800,0)),'My Colleges'!$V$21&lt;&gt;"No"),'My Colleges'!$B$21,"")</f>
        <v/>
      </c>
      <c r="B80" s="18" t="str">
        <f aca="false">IF($A80="","",4)</f>
        <v/>
      </c>
      <c r="C80" s="18" t="str">
        <f aca="false">IF(AND($A80&lt;&gt;"",ISNUMBER(MATCH('My Colleges'!$B$21&amp;"|4",DB_Prompts!$A$2:$A$800,0))),INDEX(DB_Prompts!$D$2:$D$800,MATCH('My Colleges'!$B$21&amp;"|4",DB_Prompts!$A$2:$A$800,0)),"")</f>
        <v/>
      </c>
      <c r="D80" s="18" t="str">
        <f aca="false">IF(AND($A80&lt;&gt;"",ISNUMBER(MATCH('My Colleges'!$B$21&amp;"|4",DB_Prompts!$A$2:$A$800,0))),INDEX(DB_Prompts!$E$2:$E$800,MATCH('My Colleges'!$B$21&amp;"|4",DB_Prompts!$A$2:$A$800,0)),"")</f>
        <v/>
      </c>
      <c r="E80" s="18" t="str">
        <f aca="false">IF(AND($A80&lt;&gt;"",ISNUMBER(MATCH('My Colleges'!$B$21&amp;"|4",DB_Prompts!$A$2:$A$800,0))),INDEX(DB_Prompts!$F$2:$F$800,MATCH('My Colleges'!$B$21&amp;"|4",DB_Prompts!$A$2:$A$800,0)),"")</f>
        <v/>
      </c>
      <c r="F80" s="18" t="str">
        <f aca="false">IF(AND($A80&lt;&gt;"",ISNUMBER(MATCH('My Colleges'!$B$21&amp;"|4",DB_Prompts!$A$2:$A$800,0))),INDEX(DB_Prompts!$H$2:$H$800,MATCH('My Colleges'!$B$21&amp;"|4",DB_Prompts!$A$2:$A$800,0)),"")</f>
        <v/>
      </c>
      <c r="G80" s="18" t="str">
        <f aca="false">IF(AND($A80&lt;&gt;"",ISNUMBER(MATCH('My Colleges'!$B$21&amp;"|4",DB_Prompts!$A$2:$A$800,0))),INDEX(DB_Prompts!$G$2:$G$800,MATCH('My Colleges'!$B$21&amp;"|4",DB_Prompts!$A$2:$A$800,0)),"")</f>
        <v/>
      </c>
      <c r="H80" s="24"/>
      <c r="I80" s="17" t="str">
        <f aca="false">IF(AND($C80&lt;&gt;"",ISNUMBER('My Colleges'!$I$21)),'My Colleges'!$I$21-10,"")</f>
        <v/>
      </c>
      <c r="J80" s="24"/>
      <c r="K80" s="24"/>
    </row>
    <row r="81" customFormat="false" ht="15" hidden="false" customHeight="true" outlineLevel="0" collapsed="false">
      <c r="A81" s="18" t="str">
        <f aca="false">IF(AND(ISNUMBER(MATCH('My Colleges'!$B$21&amp;"|5",DB_Prompts!$A$2:$A$800,0)),'My Colleges'!$V$21&lt;&gt;"No"),'My Colleges'!$B$21,"")</f>
        <v/>
      </c>
      <c r="B81" s="18" t="str">
        <f aca="false">IF($A81="","",5)</f>
        <v/>
      </c>
      <c r="C81" s="18" t="str">
        <f aca="false">IF(AND($A81&lt;&gt;"",ISNUMBER(MATCH('My Colleges'!$B$21&amp;"|5",DB_Prompts!$A$2:$A$800,0))),INDEX(DB_Prompts!$D$2:$D$800,MATCH('My Colleges'!$B$21&amp;"|5",DB_Prompts!$A$2:$A$800,0)),"")</f>
        <v/>
      </c>
      <c r="D81" s="18" t="str">
        <f aca="false">IF(AND($A81&lt;&gt;"",ISNUMBER(MATCH('My Colleges'!$B$21&amp;"|5",DB_Prompts!$A$2:$A$800,0))),INDEX(DB_Prompts!$E$2:$E$800,MATCH('My Colleges'!$B$21&amp;"|5",DB_Prompts!$A$2:$A$800,0)),"")</f>
        <v/>
      </c>
      <c r="E81" s="18" t="str">
        <f aca="false">IF(AND($A81&lt;&gt;"",ISNUMBER(MATCH('My Colleges'!$B$21&amp;"|5",DB_Prompts!$A$2:$A$800,0))),INDEX(DB_Prompts!$F$2:$F$800,MATCH('My Colleges'!$B$21&amp;"|5",DB_Prompts!$A$2:$A$800,0)),"")</f>
        <v/>
      </c>
      <c r="F81" s="18" t="str">
        <f aca="false">IF(AND($A81&lt;&gt;"",ISNUMBER(MATCH('My Colleges'!$B$21&amp;"|5",DB_Prompts!$A$2:$A$800,0))),INDEX(DB_Prompts!$H$2:$H$800,MATCH('My Colleges'!$B$21&amp;"|5",DB_Prompts!$A$2:$A$800,0)),"")</f>
        <v/>
      </c>
      <c r="G81" s="18" t="str">
        <f aca="false">IF(AND($A81&lt;&gt;"",ISNUMBER(MATCH('My Colleges'!$B$21&amp;"|5",DB_Prompts!$A$2:$A$800,0))),INDEX(DB_Prompts!$G$2:$G$800,MATCH('My Colleges'!$B$21&amp;"|5",DB_Prompts!$A$2:$A$800,0)),"")</f>
        <v/>
      </c>
      <c r="H81" s="24"/>
      <c r="I81" s="17" t="str">
        <f aca="false">IF(AND($C81&lt;&gt;"",ISNUMBER('My Colleges'!$I$21)),'My Colleges'!$I$21-10,"")</f>
        <v/>
      </c>
      <c r="J81" s="24"/>
      <c r="K81" s="24"/>
    </row>
    <row r="82" customFormat="false" ht="15" hidden="false" customHeight="true" outlineLevel="0" collapsed="false">
      <c r="A82" s="18" t="str">
        <f aca="false">IF(OR('My Colleges'!$B$22="",'My Colleges'!$V$22="No"),"",'My Colleges'!$B$22)</f>
        <v/>
      </c>
      <c r="B82" s="18" t="str">
        <f aca="false">IF($A82="","",1)</f>
        <v/>
      </c>
      <c r="C82" s="18" t="str">
        <f aca="false">IF($A82="","",IF(ISNUMBER(MATCH('My Colleges'!$B$22&amp;"|1",DB_Prompts!$A$2:$A$800,0)),INDEX(DB_Prompts!$D$2:$D$800,MATCH('My Colleges'!$B$22&amp;"|1",DB_Prompts!$A$2:$A$800,0)),IF('My Colleges'!$P$22=0,"No extra essays required.","Prompts not loaded yet: check this college's Admissions Page (last column on Explore) or its Common App page, and copy any prompts into Notes.")))</f>
        <v/>
      </c>
      <c r="D82" s="18" t="str">
        <f aca="false">IF(AND($A82&lt;&gt;"",ISNUMBER(MATCH('My Colleges'!$B$22&amp;"|1",DB_Prompts!$A$2:$A$800,0))),INDEX(DB_Prompts!$E$2:$E$800,MATCH('My Colleges'!$B$22&amp;"|1",DB_Prompts!$A$2:$A$800,0)),"")</f>
        <v/>
      </c>
      <c r="E82" s="18" t="str">
        <f aca="false">IF(AND($A82&lt;&gt;"",ISNUMBER(MATCH('My Colleges'!$B$22&amp;"|1",DB_Prompts!$A$2:$A$800,0))),INDEX(DB_Prompts!$F$2:$F$800,MATCH('My Colleges'!$B$22&amp;"|1",DB_Prompts!$A$2:$A$800,0)),"")</f>
        <v/>
      </c>
      <c r="F82" s="18" t="str">
        <f aca="false">IF(AND($A82&lt;&gt;"",ISNUMBER(MATCH('My Colleges'!$B$22&amp;"|1",DB_Prompts!$A$2:$A$800,0))),INDEX(DB_Prompts!$H$2:$H$800,MATCH('My Colleges'!$B$22&amp;"|1",DB_Prompts!$A$2:$A$800,0)),"")</f>
        <v/>
      </c>
      <c r="G82" s="18" t="str">
        <f aca="false">IF(AND($A82&lt;&gt;"",ISNUMBER(MATCH('My Colleges'!$B$22&amp;"|1",DB_Prompts!$A$2:$A$800,0))),INDEX(DB_Prompts!$G$2:$G$800,MATCH('My Colleges'!$B$22&amp;"|1",DB_Prompts!$A$2:$A$800,0)),"")</f>
        <v/>
      </c>
      <c r="H82" s="24"/>
      <c r="I82" s="17" t="str">
        <f aca="false">IF(AND($C82&lt;&gt;"",ISNUMBER('My Colleges'!$I$22)),'My Colleges'!$I$22-10,"")</f>
        <v/>
      </c>
      <c r="J82" s="24"/>
      <c r="K82" s="24"/>
    </row>
    <row r="83" customFormat="false" ht="15" hidden="false" customHeight="true" outlineLevel="0" collapsed="false">
      <c r="A83" s="18" t="str">
        <f aca="false">IF(AND(ISNUMBER(MATCH('My Colleges'!$B$22&amp;"|2",DB_Prompts!$A$2:$A$800,0)),'My Colleges'!$V$22&lt;&gt;"No"),'My Colleges'!$B$22,"")</f>
        <v/>
      </c>
      <c r="B83" s="18" t="str">
        <f aca="false">IF($A83="","",2)</f>
        <v/>
      </c>
      <c r="C83" s="18" t="str">
        <f aca="false">IF(AND($A83&lt;&gt;"",ISNUMBER(MATCH('My Colleges'!$B$22&amp;"|2",DB_Prompts!$A$2:$A$800,0))),INDEX(DB_Prompts!$D$2:$D$800,MATCH('My Colleges'!$B$22&amp;"|2",DB_Prompts!$A$2:$A$800,0)),"")</f>
        <v/>
      </c>
      <c r="D83" s="18" t="str">
        <f aca="false">IF(AND($A83&lt;&gt;"",ISNUMBER(MATCH('My Colleges'!$B$22&amp;"|2",DB_Prompts!$A$2:$A$800,0))),INDEX(DB_Prompts!$E$2:$E$800,MATCH('My Colleges'!$B$22&amp;"|2",DB_Prompts!$A$2:$A$800,0)),"")</f>
        <v/>
      </c>
      <c r="E83" s="18" t="str">
        <f aca="false">IF(AND($A83&lt;&gt;"",ISNUMBER(MATCH('My Colleges'!$B$22&amp;"|2",DB_Prompts!$A$2:$A$800,0))),INDEX(DB_Prompts!$F$2:$F$800,MATCH('My Colleges'!$B$22&amp;"|2",DB_Prompts!$A$2:$A$800,0)),"")</f>
        <v/>
      </c>
      <c r="F83" s="18" t="str">
        <f aca="false">IF(AND($A83&lt;&gt;"",ISNUMBER(MATCH('My Colleges'!$B$22&amp;"|2",DB_Prompts!$A$2:$A$800,0))),INDEX(DB_Prompts!$H$2:$H$800,MATCH('My Colleges'!$B$22&amp;"|2",DB_Prompts!$A$2:$A$800,0)),"")</f>
        <v/>
      </c>
      <c r="G83" s="18" t="str">
        <f aca="false">IF(AND($A83&lt;&gt;"",ISNUMBER(MATCH('My Colleges'!$B$22&amp;"|2",DB_Prompts!$A$2:$A$800,0))),INDEX(DB_Prompts!$G$2:$G$800,MATCH('My Colleges'!$B$22&amp;"|2",DB_Prompts!$A$2:$A$800,0)),"")</f>
        <v/>
      </c>
      <c r="H83" s="24"/>
      <c r="I83" s="17" t="str">
        <f aca="false">IF(AND($C83&lt;&gt;"",ISNUMBER('My Colleges'!$I$22)),'My Colleges'!$I$22-10,"")</f>
        <v/>
      </c>
      <c r="J83" s="24"/>
      <c r="K83" s="24"/>
    </row>
    <row r="84" customFormat="false" ht="15" hidden="false" customHeight="true" outlineLevel="0" collapsed="false">
      <c r="A84" s="18" t="str">
        <f aca="false">IF(AND(ISNUMBER(MATCH('My Colleges'!$B$22&amp;"|3",DB_Prompts!$A$2:$A$800,0)),'My Colleges'!$V$22&lt;&gt;"No"),'My Colleges'!$B$22,"")</f>
        <v/>
      </c>
      <c r="B84" s="18" t="str">
        <f aca="false">IF($A84="","",3)</f>
        <v/>
      </c>
      <c r="C84" s="18" t="str">
        <f aca="false">IF(AND($A84&lt;&gt;"",ISNUMBER(MATCH('My Colleges'!$B$22&amp;"|3",DB_Prompts!$A$2:$A$800,0))),INDEX(DB_Prompts!$D$2:$D$800,MATCH('My Colleges'!$B$22&amp;"|3",DB_Prompts!$A$2:$A$800,0)),"")</f>
        <v/>
      </c>
      <c r="D84" s="18" t="str">
        <f aca="false">IF(AND($A84&lt;&gt;"",ISNUMBER(MATCH('My Colleges'!$B$22&amp;"|3",DB_Prompts!$A$2:$A$800,0))),INDEX(DB_Prompts!$E$2:$E$800,MATCH('My Colleges'!$B$22&amp;"|3",DB_Prompts!$A$2:$A$800,0)),"")</f>
        <v/>
      </c>
      <c r="E84" s="18" t="str">
        <f aca="false">IF(AND($A84&lt;&gt;"",ISNUMBER(MATCH('My Colleges'!$B$22&amp;"|3",DB_Prompts!$A$2:$A$800,0))),INDEX(DB_Prompts!$F$2:$F$800,MATCH('My Colleges'!$B$22&amp;"|3",DB_Prompts!$A$2:$A$800,0)),"")</f>
        <v/>
      </c>
      <c r="F84" s="18" t="str">
        <f aca="false">IF(AND($A84&lt;&gt;"",ISNUMBER(MATCH('My Colleges'!$B$22&amp;"|3",DB_Prompts!$A$2:$A$800,0))),INDEX(DB_Prompts!$H$2:$H$800,MATCH('My Colleges'!$B$22&amp;"|3",DB_Prompts!$A$2:$A$800,0)),"")</f>
        <v/>
      </c>
      <c r="G84" s="18" t="str">
        <f aca="false">IF(AND($A84&lt;&gt;"",ISNUMBER(MATCH('My Colleges'!$B$22&amp;"|3",DB_Prompts!$A$2:$A$800,0))),INDEX(DB_Prompts!$G$2:$G$800,MATCH('My Colleges'!$B$22&amp;"|3",DB_Prompts!$A$2:$A$800,0)),"")</f>
        <v/>
      </c>
      <c r="H84" s="24"/>
      <c r="I84" s="17" t="str">
        <f aca="false">IF(AND($C84&lt;&gt;"",ISNUMBER('My Colleges'!$I$22)),'My Colleges'!$I$22-10,"")</f>
        <v/>
      </c>
      <c r="J84" s="24"/>
      <c r="K84" s="24"/>
    </row>
    <row r="85" customFormat="false" ht="15" hidden="false" customHeight="true" outlineLevel="0" collapsed="false">
      <c r="A85" s="18" t="str">
        <f aca="false">IF(AND(ISNUMBER(MATCH('My Colleges'!$B$22&amp;"|4",DB_Prompts!$A$2:$A$800,0)),'My Colleges'!$V$22&lt;&gt;"No"),'My Colleges'!$B$22,"")</f>
        <v/>
      </c>
      <c r="B85" s="18" t="str">
        <f aca="false">IF($A85="","",4)</f>
        <v/>
      </c>
      <c r="C85" s="18" t="str">
        <f aca="false">IF(AND($A85&lt;&gt;"",ISNUMBER(MATCH('My Colleges'!$B$22&amp;"|4",DB_Prompts!$A$2:$A$800,0))),INDEX(DB_Prompts!$D$2:$D$800,MATCH('My Colleges'!$B$22&amp;"|4",DB_Prompts!$A$2:$A$800,0)),"")</f>
        <v/>
      </c>
      <c r="D85" s="18" t="str">
        <f aca="false">IF(AND($A85&lt;&gt;"",ISNUMBER(MATCH('My Colleges'!$B$22&amp;"|4",DB_Prompts!$A$2:$A$800,0))),INDEX(DB_Prompts!$E$2:$E$800,MATCH('My Colleges'!$B$22&amp;"|4",DB_Prompts!$A$2:$A$800,0)),"")</f>
        <v/>
      </c>
      <c r="E85" s="18" t="str">
        <f aca="false">IF(AND($A85&lt;&gt;"",ISNUMBER(MATCH('My Colleges'!$B$22&amp;"|4",DB_Prompts!$A$2:$A$800,0))),INDEX(DB_Prompts!$F$2:$F$800,MATCH('My Colleges'!$B$22&amp;"|4",DB_Prompts!$A$2:$A$800,0)),"")</f>
        <v/>
      </c>
      <c r="F85" s="18" t="str">
        <f aca="false">IF(AND($A85&lt;&gt;"",ISNUMBER(MATCH('My Colleges'!$B$22&amp;"|4",DB_Prompts!$A$2:$A$800,0))),INDEX(DB_Prompts!$H$2:$H$800,MATCH('My Colleges'!$B$22&amp;"|4",DB_Prompts!$A$2:$A$800,0)),"")</f>
        <v/>
      </c>
      <c r="G85" s="18" t="str">
        <f aca="false">IF(AND($A85&lt;&gt;"",ISNUMBER(MATCH('My Colleges'!$B$22&amp;"|4",DB_Prompts!$A$2:$A$800,0))),INDEX(DB_Prompts!$G$2:$G$800,MATCH('My Colleges'!$B$22&amp;"|4",DB_Prompts!$A$2:$A$800,0)),"")</f>
        <v/>
      </c>
      <c r="H85" s="24"/>
      <c r="I85" s="17" t="str">
        <f aca="false">IF(AND($C85&lt;&gt;"",ISNUMBER('My Colleges'!$I$22)),'My Colleges'!$I$22-10,"")</f>
        <v/>
      </c>
      <c r="J85" s="24"/>
      <c r="K85" s="24"/>
    </row>
    <row r="86" customFormat="false" ht="15" hidden="false" customHeight="true" outlineLevel="0" collapsed="false">
      <c r="A86" s="18" t="str">
        <f aca="false">IF(AND(ISNUMBER(MATCH('My Colleges'!$B$22&amp;"|5",DB_Prompts!$A$2:$A$800,0)),'My Colleges'!$V$22&lt;&gt;"No"),'My Colleges'!$B$22,"")</f>
        <v/>
      </c>
      <c r="B86" s="18" t="str">
        <f aca="false">IF($A86="","",5)</f>
        <v/>
      </c>
      <c r="C86" s="18" t="str">
        <f aca="false">IF(AND($A86&lt;&gt;"",ISNUMBER(MATCH('My Colleges'!$B$22&amp;"|5",DB_Prompts!$A$2:$A$800,0))),INDEX(DB_Prompts!$D$2:$D$800,MATCH('My Colleges'!$B$22&amp;"|5",DB_Prompts!$A$2:$A$800,0)),"")</f>
        <v/>
      </c>
      <c r="D86" s="18" t="str">
        <f aca="false">IF(AND($A86&lt;&gt;"",ISNUMBER(MATCH('My Colleges'!$B$22&amp;"|5",DB_Prompts!$A$2:$A$800,0))),INDEX(DB_Prompts!$E$2:$E$800,MATCH('My Colleges'!$B$22&amp;"|5",DB_Prompts!$A$2:$A$800,0)),"")</f>
        <v/>
      </c>
      <c r="E86" s="18" t="str">
        <f aca="false">IF(AND($A86&lt;&gt;"",ISNUMBER(MATCH('My Colleges'!$B$22&amp;"|5",DB_Prompts!$A$2:$A$800,0))),INDEX(DB_Prompts!$F$2:$F$800,MATCH('My Colleges'!$B$22&amp;"|5",DB_Prompts!$A$2:$A$800,0)),"")</f>
        <v/>
      </c>
      <c r="F86" s="18" t="str">
        <f aca="false">IF(AND($A86&lt;&gt;"",ISNUMBER(MATCH('My Colleges'!$B$22&amp;"|5",DB_Prompts!$A$2:$A$800,0))),INDEX(DB_Prompts!$H$2:$H$800,MATCH('My Colleges'!$B$22&amp;"|5",DB_Prompts!$A$2:$A$800,0)),"")</f>
        <v/>
      </c>
      <c r="G86" s="18" t="str">
        <f aca="false">IF(AND($A86&lt;&gt;"",ISNUMBER(MATCH('My Colleges'!$B$22&amp;"|5",DB_Prompts!$A$2:$A$800,0))),INDEX(DB_Prompts!$G$2:$G$800,MATCH('My Colleges'!$B$22&amp;"|5",DB_Prompts!$A$2:$A$800,0)),"")</f>
        <v/>
      </c>
      <c r="H86" s="24"/>
      <c r="I86" s="17" t="str">
        <f aca="false">IF(AND($C86&lt;&gt;"",ISNUMBER('My Colleges'!$I$22)),'My Colleges'!$I$22-10,"")</f>
        <v/>
      </c>
      <c r="J86" s="24"/>
      <c r="K86" s="24"/>
    </row>
    <row r="87" customFormat="false" ht="15" hidden="false" customHeight="true" outlineLevel="0" collapsed="false">
      <c r="A87" s="18" t="str">
        <f aca="false">IF(OR('My Colleges'!$B$23="",'My Colleges'!$V$23="No"),"",'My Colleges'!$B$23)</f>
        <v/>
      </c>
      <c r="B87" s="18" t="str">
        <f aca="false">IF($A87="","",1)</f>
        <v/>
      </c>
      <c r="C87" s="18" t="str">
        <f aca="false">IF($A87="","",IF(ISNUMBER(MATCH('My Colleges'!$B$23&amp;"|1",DB_Prompts!$A$2:$A$800,0)),INDEX(DB_Prompts!$D$2:$D$800,MATCH('My Colleges'!$B$23&amp;"|1",DB_Prompts!$A$2:$A$800,0)),IF('My Colleges'!$P$23=0,"No extra essays required.","Prompts not loaded yet: check this college's Admissions Page (last column on Explore) or its Common App page, and copy any prompts into Notes.")))</f>
        <v/>
      </c>
      <c r="D87" s="18" t="str">
        <f aca="false">IF(AND($A87&lt;&gt;"",ISNUMBER(MATCH('My Colleges'!$B$23&amp;"|1",DB_Prompts!$A$2:$A$800,0))),INDEX(DB_Prompts!$E$2:$E$800,MATCH('My Colleges'!$B$23&amp;"|1",DB_Prompts!$A$2:$A$800,0)),"")</f>
        <v/>
      </c>
      <c r="E87" s="18" t="str">
        <f aca="false">IF(AND($A87&lt;&gt;"",ISNUMBER(MATCH('My Colleges'!$B$23&amp;"|1",DB_Prompts!$A$2:$A$800,0))),INDEX(DB_Prompts!$F$2:$F$800,MATCH('My Colleges'!$B$23&amp;"|1",DB_Prompts!$A$2:$A$800,0)),"")</f>
        <v/>
      </c>
      <c r="F87" s="18" t="str">
        <f aca="false">IF(AND($A87&lt;&gt;"",ISNUMBER(MATCH('My Colleges'!$B$23&amp;"|1",DB_Prompts!$A$2:$A$800,0))),INDEX(DB_Prompts!$H$2:$H$800,MATCH('My Colleges'!$B$23&amp;"|1",DB_Prompts!$A$2:$A$800,0)),"")</f>
        <v/>
      </c>
      <c r="G87" s="18" t="str">
        <f aca="false">IF(AND($A87&lt;&gt;"",ISNUMBER(MATCH('My Colleges'!$B$23&amp;"|1",DB_Prompts!$A$2:$A$800,0))),INDEX(DB_Prompts!$G$2:$G$800,MATCH('My Colleges'!$B$23&amp;"|1",DB_Prompts!$A$2:$A$800,0)),"")</f>
        <v/>
      </c>
      <c r="H87" s="24"/>
      <c r="I87" s="17" t="str">
        <f aca="false">IF(AND($C87&lt;&gt;"",ISNUMBER('My Colleges'!$I$23)),'My Colleges'!$I$23-10,"")</f>
        <v/>
      </c>
      <c r="J87" s="24"/>
      <c r="K87" s="24"/>
    </row>
    <row r="88" customFormat="false" ht="15" hidden="false" customHeight="true" outlineLevel="0" collapsed="false">
      <c r="A88" s="18" t="str">
        <f aca="false">IF(AND(ISNUMBER(MATCH('My Colleges'!$B$23&amp;"|2",DB_Prompts!$A$2:$A$800,0)),'My Colleges'!$V$23&lt;&gt;"No"),'My Colleges'!$B$23,"")</f>
        <v/>
      </c>
      <c r="B88" s="18" t="str">
        <f aca="false">IF($A88="","",2)</f>
        <v/>
      </c>
      <c r="C88" s="18" t="str">
        <f aca="false">IF(AND($A88&lt;&gt;"",ISNUMBER(MATCH('My Colleges'!$B$23&amp;"|2",DB_Prompts!$A$2:$A$800,0))),INDEX(DB_Prompts!$D$2:$D$800,MATCH('My Colleges'!$B$23&amp;"|2",DB_Prompts!$A$2:$A$800,0)),"")</f>
        <v/>
      </c>
      <c r="D88" s="18" t="str">
        <f aca="false">IF(AND($A88&lt;&gt;"",ISNUMBER(MATCH('My Colleges'!$B$23&amp;"|2",DB_Prompts!$A$2:$A$800,0))),INDEX(DB_Prompts!$E$2:$E$800,MATCH('My Colleges'!$B$23&amp;"|2",DB_Prompts!$A$2:$A$800,0)),"")</f>
        <v/>
      </c>
      <c r="E88" s="18" t="str">
        <f aca="false">IF(AND($A88&lt;&gt;"",ISNUMBER(MATCH('My Colleges'!$B$23&amp;"|2",DB_Prompts!$A$2:$A$800,0))),INDEX(DB_Prompts!$F$2:$F$800,MATCH('My Colleges'!$B$23&amp;"|2",DB_Prompts!$A$2:$A$800,0)),"")</f>
        <v/>
      </c>
      <c r="F88" s="18" t="str">
        <f aca="false">IF(AND($A88&lt;&gt;"",ISNUMBER(MATCH('My Colleges'!$B$23&amp;"|2",DB_Prompts!$A$2:$A$800,0))),INDEX(DB_Prompts!$H$2:$H$800,MATCH('My Colleges'!$B$23&amp;"|2",DB_Prompts!$A$2:$A$800,0)),"")</f>
        <v/>
      </c>
      <c r="G88" s="18" t="str">
        <f aca="false">IF(AND($A88&lt;&gt;"",ISNUMBER(MATCH('My Colleges'!$B$23&amp;"|2",DB_Prompts!$A$2:$A$800,0))),INDEX(DB_Prompts!$G$2:$G$800,MATCH('My Colleges'!$B$23&amp;"|2",DB_Prompts!$A$2:$A$800,0)),"")</f>
        <v/>
      </c>
      <c r="H88" s="24"/>
      <c r="I88" s="17" t="str">
        <f aca="false">IF(AND($C88&lt;&gt;"",ISNUMBER('My Colleges'!$I$23)),'My Colleges'!$I$23-10,"")</f>
        <v/>
      </c>
      <c r="J88" s="24"/>
      <c r="K88" s="24"/>
    </row>
    <row r="89" customFormat="false" ht="15" hidden="false" customHeight="true" outlineLevel="0" collapsed="false">
      <c r="A89" s="18" t="str">
        <f aca="false">IF(AND(ISNUMBER(MATCH('My Colleges'!$B$23&amp;"|3",DB_Prompts!$A$2:$A$800,0)),'My Colleges'!$V$23&lt;&gt;"No"),'My Colleges'!$B$23,"")</f>
        <v/>
      </c>
      <c r="B89" s="18" t="str">
        <f aca="false">IF($A89="","",3)</f>
        <v/>
      </c>
      <c r="C89" s="18" t="str">
        <f aca="false">IF(AND($A89&lt;&gt;"",ISNUMBER(MATCH('My Colleges'!$B$23&amp;"|3",DB_Prompts!$A$2:$A$800,0))),INDEX(DB_Prompts!$D$2:$D$800,MATCH('My Colleges'!$B$23&amp;"|3",DB_Prompts!$A$2:$A$800,0)),"")</f>
        <v/>
      </c>
      <c r="D89" s="18" t="str">
        <f aca="false">IF(AND($A89&lt;&gt;"",ISNUMBER(MATCH('My Colleges'!$B$23&amp;"|3",DB_Prompts!$A$2:$A$800,0))),INDEX(DB_Prompts!$E$2:$E$800,MATCH('My Colleges'!$B$23&amp;"|3",DB_Prompts!$A$2:$A$800,0)),"")</f>
        <v/>
      </c>
      <c r="E89" s="18" t="str">
        <f aca="false">IF(AND($A89&lt;&gt;"",ISNUMBER(MATCH('My Colleges'!$B$23&amp;"|3",DB_Prompts!$A$2:$A$800,0))),INDEX(DB_Prompts!$F$2:$F$800,MATCH('My Colleges'!$B$23&amp;"|3",DB_Prompts!$A$2:$A$800,0)),"")</f>
        <v/>
      </c>
      <c r="F89" s="18" t="str">
        <f aca="false">IF(AND($A89&lt;&gt;"",ISNUMBER(MATCH('My Colleges'!$B$23&amp;"|3",DB_Prompts!$A$2:$A$800,0))),INDEX(DB_Prompts!$H$2:$H$800,MATCH('My Colleges'!$B$23&amp;"|3",DB_Prompts!$A$2:$A$800,0)),"")</f>
        <v/>
      </c>
      <c r="G89" s="18" t="str">
        <f aca="false">IF(AND($A89&lt;&gt;"",ISNUMBER(MATCH('My Colleges'!$B$23&amp;"|3",DB_Prompts!$A$2:$A$800,0))),INDEX(DB_Prompts!$G$2:$G$800,MATCH('My Colleges'!$B$23&amp;"|3",DB_Prompts!$A$2:$A$800,0)),"")</f>
        <v/>
      </c>
      <c r="H89" s="24"/>
      <c r="I89" s="17" t="str">
        <f aca="false">IF(AND($C89&lt;&gt;"",ISNUMBER('My Colleges'!$I$23)),'My Colleges'!$I$23-10,"")</f>
        <v/>
      </c>
      <c r="J89" s="24"/>
      <c r="K89" s="24"/>
    </row>
    <row r="90" customFormat="false" ht="15" hidden="false" customHeight="true" outlineLevel="0" collapsed="false">
      <c r="A90" s="18" t="str">
        <f aca="false">IF(AND(ISNUMBER(MATCH('My Colleges'!$B$23&amp;"|4",DB_Prompts!$A$2:$A$800,0)),'My Colleges'!$V$23&lt;&gt;"No"),'My Colleges'!$B$23,"")</f>
        <v/>
      </c>
      <c r="B90" s="18" t="str">
        <f aca="false">IF($A90="","",4)</f>
        <v/>
      </c>
      <c r="C90" s="18" t="str">
        <f aca="false">IF(AND($A90&lt;&gt;"",ISNUMBER(MATCH('My Colleges'!$B$23&amp;"|4",DB_Prompts!$A$2:$A$800,0))),INDEX(DB_Prompts!$D$2:$D$800,MATCH('My Colleges'!$B$23&amp;"|4",DB_Prompts!$A$2:$A$800,0)),"")</f>
        <v/>
      </c>
      <c r="D90" s="18" t="str">
        <f aca="false">IF(AND($A90&lt;&gt;"",ISNUMBER(MATCH('My Colleges'!$B$23&amp;"|4",DB_Prompts!$A$2:$A$800,0))),INDEX(DB_Prompts!$E$2:$E$800,MATCH('My Colleges'!$B$23&amp;"|4",DB_Prompts!$A$2:$A$800,0)),"")</f>
        <v/>
      </c>
      <c r="E90" s="18" t="str">
        <f aca="false">IF(AND($A90&lt;&gt;"",ISNUMBER(MATCH('My Colleges'!$B$23&amp;"|4",DB_Prompts!$A$2:$A$800,0))),INDEX(DB_Prompts!$F$2:$F$800,MATCH('My Colleges'!$B$23&amp;"|4",DB_Prompts!$A$2:$A$800,0)),"")</f>
        <v/>
      </c>
      <c r="F90" s="18" t="str">
        <f aca="false">IF(AND($A90&lt;&gt;"",ISNUMBER(MATCH('My Colleges'!$B$23&amp;"|4",DB_Prompts!$A$2:$A$800,0))),INDEX(DB_Prompts!$H$2:$H$800,MATCH('My Colleges'!$B$23&amp;"|4",DB_Prompts!$A$2:$A$800,0)),"")</f>
        <v/>
      </c>
      <c r="G90" s="18" t="str">
        <f aca="false">IF(AND($A90&lt;&gt;"",ISNUMBER(MATCH('My Colleges'!$B$23&amp;"|4",DB_Prompts!$A$2:$A$800,0))),INDEX(DB_Prompts!$G$2:$G$800,MATCH('My Colleges'!$B$23&amp;"|4",DB_Prompts!$A$2:$A$800,0)),"")</f>
        <v/>
      </c>
      <c r="H90" s="24"/>
      <c r="I90" s="17" t="str">
        <f aca="false">IF(AND($C90&lt;&gt;"",ISNUMBER('My Colleges'!$I$23)),'My Colleges'!$I$23-10,"")</f>
        <v/>
      </c>
      <c r="J90" s="24"/>
      <c r="K90" s="24"/>
    </row>
    <row r="91" customFormat="false" ht="15" hidden="false" customHeight="true" outlineLevel="0" collapsed="false">
      <c r="A91" s="18" t="str">
        <f aca="false">IF(AND(ISNUMBER(MATCH('My Colleges'!$B$23&amp;"|5",DB_Prompts!$A$2:$A$800,0)),'My Colleges'!$V$23&lt;&gt;"No"),'My Colleges'!$B$23,"")</f>
        <v/>
      </c>
      <c r="B91" s="18" t="str">
        <f aca="false">IF($A91="","",5)</f>
        <v/>
      </c>
      <c r="C91" s="18" t="str">
        <f aca="false">IF(AND($A91&lt;&gt;"",ISNUMBER(MATCH('My Colleges'!$B$23&amp;"|5",DB_Prompts!$A$2:$A$800,0))),INDEX(DB_Prompts!$D$2:$D$800,MATCH('My Colleges'!$B$23&amp;"|5",DB_Prompts!$A$2:$A$800,0)),"")</f>
        <v/>
      </c>
      <c r="D91" s="18" t="str">
        <f aca="false">IF(AND($A91&lt;&gt;"",ISNUMBER(MATCH('My Colleges'!$B$23&amp;"|5",DB_Prompts!$A$2:$A$800,0))),INDEX(DB_Prompts!$E$2:$E$800,MATCH('My Colleges'!$B$23&amp;"|5",DB_Prompts!$A$2:$A$800,0)),"")</f>
        <v/>
      </c>
      <c r="E91" s="18" t="str">
        <f aca="false">IF(AND($A91&lt;&gt;"",ISNUMBER(MATCH('My Colleges'!$B$23&amp;"|5",DB_Prompts!$A$2:$A$800,0))),INDEX(DB_Prompts!$F$2:$F$800,MATCH('My Colleges'!$B$23&amp;"|5",DB_Prompts!$A$2:$A$800,0)),"")</f>
        <v/>
      </c>
      <c r="F91" s="18" t="str">
        <f aca="false">IF(AND($A91&lt;&gt;"",ISNUMBER(MATCH('My Colleges'!$B$23&amp;"|5",DB_Prompts!$A$2:$A$800,0))),INDEX(DB_Prompts!$H$2:$H$800,MATCH('My Colleges'!$B$23&amp;"|5",DB_Prompts!$A$2:$A$800,0)),"")</f>
        <v/>
      </c>
      <c r="G91" s="18" t="str">
        <f aca="false">IF(AND($A91&lt;&gt;"",ISNUMBER(MATCH('My Colleges'!$B$23&amp;"|5",DB_Prompts!$A$2:$A$800,0))),INDEX(DB_Prompts!$G$2:$G$800,MATCH('My Colleges'!$B$23&amp;"|5",DB_Prompts!$A$2:$A$800,0)),"")</f>
        <v/>
      </c>
      <c r="H91" s="24"/>
      <c r="I91" s="17" t="str">
        <f aca="false">IF(AND($C91&lt;&gt;"",ISNUMBER('My Colleges'!$I$23)),'My Colleges'!$I$23-10,"")</f>
        <v/>
      </c>
      <c r="J91" s="24"/>
      <c r="K91" s="24"/>
    </row>
    <row r="92" customFormat="false" ht="15" hidden="false" customHeight="true" outlineLevel="0" collapsed="false">
      <c r="A92" s="18" t="str">
        <f aca="false">IF(OR('My Colleges'!$B$24="",'My Colleges'!$V$24="No"),"",'My Colleges'!$B$24)</f>
        <v/>
      </c>
      <c r="B92" s="18" t="str">
        <f aca="false">IF($A92="","",1)</f>
        <v/>
      </c>
      <c r="C92" s="18" t="str">
        <f aca="false">IF($A92="","",IF(ISNUMBER(MATCH('My Colleges'!$B$24&amp;"|1",DB_Prompts!$A$2:$A$800,0)),INDEX(DB_Prompts!$D$2:$D$800,MATCH('My Colleges'!$B$24&amp;"|1",DB_Prompts!$A$2:$A$800,0)),IF('My Colleges'!$P$24=0,"No extra essays required.","Prompts not loaded yet: check this college's Admissions Page (last column on Explore) or its Common App page, and copy any prompts into Notes.")))</f>
        <v/>
      </c>
      <c r="D92" s="18" t="str">
        <f aca="false">IF(AND($A92&lt;&gt;"",ISNUMBER(MATCH('My Colleges'!$B$24&amp;"|1",DB_Prompts!$A$2:$A$800,0))),INDEX(DB_Prompts!$E$2:$E$800,MATCH('My Colleges'!$B$24&amp;"|1",DB_Prompts!$A$2:$A$800,0)),"")</f>
        <v/>
      </c>
      <c r="E92" s="18" t="str">
        <f aca="false">IF(AND($A92&lt;&gt;"",ISNUMBER(MATCH('My Colleges'!$B$24&amp;"|1",DB_Prompts!$A$2:$A$800,0))),INDEX(DB_Prompts!$F$2:$F$800,MATCH('My Colleges'!$B$24&amp;"|1",DB_Prompts!$A$2:$A$800,0)),"")</f>
        <v/>
      </c>
      <c r="F92" s="18" t="str">
        <f aca="false">IF(AND($A92&lt;&gt;"",ISNUMBER(MATCH('My Colleges'!$B$24&amp;"|1",DB_Prompts!$A$2:$A$800,0))),INDEX(DB_Prompts!$H$2:$H$800,MATCH('My Colleges'!$B$24&amp;"|1",DB_Prompts!$A$2:$A$800,0)),"")</f>
        <v/>
      </c>
      <c r="G92" s="18" t="str">
        <f aca="false">IF(AND($A92&lt;&gt;"",ISNUMBER(MATCH('My Colleges'!$B$24&amp;"|1",DB_Prompts!$A$2:$A$800,0))),INDEX(DB_Prompts!$G$2:$G$800,MATCH('My Colleges'!$B$24&amp;"|1",DB_Prompts!$A$2:$A$800,0)),"")</f>
        <v/>
      </c>
      <c r="H92" s="24"/>
      <c r="I92" s="17" t="str">
        <f aca="false">IF(AND($C92&lt;&gt;"",ISNUMBER('My Colleges'!$I$24)),'My Colleges'!$I$24-10,"")</f>
        <v/>
      </c>
      <c r="J92" s="24"/>
      <c r="K92" s="24"/>
    </row>
    <row r="93" customFormat="false" ht="15" hidden="false" customHeight="true" outlineLevel="0" collapsed="false">
      <c r="A93" s="18" t="str">
        <f aca="false">IF(AND(ISNUMBER(MATCH('My Colleges'!$B$24&amp;"|2",DB_Prompts!$A$2:$A$800,0)),'My Colleges'!$V$24&lt;&gt;"No"),'My Colleges'!$B$24,"")</f>
        <v/>
      </c>
      <c r="B93" s="18" t="str">
        <f aca="false">IF($A93="","",2)</f>
        <v/>
      </c>
      <c r="C93" s="18" t="str">
        <f aca="false">IF(AND($A93&lt;&gt;"",ISNUMBER(MATCH('My Colleges'!$B$24&amp;"|2",DB_Prompts!$A$2:$A$800,0))),INDEX(DB_Prompts!$D$2:$D$800,MATCH('My Colleges'!$B$24&amp;"|2",DB_Prompts!$A$2:$A$800,0)),"")</f>
        <v/>
      </c>
      <c r="D93" s="18" t="str">
        <f aca="false">IF(AND($A93&lt;&gt;"",ISNUMBER(MATCH('My Colleges'!$B$24&amp;"|2",DB_Prompts!$A$2:$A$800,0))),INDEX(DB_Prompts!$E$2:$E$800,MATCH('My Colleges'!$B$24&amp;"|2",DB_Prompts!$A$2:$A$800,0)),"")</f>
        <v/>
      </c>
      <c r="E93" s="18" t="str">
        <f aca="false">IF(AND($A93&lt;&gt;"",ISNUMBER(MATCH('My Colleges'!$B$24&amp;"|2",DB_Prompts!$A$2:$A$800,0))),INDEX(DB_Prompts!$F$2:$F$800,MATCH('My Colleges'!$B$24&amp;"|2",DB_Prompts!$A$2:$A$800,0)),"")</f>
        <v/>
      </c>
      <c r="F93" s="18" t="str">
        <f aca="false">IF(AND($A93&lt;&gt;"",ISNUMBER(MATCH('My Colleges'!$B$24&amp;"|2",DB_Prompts!$A$2:$A$800,0))),INDEX(DB_Prompts!$H$2:$H$800,MATCH('My Colleges'!$B$24&amp;"|2",DB_Prompts!$A$2:$A$800,0)),"")</f>
        <v/>
      </c>
      <c r="G93" s="18" t="str">
        <f aca="false">IF(AND($A93&lt;&gt;"",ISNUMBER(MATCH('My Colleges'!$B$24&amp;"|2",DB_Prompts!$A$2:$A$800,0))),INDEX(DB_Prompts!$G$2:$G$800,MATCH('My Colleges'!$B$24&amp;"|2",DB_Prompts!$A$2:$A$800,0)),"")</f>
        <v/>
      </c>
      <c r="H93" s="24"/>
      <c r="I93" s="17" t="str">
        <f aca="false">IF(AND($C93&lt;&gt;"",ISNUMBER('My Colleges'!$I$24)),'My Colleges'!$I$24-10,"")</f>
        <v/>
      </c>
      <c r="J93" s="24"/>
      <c r="K93" s="24"/>
    </row>
    <row r="94" customFormat="false" ht="15" hidden="false" customHeight="true" outlineLevel="0" collapsed="false">
      <c r="A94" s="18" t="str">
        <f aca="false">IF(AND(ISNUMBER(MATCH('My Colleges'!$B$24&amp;"|3",DB_Prompts!$A$2:$A$800,0)),'My Colleges'!$V$24&lt;&gt;"No"),'My Colleges'!$B$24,"")</f>
        <v/>
      </c>
      <c r="B94" s="18" t="str">
        <f aca="false">IF($A94="","",3)</f>
        <v/>
      </c>
      <c r="C94" s="18" t="str">
        <f aca="false">IF(AND($A94&lt;&gt;"",ISNUMBER(MATCH('My Colleges'!$B$24&amp;"|3",DB_Prompts!$A$2:$A$800,0))),INDEX(DB_Prompts!$D$2:$D$800,MATCH('My Colleges'!$B$24&amp;"|3",DB_Prompts!$A$2:$A$800,0)),"")</f>
        <v/>
      </c>
      <c r="D94" s="18" t="str">
        <f aca="false">IF(AND($A94&lt;&gt;"",ISNUMBER(MATCH('My Colleges'!$B$24&amp;"|3",DB_Prompts!$A$2:$A$800,0))),INDEX(DB_Prompts!$E$2:$E$800,MATCH('My Colleges'!$B$24&amp;"|3",DB_Prompts!$A$2:$A$800,0)),"")</f>
        <v/>
      </c>
      <c r="E94" s="18" t="str">
        <f aca="false">IF(AND($A94&lt;&gt;"",ISNUMBER(MATCH('My Colleges'!$B$24&amp;"|3",DB_Prompts!$A$2:$A$800,0))),INDEX(DB_Prompts!$F$2:$F$800,MATCH('My Colleges'!$B$24&amp;"|3",DB_Prompts!$A$2:$A$800,0)),"")</f>
        <v/>
      </c>
      <c r="F94" s="18" t="str">
        <f aca="false">IF(AND($A94&lt;&gt;"",ISNUMBER(MATCH('My Colleges'!$B$24&amp;"|3",DB_Prompts!$A$2:$A$800,0))),INDEX(DB_Prompts!$H$2:$H$800,MATCH('My Colleges'!$B$24&amp;"|3",DB_Prompts!$A$2:$A$800,0)),"")</f>
        <v/>
      </c>
      <c r="G94" s="18" t="str">
        <f aca="false">IF(AND($A94&lt;&gt;"",ISNUMBER(MATCH('My Colleges'!$B$24&amp;"|3",DB_Prompts!$A$2:$A$800,0))),INDEX(DB_Prompts!$G$2:$G$800,MATCH('My Colleges'!$B$24&amp;"|3",DB_Prompts!$A$2:$A$800,0)),"")</f>
        <v/>
      </c>
      <c r="H94" s="24"/>
      <c r="I94" s="17" t="str">
        <f aca="false">IF(AND($C94&lt;&gt;"",ISNUMBER('My Colleges'!$I$24)),'My Colleges'!$I$24-10,"")</f>
        <v/>
      </c>
      <c r="J94" s="24"/>
      <c r="K94" s="24"/>
    </row>
    <row r="95" customFormat="false" ht="15" hidden="false" customHeight="true" outlineLevel="0" collapsed="false">
      <c r="A95" s="18" t="str">
        <f aca="false">IF(AND(ISNUMBER(MATCH('My Colleges'!$B$24&amp;"|4",DB_Prompts!$A$2:$A$800,0)),'My Colleges'!$V$24&lt;&gt;"No"),'My Colleges'!$B$24,"")</f>
        <v/>
      </c>
      <c r="B95" s="18" t="str">
        <f aca="false">IF($A95="","",4)</f>
        <v/>
      </c>
      <c r="C95" s="18" t="str">
        <f aca="false">IF(AND($A95&lt;&gt;"",ISNUMBER(MATCH('My Colleges'!$B$24&amp;"|4",DB_Prompts!$A$2:$A$800,0))),INDEX(DB_Prompts!$D$2:$D$800,MATCH('My Colleges'!$B$24&amp;"|4",DB_Prompts!$A$2:$A$800,0)),"")</f>
        <v/>
      </c>
      <c r="D95" s="18" t="str">
        <f aca="false">IF(AND($A95&lt;&gt;"",ISNUMBER(MATCH('My Colleges'!$B$24&amp;"|4",DB_Prompts!$A$2:$A$800,0))),INDEX(DB_Prompts!$E$2:$E$800,MATCH('My Colleges'!$B$24&amp;"|4",DB_Prompts!$A$2:$A$800,0)),"")</f>
        <v/>
      </c>
      <c r="E95" s="18" t="str">
        <f aca="false">IF(AND($A95&lt;&gt;"",ISNUMBER(MATCH('My Colleges'!$B$24&amp;"|4",DB_Prompts!$A$2:$A$800,0))),INDEX(DB_Prompts!$F$2:$F$800,MATCH('My Colleges'!$B$24&amp;"|4",DB_Prompts!$A$2:$A$800,0)),"")</f>
        <v/>
      </c>
      <c r="F95" s="18" t="str">
        <f aca="false">IF(AND($A95&lt;&gt;"",ISNUMBER(MATCH('My Colleges'!$B$24&amp;"|4",DB_Prompts!$A$2:$A$800,0))),INDEX(DB_Prompts!$H$2:$H$800,MATCH('My Colleges'!$B$24&amp;"|4",DB_Prompts!$A$2:$A$800,0)),"")</f>
        <v/>
      </c>
      <c r="G95" s="18" t="str">
        <f aca="false">IF(AND($A95&lt;&gt;"",ISNUMBER(MATCH('My Colleges'!$B$24&amp;"|4",DB_Prompts!$A$2:$A$800,0))),INDEX(DB_Prompts!$G$2:$G$800,MATCH('My Colleges'!$B$24&amp;"|4",DB_Prompts!$A$2:$A$800,0)),"")</f>
        <v/>
      </c>
      <c r="H95" s="24"/>
      <c r="I95" s="17" t="str">
        <f aca="false">IF(AND($C95&lt;&gt;"",ISNUMBER('My Colleges'!$I$24)),'My Colleges'!$I$24-10,"")</f>
        <v/>
      </c>
      <c r="J95" s="24"/>
      <c r="K95" s="24"/>
    </row>
    <row r="96" customFormat="false" ht="15" hidden="false" customHeight="true" outlineLevel="0" collapsed="false">
      <c r="A96" s="18" t="str">
        <f aca="false">IF(AND(ISNUMBER(MATCH('My Colleges'!$B$24&amp;"|5",DB_Prompts!$A$2:$A$800,0)),'My Colleges'!$V$24&lt;&gt;"No"),'My Colleges'!$B$24,"")</f>
        <v/>
      </c>
      <c r="B96" s="18" t="str">
        <f aca="false">IF($A96="","",5)</f>
        <v/>
      </c>
      <c r="C96" s="18" t="str">
        <f aca="false">IF(AND($A96&lt;&gt;"",ISNUMBER(MATCH('My Colleges'!$B$24&amp;"|5",DB_Prompts!$A$2:$A$800,0))),INDEX(DB_Prompts!$D$2:$D$800,MATCH('My Colleges'!$B$24&amp;"|5",DB_Prompts!$A$2:$A$800,0)),"")</f>
        <v/>
      </c>
      <c r="D96" s="18" t="str">
        <f aca="false">IF(AND($A96&lt;&gt;"",ISNUMBER(MATCH('My Colleges'!$B$24&amp;"|5",DB_Prompts!$A$2:$A$800,0))),INDEX(DB_Prompts!$E$2:$E$800,MATCH('My Colleges'!$B$24&amp;"|5",DB_Prompts!$A$2:$A$800,0)),"")</f>
        <v/>
      </c>
      <c r="E96" s="18" t="str">
        <f aca="false">IF(AND($A96&lt;&gt;"",ISNUMBER(MATCH('My Colleges'!$B$24&amp;"|5",DB_Prompts!$A$2:$A$800,0))),INDEX(DB_Prompts!$F$2:$F$800,MATCH('My Colleges'!$B$24&amp;"|5",DB_Prompts!$A$2:$A$800,0)),"")</f>
        <v/>
      </c>
      <c r="F96" s="18" t="str">
        <f aca="false">IF(AND($A96&lt;&gt;"",ISNUMBER(MATCH('My Colleges'!$B$24&amp;"|5",DB_Prompts!$A$2:$A$800,0))),INDEX(DB_Prompts!$H$2:$H$800,MATCH('My Colleges'!$B$24&amp;"|5",DB_Prompts!$A$2:$A$800,0)),"")</f>
        <v/>
      </c>
      <c r="G96" s="18" t="str">
        <f aca="false">IF(AND($A96&lt;&gt;"",ISNUMBER(MATCH('My Colleges'!$B$24&amp;"|5",DB_Prompts!$A$2:$A$800,0))),INDEX(DB_Prompts!$G$2:$G$800,MATCH('My Colleges'!$B$24&amp;"|5",DB_Prompts!$A$2:$A$800,0)),"")</f>
        <v/>
      </c>
      <c r="H96" s="24"/>
      <c r="I96" s="17" t="str">
        <f aca="false">IF(AND($C96&lt;&gt;"",ISNUMBER('My Colleges'!$I$24)),'My Colleges'!$I$24-10,"")</f>
        <v/>
      </c>
      <c r="J96" s="24"/>
      <c r="K96" s="24"/>
    </row>
    <row r="97" customFormat="false" ht="15" hidden="false" customHeight="true" outlineLevel="0" collapsed="false">
      <c r="A97" s="18" t="str">
        <f aca="false">IF(OR('My Colleges'!$B$25="",'My Colleges'!$V$25="No"),"",'My Colleges'!$B$25)</f>
        <v/>
      </c>
      <c r="B97" s="18" t="str">
        <f aca="false">IF($A97="","",1)</f>
        <v/>
      </c>
      <c r="C97" s="18" t="str">
        <f aca="false">IF($A97="","",IF(ISNUMBER(MATCH('My Colleges'!$B$25&amp;"|1",DB_Prompts!$A$2:$A$800,0)),INDEX(DB_Prompts!$D$2:$D$800,MATCH('My Colleges'!$B$25&amp;"|1",DB_Prompts!$A$2:$A$800,0)),IF('My Colleges'!$P$25=0,"No extra essays required.","Prompts not loaded yet: check this college's Admissions Page (last column on Explore) or its Common App page, and copy any prompts into Notes.")))</f>
        <v/>
      </c>
      <c r="D97" s="18" t="str">
        <f aca="false">IF(AND($A97&lt;&gt;"",ISNUMBER(MATCH('My Colleges'!$B$25&amp;"|1",DB_Prompts!$A$2:$A$800,0))),INDEX(DB_Prompts!$E$2:$E$800,MATCH('My Colleges'!$B$25&amp;"|1",DB_Prompts!$A$2:$A$800,0)),"")</f>
        <v/>
      </c>
      <c r="E97" s="18" t="str">
        <f aca="false">IF(AND($A97&lt;&gt;"",ISNUMBER(MATCH('My Colleges'!$B$25&amp;"|1",DB_Prompts!$A$2:$A$800,0))),INDEX(DB_Prompts!$F$2:$F$800,MATCH('My Colleges'!$B$25&amp;"|1",DB_Prompts!$A$2:$A$800,0)),"")</f>
        <v/>
      </c>
      <c r="F97" s="18" t="str">
        <f aca="false">IF(AND($A97&lt;&gt;"",ISNUMBER(MATCH('My Colleges'!$B$25&amp;"|1",DB_Prompts!$A$2:$A$800,0))),INDEX(DB_Prompts!$H$2:$H$800,MATCH('My Colleges'!$B$25&amp;"|1",DB_Prompts!$A$2:$A$800,0)),"")</f>
        <v/>
      </c>
      <c r="G97" s="18" t="str">
        <f aca="false">IF(AND($A97&lt;&gt;"",ISNUMBER(MATCH('My Colleges'!$B$25&amp;"|1",DB_Prompts!$A$2:$A$800,0))),INDEX(DB_Prompts!$G$2:$G$800,MATCH('My Colleges'!$B$25&amp;"|1",DB_Prompts!$A$2:$A$800,0)),"")</f>
        <v/>
      </c>
      <c r="H97" s="24"/>
      <c r="I97" s="17" t="str">
        <f aca="false">IF(AND($C97&lt;&gt;"",ISNUMBER('My Colleges'!$I$25)),'My Colleges'!$I$25-10,"")</f>
        <v/>
      </c>
      <c r="J97" s="24"/>
      <c r="K97" s="24"/>
    </row>
    <row r="98" customFormat="false" ht="15" hidden="false" customHeight="true" outlineLevel="0" collapsed="false">
      <c r="A98" s="18" t="str">
        <f aca="false">IF(AND(ISNUMBER(MATCH('My Colleges'!$B$25&amp;"|2",DB_Prompts!$A$2:$A$800,0)),'My Colleges'!$V$25&lt;&gt;"No"),'My Colleges'!$B$25,"")</f>
        <v/>
      </c>
      <c r="B98" s="18" t="str">
        <f aca="false">IF($A98="","",2)</f>
        <v/>
      </c>
      <c r="C98" s="18" t="str">
        <f aca="false">IF(AND($A98&lt;&gt;"",ISNUMBER(MATCH('My Colleges'!$B$25&amp;"|2",DB_Prompts!$A$2:$A$800,0))),INDEX(DB_Prompts!$D$2:$D$800,MATCH('My Colleges'!$B$25&amp;"|2",DB_Prompts!$A$2:$A$800,0)),"")</f>
        <v/>
      </c>
      <c r="D98" s="18" t="str">
        <f aca="false">IF(AND($A98&lt;&gt;"",ISNUMBER(MATCH('My Colleges'!$B$25&amp;"|2",DB_Prompts!$A$2:$A$800,0))),INDEX(DB_Prompts!$E$2:$E$800,MATCH('My Colleges'!$B$25&amp;"|2",DB_Prompts!$A$2:$A$800,0)),"")</f>
        <v/>
      </c>
      <c r="E98" s="18" t="str">
        <f aca="false">IF(AND($A98&lt;&gt;"",ISNUMBER(MATCH('My Colleges'!$B$25&amp;"|2",DB_Prompts!$A$2:$A$800,0))),INDEX(DB_Prompts!$F$2:$F$800,MATCH('My Colleges'!$B$25&amp;"|2",DB_Prompts!$A$2:$A$800,0)),"")</f>
        <v/>
      </c>
      <c r="F98" s="18" t="str">
        <f aca="false">IF(AND($A98&lt;&gt;"",ISNUMBER(MATCH('My Colleges'!$B$25&amp;"|2",DB_Prompts!$A$2:$A$800,0))),INDEX(DB_Prompts!$H$2:$H$800,MATCH('My Colleges'!$B$25&amp;"|2",DB_Prompts!$A$2:$A$800,0)),"")</f>
        <v/>
      </c>
      <c r="G98" s="18" t="str">
        <f aca="false">IF(AND($A98&lt;&gt;"",ISNUMBER(MATCH('My Colleges'!$B$25&amp;"|2",DB_Prompts!$A$2:$A$800,0))),INDEX(DB_Prompts!$G$2:$G$800,MATCH('My Colleges'!$B$25&amp;"|2",DB_Prompts!$A$2:$A$800,0)),"")</f>
        <v/>
      </c>
      <c r="H98" s="24"/>
      <c r="I98" s="17" t="str">
        <f aca="false">IF(AND($C98&lt;&gt;"",ISNUMBER('My Colleges'!$I$25)),'My Colleges'!$I$25-10,"")</f>
        <v/>
      </c>
      <c r="J98" s="24"/>
      <c r="K98" s="24"/>
    </row>
    <row r="99" customFormat="false" ht="15" hidden="false" customHeight="true" outlineLevel="0" collapsed="false">
      <c r="A99" s="18" t="str">
        <f aca="false">IF(AND(ISNUMBER(MATCH('My Colleges'!$B$25&amp;"|3",DB_Prompts!$A$2:$A$800,0)),'My Colleges'!$V$25&lt;&gt;"No"),'My Colleges'!$B$25,"")</f>
        <v/>
      </c>
      <c r="B99" s="18" t="str">
        <f aca="false">IF($A99="","",3)</f>
        <v/>
      </c>
      <c r="C99" s="18" t="str">
        <f aca="false">IF(AND($A99&lt;&gt;"",ISNUMBER(MATCH('My Colleges'!$B$25&amp;"|3",DB_Prompts!$A$2:$A$800,0))),INDEX(DB_Prompts!$D$2:$D$800,MATCH('My Colleges'!$B$25&amp;"|3",DB_Prompts!$A$2:$A$800,0)),"")</f>
        <v/>
      </c>
      <c r="D99" s="18" t="str">
        <f aca="false">IF(AND($A99&lt;&gt;"",ISNUMBER(MATCH('My Colleges'!$B$25&amp;"|3",DB_Prompts!$A$2:$A$800,0))),INDEX(DB_Prompts!$E$2:$E$800,MATCH('My Colleges'!$B$25&amp;"|3",DB_Prompts!$A$2:$A$800,0)),"")</f>
        <v/>
      </c>
      <c r="E99" s="18" t="str">
        <f aca="false">IF(AND($A99&lt;&gt;"",ISNUMBER(MATCH('My Colleges'!$B$25&amp;"|3",DB_Prompts!$A$2:$A$800,0))),INDEX(DB_Prompts!$F$2:$F$800,MATCH('My Colleges'!$B$25&amp;"|3",DB_Prompts!$A$2:$A$800,0)),"")</f>
        <v/>
      </c>
      <c r="F99" s="18" t="str">
        <f aca="false">IF(AND($A99&lt;&gt;"",ISNUMBER(MATCH('My Colleges'!$B$25&amp;"|3",DB_Prompts!$A$2:$A$800,0))),INDEX(DB_Prompts!$H$2:$H$800,MATCH('My Colleges'!$B$25&amp;"|3",DB_Prompts!$A$2:$A$800,0)),"")</f>
        <v/>
      </c>
      <c r="G99" s="18" t="str">
        <f aca="false">IF(AND($A99&lt;&gt;"",ISNUMBER(MATCH('My Colleges'!$B$25&amp;"|3",DB_Prompts!$A$2:$A$800,0))),INDEX(DB_Prompts!$G$2:$G$800,MATCH('My Colleges'!$B$25&amp;"|3",DB_Prompts!$A$2:$A$800,0)),"")</f>
        <v/>
      </c>
      <c r="H99" s="24"/>
      <c r="I99" s="17" t="str">
        <f aca="false">IF(AND($C99&lt;&gt;"",ISNUMBER('My Colleges'!$I$25)),'My Colleges'!$I$25-10,"")</f>
        <v/>
      </c>
      <c r="J99" s="24"/>
      <c r="K99" s="24"/>
    </row>
    <row r="100" customFormat="false" ht="15" hidden="false" customHeight="true" outlineLevel="0" collapsed="false">
      <c r="A100" s="18" t="str">
        <f aca="false">IF(AND(ISNUMBER(MATCH('My Colleges'!$B$25&amp;"|4",DB_Prompts!$A$2:$A$800,0)),'My Colleges'!$V$25&lt;&gt;"No"),'My Colleges'!$B$25,"")</f>
        <v/>
      </c>
      <c r="B100" s="18" t="str">
        <f aca="false">IF($A100="","",4)</f>
        <v/>
      </c>
      <c r="C100" s="18" t="str">
        <f aca="false">IF(AND($A100&lt;&gt;"",ISNUMBER(MATCH('My Colleges'!$B$25&amp;"|4",DB_Prompts!$A$2:$A$800,0))),INDEX(DB_Prompts!$D$2:$D$800,MATCH('My Colleges'!$B$25&amp;"|4",DB_Prompts!$A$2:$A$800,0)),"")</f>
        <v/>
      </c>
      <c r="D100" s="18" t="str">
        <f aca="false">IF(AND($A100&lt;&gt;"",ISNUMBER(MATCH('My Colleges'!$B$25&amp;"|4",DB_Prompts!$A$2:$A$800,0))),INDEX(DB_Prompts!$E$2:$E$800,MATCH('My Colleges'!$B$25&amp;"|4",DB_Prompts!$A$2:$A$800,0)),"")</f>
        <v/>
      </c>
      <c r="E100" s="18" t="str">
        <f aca="false">IF(AND($A100&lt;&gt;"",ISNUMBER(MATCH('My Colleges'!$B$25&amp;"|4",DB_Prompts!$A$2:$A$800,0))),INDEX(DB_Prompts!$F$2:$F$800,MATCH('My Colleges'!$B$25&amp;"|4",DB_Prompts!$A$2:$A$800,0)),"")</f>
        <v/>
      </c>
      <c r="F100" s="18" t="str">
        <f aca="false">IF(AND($A100&lt;&gt;"",ISNUMBER(MATCH('My Colleges'!$B$25&amp;"|4",DB_Prompts!$A$2:$A$800,0))),INDEX(DB_Prompts!$H$2:$H$800,MATCH('My Colleges'!$B$25&amp;"|4",DB_Prompts!$A$2:$A$800,0)),"")</f>
        <v/>
      </c>
      <c r="G100" s="18" t="str">
        <f aca="false">IF(AND($A100&lt;&gt;"",ISNUMBER(MATCH('My Colleges'!$B$25&amp;"|4",DB_Prompts!$A$2:$A$800,0))),INDEX(DB_Prompts!$G$2:$G$800,MATCH('My Colleges'!$B$25&amp;"|4",DB_Prompts!$A$2:$A$800,0)),"")</f>
        <v/>
      </c>
      <c r="H100" s="24"/>
      <c r="I100" s="17" t="str">
        <f aca="false">IF(AND($C100&lt;&gt;"",ISNUMBER('My Colleges'!$I$25)),'My Colleges'!$I$25-10,"")</f>
        <v/>
      </c>
      <c r="J100" s="24"/>
      <c r="K100" s="24"/>
    </row>
    <row r="101" customFormat="false" ht="15" hidden="false" customHeight="true" outlineLevel="0" collapsed="false">
      <c r="A101" s="18" t="str">
        <f aca="false">IF(AND(ISNUMBER(MATCH('My Colleges'!$B$25&amp;"|5",DB_Prompts!$A$2:$A$800,0)),'My Colleges'!$V$25&lt;&gt;"No"),'My Colleges'!$B$25,"")</f>
        <v/>
      </c>
      <c r="B101" s="18" t="str">
        <f aca="false">IF($A101="","",5)</f>
        <v/>
      </c>
      <c r="C101" s="18" t="str">
        <f aca="false">IF(AND($A101&lt;&gt;"",ISNUMBER(MATCH('My Colleges'!$B$25&amp;"|5",DB_Prompts!$A$2:$A$800,0))),INDEX(DB_Prompts!$D$2:$D$800,MATCH('My Colleges'!$B$25&amp;"|5",DB_Prompts!$A$2:$A$800,0)),"")</f>
        <v/>
      </c>
      <c r="D101" s="18" t="str">
        <f aca="false">IF(AND($A101&lt;&gt;"",ISNUMBER(MATCH('My Colleges'!$B$25&amp;"|5",DB_Prompts!$A$2:$A$800,0))),INDEX(DB_Prompts!$E$2:$E$800,MATCH('My Colleges'!$B$25&amp;"|5",DB_Prompts!$A$2:$A$800,0)),"")</f>
        <v/>
      </c>
      <c r="E101" s="18" t="str">
        <f aca="false">IF(AND($A101&lt;&gt;"",ISNUMBER(MATCH('My Colleges'!$B$25&amp;"|5",DB_Prompts!$A$2:$A$800,0))),INDEX(DB_Prompts!$F$2:$F$800,MATCH('My Colleges'!$B$25&amp;"|5",DB_Prompts!$A$2:$A$800,0)),"")</f>
        <v/>
      </c>
      <c r="F101" s="18" t="str">
        <f aca="false">IF(AND($A101&lt;&gt;"",ISNUMBER(MATCH('My Colleges'!$B$25&amp;"|5",DB_Prompts!$A$2:$A$800,0))),INDEX(DB_Prompts!$H$2:$H$800,MATCH('My Colleges'!$B$25&amp;"|5",DB_Prompts!$A$2:$A$800,0)),"")</f>
        <v/>
      </c>
      <c r="G101" s="18" t="str">
        <f aca="false">IF(AND($A101&lt;&gt;"",ISNUMBER(MATCH('My Colleges'!$B$25&amp;"|5",DB_Prompts!$A$2:$A$800,0))),INDEX(DB_Prompts!$G$2:$G$800,MATCH('My Colleges'!$B$25&amp;"|5",DB_Prompts!$A$2:$A$800,0)),"")</f>
        <v/>
      </c>
      <c r="H101" s="24"/>
      <c r="I101" s="17" t="str">
        <f aca="false">IF(AND($C101&lt;&gt;"",ISNUMBER('My Colleges'!$I$25)),'My Colleges'!$I$25-10,"")</f>
        <v/>
      </c>
      <c r="J101" s="24"/>
      <c r="K101" s="24"/>
    </row>
    <row r="102" customFormat="false" ht="15" hidden="false" customHeight="true" outlineLevel="0" collapsed="false">
      <c r="A102" s="18" t="str">
        <f aca="false">IF(OR('My Colleges'!$B$26="",'My Colleges'!$V$26="No"),"",'My Colleges'!$B$26)</f>
        <v/>
      </c>
      <c r="B102" s="18" t="str">
        <f aca="false">IF($A102="","",1)</f>
        <v/>
      </c>
      <c r="C102" s="18" t="str">
        <f aca="false">IF($A102="","",IF(ISNUMBER(MATCH('My Colleges'!$B$26&amp;"|1",DB_Prompts!$A$2:$A$800,0)),INDEX(DB_Prompts!$D$2:$D$800,MATCH('My Colleges'!$B$26&amp;"|1",DB_Prompts!$A$2:$A$800,0)),IF('My Colleges'!$P$26=0,"No extra essays required.","Prompts not loaded yet: check this college's Admissions Page (last column on Explore) or its Common App page, and copy any prompts into Notes.")))</f>
        <v/>
      </c>
      <c r="D102" s="18" t="str">
        <f aca="false">IF(AND($A102&lt;&gt;"",ISNUMBER(MATCH('My Colleges'!$B$26&amp;"|1",DB_Prompts!$A$2:$A$800,0))),INDEX(DB_Prompts!$E$2:$E$800,MATCH('My Colleges'!$B$26&amp;"|1",DB_Prompts!$A$2:$A$800,0)),"")</f>
        <v/>
      </c>
      <c r="E102" s="18" t="str">
        <f aca="false">IF(AND($A102&lt;&gt;"",ISNUMBER(MATCH('My Colleges'!$B$26&amp;"|1",DB_Prompts!$A$2:$A$800,0))),INDEX(DB_Prompts!$F$2:$F$800,MATCH('My Colleges'!$B$26&amp;"|1",DB_Prompts!$A$2:$A$800,0)),"")</f>
        <v/>
      </c>
      <c r="F102" s="18" t="str">
        <f aca="false">IF(AND($A102&lt;&gt;"",ISNUMBER(MATCH('My Colleges'!$B$26&amp;"|1",DB_Prompts!$A$2:$A$800,0))),INDEX(DB_Prompts!$H$2:$H$800,MATCH('My Colleges'!$B$26&amp;"|1",DB_Prompts!$A$2:$A$800,0)),"")</f>
        <v/>
      </c>
      <c r="G102" s="18" t="str">
        <f aca="false">IF(AND($A102&lt;&gt;"",ISNUMBER(MATCH('My Colleges'!$B$26&amp;"|1",DB_Prompts!$A$2:$A$800,0))),INDEX(DB_Prompts!$G$2:$G$800,MATCH('My Colleges'!$B$26&amp;"|1",DB_Prompts!$A$2:$A$800,0)),"")</f>
        <v/>
      </c>
      <c r="H102" s="24"/>
      <c r="I102" s="17" t="str">
        <f aca="false">IF(AND($C102&lt;&gt;"",ISNUMBER('My Colleges'!$I$26)),'My Colleges'!$I$26-10,"")</f>
        <v/>
      </c>
      <c r="J102" s="24"/>
      <c r="K102" s="24"/>
    </row>
    <row r="103" customFormat="false" ht="15" hidden="false" customHeight="true" outlineLevel="0" collapsed="false">
      <c r="A103" s="18" t="str">
        <f aca="false">IF(AND(ISNUMBER(MATCH('My Colleges'!$B$26&amp;"|2",DB_Prompts!$A$2:$A$800,0)),'My Colleges'!$V$26&lt;&gt;"No"),'My Colleges'!$B$26,"")</f>
        <v/>
      </c>
      <c r="B103" s="18" t="str">
        <f aca="false">IF($A103="","",2)</f>
        <v/>
      </c>
      <c r="C103" s="18" t="str">
        <f aca="false">IF(AND($A103&lt;&gt;"",ISNUMBER(MATCH('My Colleges'!$B$26&amp;"|2",DB_Prompts!$A$2:$A$800,0))),INDEX(DB_Prompts!$D$2:$D$800,MATCH('My Colleges'!$B$26&amp;"|2",DB_Prompts!$A$2:$A$800,0)),"")</f>
        <v/>
      </c>
      <c r="D103" s="18" t="str">
        <f aca="false">IF(AND($A103&lt;&gt;"",ISNUMBER(MATCH('My Colleges'!$B$26&amp;"|2",DB_Prompts!$A$2:$A$800,0))),INDEX(DB_Prompts!$E$2:$E$800,MATCH('My Colleges'!$B$26&amp;"|2",DB_Prompts!$A$2:$A$800,0)),"")</f>
        <v/>
      </c>
      <c r="E103" s="18" t="str">
        <f aca="false">IF(AND($A103&lt;&gt;"",ISNUMBER(MATCH('My Colleges'!$B$26&amp;"|2",DB_Prompts!$A$2:$A$800,0))),INDEX(DB_Prompts!$F$2:$F$800,MATCH('My Colleges'!$B$26&amp;"|2",DB_Prompts!$A$2:$A$800,0)),"")</f>
        <v/>
      </c>
      <c r="F103" s="18" t="str">
        <f aca="false">IF(AND($A103&lt;&gt;"",ISNUMBER(MATCH('My Colleges'!$B$26&amp;"|2",DB_Prompts!$A$2:$A$800,0))),INDEX(DB_Prompts!$H$2:$H$800,MATCH('My Colleges'!$B$26&amp;"|2",DB_Prompts!$A$2:$A$800,0)),"")</f>
        <v/>
      </c>
      <c r="G103" s="18" t="str">
        <f aca="false">IF(AND($A103&lt;&gt;"",ISNUMBER(MATCH('My Colleges'!$B$26&amp;"|2",DB_Prompts!$A$2:$A$800,0))),INDEX(DB_Prompts!$G$2:$G$800,MATCH('My Colleges'!$B$26&amp;"|2",DB_Prompts!$A$2:$A$800,0)),"")</f>
        <v/>
      </c>
      <c r="H103" s="24"/>
      <c r="I103" s="17" t="str">
        <f aca="false">IF(AND($C103&lt;&gt;"",ISNUMBER('My Colleges'!$I$26)),'My Colleges'!$I$26-10,"")</f>
        <v/>
      </c>
      <c r="J103" s="24"/>
      <c r="K103" s="24"/>
    </row>
    <row r="104" customFormat="false" ht="15" hidden="false" customHeight="true" outlineLevel="0" collapsed="false">
      <c r="A104" s="18" t="str">
        <f aca="false">IF(AND(ISNUMBER(MATCH('My Colleges'!$B$26&amp;"|3",DB_Prompts!$A$2:$A$800,0)),'My Colleges'!$V$26&lt;&gt;"No"),'My Colleges'!$B$26,"")</f>
        <v/>
      </c>
      <c r="B104" s="18" t="str">
        <f aca="false">IF($A104="","",3)</f>
        <v/>
      </c>
      <c r="C104" s="18" t="str">
        <f aca="false">IF(AND($A104&lt;&gt;"",ISNUMBER(MATCH('My Colleges'!$B$26&amp;"|3",DB_Prompts!$A$2:$A$800,0))),INDEX(DB_Prompts!$D$2:$D$800,MATCH('My Colleges'!$B$26&amp;"|3",DB_Prompts!$A$2:$A$800,0)),"")</f>
        <v/>
      </c>
      <c r="D104" s="18" t="str">
        <f aca="false">IF(AND($A104&lt;&gt;"",ISNUMBER(MATCH('My Colleges'!$B$26&amp;"|3",DB_Prompts!$A$2:$A$800,0))),INDEX(DB_Prompts!$E$2:$E$800,MATCH('My Colleges'!$B$26&amp;"|3",DB_Prompts!$A$2:$A$800,0)),"")</f>
        <v/>
      </c>
      <c r="E104" s="18" t="str">
        <f aca="false">IF(AND($A104&lt;&gt;"",ISNUMBER(MATCH('My Colleges'!$B$26&amp;"|3",DB_Prompts!$A$2:$A$800,0))),INDEX(DB_Prompts!$F$2:$F$800,MATCH('My Colleges'!$B$26&amp;"|3",DB_Prompts!$A$2:$A$800,0)),"")</f>
        <v/>
      </c>
      <c r="F104" s="18" t="str">
        <f aca="false">IF(AND($A104&lt;&gt;"",ISNUMBER(MATCH('My Colleges'!$B$26&amp;"|3",DB_Prompts!$A$2:$A$800,0))),INDEX(DB_Prompts!$H$2:$H$800,MATCH('My Colleges'!$B$26&amp;"|3",DB_Prompts!$A$2:$A$800,0)),"")</f>
        <v/>
      </c>
      <c r="G104" s="18" t="str">
        <f aca="false">IF(AND($A104&lt;&gt;"",ISNUMBER(MATCH('My Colleges'!$B$26&amp;"|3",DB_Prompts!$A$2:$A$800,0))),INDEX(DB_Prompts!$G$2:$G$800,MATCH('My Colleges'!$B$26&amp;"|3",DB_Prompts!$A$2:$A$800,0)),"")</f>
        <v/>
      </c>
      <c r="H104" s="24"/>
      <c r="I104" s="17" t="str">
        <f aca="false">IF(AND($C104&lt;&gt;"",ISNUMBER('My Colleges'!$I$26)),'My Colleges'!$I$26-10,"")</f>
        <v/>
      </c>
      <c r="J104" s="24"/>
      <c r="K104" s="24"/>
    </row>
    <row r="105" customFormat="false" ht="15" hidden="false" customHeight="true" outlineLevel="0" collapsed="false">
      <c r="A105" s="18" t="str">
        <f aca="false">IF(AND(ISNUMBER(MATCH('My Colleges'!$B$26&amp;"|4",DB_Prompts!$A$2:$A$800,0)),'My Colleges'!$V$26&lt;&gt;"No"),'My Colleges'!$B$26,"")</f>
        <v/>
      </c>
      <c r="B105" s="18" t="str">
        <f aca="false">IF($A105="","",4)</f>
        <v/>
      </c>
      <c r="C105" s="18" t="str">
        <f aca="false">IF(AND($A105&lt;&gt;"",ISNUMBER(MATCH('My Colleges'!$B$26&amp;"|4",DB_Prompts!$A$2:$A$800,0))),INDEX(DB_Prompts!$D$2:$D$800,MATCH('My Colleges'!$B$26&amp;"|4",DB_Prompts!$A$2:$A$800,0)),"")</f>
        <v/>
      </c>
      <c r="D105" s="18" t="str">
        <f aca="false">IF(AND($A105&lt;&gt;"",ISNUMBER(MATCH('My Colleges'!$B$26&amp;"|4",DB_Prompts!$A$2:$A$800,0))),INDEX(DB_Prompts!$E$2:$E$800,MATCH('My Colleges'!$B$26&amp;"|4",DB_Prompts!$A$2:$A$800,0)),"")</f>
        <v/>
      </c>
      <c r="E105" s="18" t="str">
        <f aca="false">IF(AND($A105&lt;&gt;"",ISNUMBER(MATCH('My Colleges'!$B$26&amp;"|4",DB_Prompts!$A$2:$A$800,0))),INDEX(DB_Prompts!$F$2:$F$800,MATCH('My Colleges'!$B$26&amp;"|4",DB_Prompts!$A$2:$A$800,0)),"")</f>
        <v/>
      </c>
      <c r="F105" s="18" t="str">
        <f aca="false">IF(AND($A105&lt;&gt;"",ISNUMBER(MATCH('My Colleges'!$B$26&amp;"|4",DB_Prompts!$A$2:$A$800,0))),INDEX(DB_Prompts!$H$2:$H$800,MATCH('My Colleges'!$B$26&amp;"|4",DB_Prompts!$A$2:$A$800,0)),"")</f>
        <v/>
      </c>
      <c r="G105" s="18" t="str">
        <f aca="false">IF(AND($A105&lt;&gt;"",ISNUMBER(MATCH('My Colleges'!$B$26&amp;"|4",DB_Prompts!$A$2:$A$800,0))),INDEX(DB_Prompts!$G$2:$G$800,MATCH('My Colleges'!$B$26&amp;"|4",DB_Prompts!$A$2:$A$800,0)),"")</f>
        <v/>
      </c>
      <c r="H105" s="24"/>
      <c r="I105" s="17" t="str">
        <f aca="false">IF(AND($C105&lt;&gt;"",ISNUMBER('My Colleges'!$I$26)),'My Colleges'!$I$26-10,"")</f>
        <v/>
      </c>
      <c r="J105" s="24"/>
      <c r="K105" s="24"/>
    </row>
    <row r="106" customFormat="false" ht="15" hidden="false" customHeight="true" outlineLevel="0" collapsed="false">
      <c r="A106" s="18" t="str">
        <f aca="false">IF(AND(ISNUMBER(MATCH('My Colleges'!$B$26&amp;"|5",DB_Prompts!$A$2:$A$800,0)),'My Colleges'!$V$26&lt;&gt;"No"),'My Colleges'!$B$26,"")</f>
        <v/>
      </c>
      <c r="B106" s="18" t="str">
        <f aca="false">IF($A106="","",5)</f>
        <v/>
      </c>
      <c r="C106" s="18" t="str">
        <f aca="false">IF(AND($A106&lt;&gt;"",ISNUMBER(MATCH('My Colleges'!$B$26&amp;"|5",DB_Prompts!$A$2:$A$800,0))),INDEX(DB_Prompts!$D$2:$D$800,MATCH('My Colleges'!$B$26&amp;"|5",DB_Prompts!$A$2:$A$800,0)),"")</f>
        <v/>
      </c>
      <c r="D106" s="18" t="str">
        <f aca="false">IF(AND($A106&lt;&gt;"",ISNUMBER(MATCH('My Colleges'!$B$26&amp;"|5",DB_Prompts!$A$2:$A$800,0))),INDEX(DB_Prompts!$E$2:$E$800,MATCH('My Colleges'!$B$26&amp;"|5",DB_Prompts!$A$2:$A$800,0)),"")</f>
        <v/>
      </c>
      <c r="E106" s="18" t="str">
        <f aca="false">IF(AND($A106&lt;&gt;"",ISNUMBER(MATCH('My Colleges'!$B$26&amp;"|5",DB_Prompts!$A$2:$A$800,0))),INDEX(DB_Prompts!$F$2:$F$800,MATCH('My Colleges'!$B$26&amp;"|5",DB_Prompts!$A$2:$A$800,0)),"")</f>
        <v/>
      </c>
      <c r="F106" s="18" t="str">
        <f aca="false">IF(AND($A106&lt;&gt;"",ISNUMBER(MATCH('My Colleges'!$B$26&amp;"|5",DB_Prompts!$A$2:$A$800,0))),INDEX(DB_Prompts!$H$2:$H$800,MATCH('My Colleges'!$B$26&amp;"|5",DB_Prompts!$A$2:$A$800,0)),"")</f>
        <v/>
      </c>
      <c r="G106" s="18" t="str">
        <f aca="false">IF(AND($A106&lt;&gt;"",ISNUMBER(MATCH('My Colleges'!$B$26&amp;"|5",DB_Prompts!$A$2:$A$800,0))),INDEX(DB_Prompts!$G$2:$G$800,MATCH('My Colleges'!$B$26&amp;"|5",DB_Prompts!$A$2:$A$800,0)),"")</f>
        <v/>
      </c>
      <c r="H106" s="24"/>
      <c r="I106" s="17" t="str">
        <f aca="false">IF(AND($C106&lt;&gt;"",ISNUMBER('My Colleges'!$I$26)),'My Colleges'!$I$26-10,"")</f>
        <v/>
      </c>
      <c r="J106" s="24"/>
      <c r="K106" s="24"/>
    </row>
    <row r="107" customFormat="false" ht="15" hidden="false" customHeight="true" outlineLevel="0" collapsed="false">
      <c r="A107" s="18" t="str">
        <f aca="false">IF(OR('My Colleges'!$B$27="",'My Colleges'!$V$27="No"),"",'My Colleges'!$B$27)</f>
        <v/>
      </c>
      <c r="B107" s="18" t="str">
        <f aca="false">IF($A107="","",1)</f>
        <v/>
      </c>
      <c r="C107" s="18" t="str">
        <f aca="false">IF($A107="","",IF(ISNUMBER(MATCH('My Colleges'!$B$27&amp;"|1",DB_Prompts!$A$2:$A$800,0)),INDEX(DB_Prompts!$D$2:$D$800,MATCH('My Colleges'!$B$27&amp;"|1",DB_Prompts!$A$2:$A$800,0)),IF('My Colleges'!$P$27=0,"No extra essays required.","Prompts not loaded yet: check this college's Admissions Page (last column on Explore) or its Common App page, and copy any prompts into Notes.")))</f>
        <v/>
      </c>
      <c r="D107" s="18" t="str">
        <f aca="false">IF(AND($A107&lt;&gt;"",ISNUMBER(MATCH('My Colleges'!$B$27&amp;"|1",DB_Prompts!$A$2:$A$800,0))),INDEX(DB_Prompts!$E$2:$E$800,MATCH('My Colleges'!$B$27&amp;"|1",DB_Prompts!$A$2:$A$800,0)),"")</f>
        <v/>
      </c>
      <c r="E107" s="18" t="str">
        <f aca="false">IF(AND($A107&lt;&gt;"",ISNUMBER(MATCH('My Colleges'!$B$27&amp;"|1",DB_Prompts!$A$2:$A$800,0))),INDEX(DB_Prompts!$F$2:$F$800,MATCH('My Colleges'!$B$27&amp;"|1",DB_Prompts!$A$2:$A$800,0)),"")</f>
        <v/>
      </c>
      <c r="F107" s="18" t="str">
        <f aca="false">IF(AND($A107&lt;&gt;"",ISNUMBER(MATCH('My Colleges'!$B$27&amp;"|1",DB_Prompts!$A$2:$A$800,0))),INDEX(DB_Prompts!$H$2:$H$800,MATCH('My Colleges'!$B$27&amp;"|1",DB_Prompts!$A$2:$A$800,0)),"")</f>
        <v/>
      </c>
      <c r="G107" s="18" t="str">
        <f aca="false">IF(AND($A107&lt;&gt;"",ISNUMBER(MATCH('My Colleges'!$B$27&amp;"|1",DB_Prompts!$A$2:$A$800,0))),INDEX(DB_Prompts!$G$2:$G$800,MATCH('My Colleges'!$B$27&amp;"|1",DB_Prompts!$A$2:$A$800,0)),"")</f>
        <v/>
      </c>
      <c r="H107" s="24"/>
      <c r="I107" s="17" t="str">
        <f aca="false">IF(AND($C107&lt;&gt;"",ISNUMBER('My Colleges'!$I$27)),'My Colleges'!$I$27-10,"")</f>
        <v/>
      </c>
      <c r="J107" s="24"/>
      <c r="K107" s="24"/>
    </row>
    <row r="108" customFormat="false" ht="15" hidden="false" customHeight="true" outlineLevel="0" collapsed="false">
      <c r="A108" s="18" t="str">
        <f aca="false">IF(AND(ISNUMBER(MATCH('My Colleges'!$B$27&amp;"|2",DB_Prompts!$A$2:$A$800,0)),'My Colleges'!$V$27&lt;&gt;"No"),'My Colleges'!$B$27,"")</f>
        <v/>
      </c>
      <c r="B108" s="18" t="str">
        <f aca="false">IF($A108="","",2)</f>
        <v/>
      </c>
      <c r="C108" s="18" t="str">
        <f aca="false">IF(AND($A108&lt;&gt;"",ISNUMBER(MATCH('My Colleges'!$B$27&amp;"|2",DB_Prompts!$A$2:$A$800,0))),INDEX(DB_Prompts!$D$2:$D$800,MATCH('My Colleges'!$B$27&amp;"|2",DB_Prompts!$A$2:$A$800,0)),"")</f>
        <v/>
      </c>
      <c r="D108" s="18" t="str">
        <f aca="false">IF(AND($A108&lt;&gt;"",ISNUMBER(MATCH('My Colleges'!$B$27&amp;"|2",DB_Prompts!$A$2:$A$800,0))),INDEX(DB_Prompts!$E$2:$E$800,MATCH('My Colleges'!$B$27&amp;"|2",DB_Prompts!$A$2:$A$800,0)),"")</f>
        <v/>
      </c>
      <c r="E108" s="18" t="str">
        <f aca="false">IF(AND($A108&lt;&gt;"",ISNUMBER(MATCH('My Colleges'!$B$27&amp;"|2",DB_Prompts!$A$2:$A$800,0))),INDEX(DB_Prompts!$F$2:$F$800,MATCH('My Colleges'!$B$27&amp;"|2",DB_Prompts!$A$2:$A$800,0)),"")</f>
        <v/>
      </c>
      <c r="F108" s="18" t="str">
        <f aca="false">IF(AND($A108&lt;&gt;"",ISNUMBER(MATCH('My Colleges'!$B$27&amp;"|2",DB_Prompts!$A$2:$A$800,0))),INDEX(DB_Prompts!$H$2:$H$800,MATCH('My Colleges'!$B$27&amp;"|2",DB_Prompts!$A$2:$A$800,0)),"")</f>
        <v/>
      </c>
      <c r="G108" s="18" t="str">
        <f aca="false">IF(AND($A108&lt;&gt;"",ISNUMBER(MATCH('My Colleges'!$B$27&amp;"|2",DB_Prompts!$A$2:$A$800,0))),INDEX(DB_Prompts!$G$2:$G$800,MATCH('My Colleges'!$B$27&amp;"|2",DB_Prompts!$A$2:$A$800,0)),"")</f>
        <v/>
      </c>
      <c r="H108" s="24"/>
      <c r="I108" s="17" t="str">
        <f aca="false">IF(AND($C108&lt;&gt;"",ISNUMBER('My Colleges'!$I$27)),'My Colleges'!$I$27-10,"")</f>
        <v/>
      </c>
      <c r="J108" s="24"/>
      <c r="K108" s="24"/>
    </row>
    <row r="109" customFormat="false" ht="15" hidden="false" customHeight="true" outlineLevel="0" collapsed="false">
      <c r="A109" s="18" t="str">
        <f aca="false">IF(AND(ISNUMBER(MATCH('My Colleges'!$B$27&amp;"|3",DB_Prompts!$A$2:$A$800,0)),'My Colleges'!$V$27&lt;&gt;"No"),'My Colleges'!$B$27,"")</f>
        <v/>
      </c>
      <c r="B109" s="18" t="str">
        <f aca="false">IF($A109="","",3)</f>
        <v/>
      </c>
      <c r="C109" s="18" t="str">
        <f aca="false">IF(AND($A109&lt;&gt;"",ISNUMBER(MATCH('My Colleges'!$B$27&amp;"|3",DB_Prompts!$A$2:$A$800,0))),INDEX(DB_Prompts!$D$2:$D$800,MATCH('My Colleges'!$B$27&amp;"|3",DB_Prompts!$A$2:$A$800,0)),"")</f>
        <v/>
      </c>
      <c r="D109" s="18" t="str">
        <f aca="false">IF(AND($A109&lt;&gt;"",ISNUMBER(MATCH('My Colleges'!$B$27&amp;"|3",DB_Prompts!$A$2:$A$800,0))),INDEX(DB_Prompts!$E$2:$E$800,MATCH('My Colleges'!$B$27&amp;"|3",DB_Prompts!$A$2:$A$800,0)),"")</f>
        <v/>
      </c>
      <c r="E109" s="18" t="str">
        <f aca="false">IF(AND($A109&lt;&gt;"",ISNUMBER(MATCH('My Colleges'!$B$27&amp;"|3",DB_Prompts!$A$2:$A$800,0))),INDEX(DB_Prompts!$F$2:$F$800,MATCH('My Colleges'!$B$27&amp;"|3",DB_Prompts!$A$2:$A$800,0)),"")</f>
        <v/>
      </c>
      <c r="F109" s="18" t="str">
        <f aca="false">IF(AND($A109&lt;&gt;"",ISNUMBER(MATCH('My Colleges'!$B$27&amp;"|3",DB_Prompts!$A$2:$A$800,0))),INDEX(DB_Prompts!$H$2:$H$800,MATCH('My Colleges'!$B$27&amp;"|3",DB_Prompts!$A$2:$A$800,0)),"")</f>
        <v/>
      </c>
      <c r="G109" s="18" t="str">
        <f aca="false">IF(AND($A109&lt;&gt;"",ISNUMBER(MATCH('My Colleges'!$B$27&amp;"|3",DB_Prompts!$A$2:$A$800,0))),INDEX(DB_Prompts!$G$2:$G$800,MATCH('My Colleges'!$B$27&amp;"|3",DB_Prompts!$A$2:$A$800,0)),"")</f>
        <v/>
      </c>
      <c r="H109" s="24"/>
      <c r="I109" s="17" t="str">
        <f aca="false">IF(AND($C109&lt;&gt;"",ISNUMBER('My Colleges'!$I$27)),'My Colleges'!$I$27-10,"")</f>
        <v/>
      </c>
      <c r="J109" s="24"/>
      <c r="K109" s="24"/>
    </row>
    <row r="110" customFormat="false" ht="15" hidden="false" customHeight="true" outlineLevel="0" collapsed="false">
      <c r="A110" s="18" t="str">
        <f aca="false">IF(AND(ISNUMBER(MATCH('My Colleges'!$B$27&amp;"|4",DB_Prompts!$A$2:$A$800,0)),'My Colleges'!$V$27&lt;&gt;"No"),'My Colleges'!$B$27,"")</f>
        <v/>
      </c>
      <c r="B110" s="18" t="str">
        <f aca="false">IF($A110="","",4)</f>
        <v/>
      </c>
      <c r="C110" s="18" t="str">
        <f aca="false">IF(AND($A110&lt;&gt;"",ISNUMBER(MATCH('My Colleges'!$B$27&amp;"|4",DB_Prompts!$A$2:$A$800,0))),INDEX(DB_Prompts!$D$2:$D$800,MATCH('My Colleges'!$B$27&amp;"|4",DB_Prompts!$A$2:$A$800,0)),"")</f>
        <v/>
      </c>
      <c r="D110" s="18" t="str">
        <f aca="false">IF(AND($A110&lt;&gt;"",ISNUMBER(MATCH('My Colleges'!$B$27&amp;"|4",DB_Prompts!$A$2:$A$800,0))),INDEX(DB_Prompts!$E$2:$E$800,MATCH('My Colleges'!$B$27&amp;"|4",DB_Prompts!$A$2:$A$800,0)),"")</f>
        <v/>
      </c>
      <c r="E110" s="18" t="str">
        <f aca="false">IF(AND($A110&lt;&gt;"",ISNUMBER(MATCH('My Colleges'!$B$27&amp;"|4",DB_Prompts!$A$2:$A$800,0))),INDEX(DB_Prompts!$F$2:$F$800,MATCH('My Colleges'!$B$27&amp;"|4",DB_Prompts!$A$2:$A$800,0)),"")</f>
        <v/>
      </c>
      <c r="F110" s="18" t="str">
        <f aca="false">IF(AND($A110&lt;&gt;"",ISNUMBER(MATCH('My Colleges'!$B$27&amp;"|4",DB_Prompts!$A$2:$A$800,0))),INDEX(DB_Prompts!$H$2:$H$800,MATCH('My Colleges'!$B$27&amp;"|4",DB_Prompts!$A$2:$A$800,0)),"")</f>
        <v/>
      </c>
      <c r="G110" s="18" t="str">
        <f aca="false">IF(AND($A110&lt;&gt;"",ISNUMBER(MATCH('My Colleges'!$B$27&amp;"|4",DB_Prompts!$A$2:$A$800,0))),INDEX(DB_Prompts!$G$2:$G$800,MATCH('My Colleges'!$B$27&amp;"|4",DB_Prompts!$A$2:$A$800,0)),"")</f>
        <v/>
      </c>
      <c r="H110" s="24"/>
      <c r="I110" s="17" t="str">
        <f aca="false">IF(AND($C110&lt;&gt;"",ISNUMBER('My Colleges'!$I$27)),'My Colleges'!$I$27-10,"")</f>
        <v/>
      </c>
      <c r="J110" s="24"/>
      <c r="K110" s="24"/>
    </row>
    <row r="111" customFormat="false" ht="15" hidden="false" customHeight="true" outlineLevel="0" collapsed="false">
      <c r="A111" s="18" t="str">
        <f aca="false">IF(AND(ISNUMBER(MATCH('My Colleges'!$B$27&amp;"|5",DB_Prompts!$A$2:$A$800,0)),'My Colleges'!$V$27&lt;&gt;"No"),'My Colleges'!$B$27,"")</f>
        <v/>
      </c>
      <c r="B111" s="18" t="str">
        <f aca="false">IF($A111="","",5)</f>
        <v/>
      </c>
      <c r="C111" s="18" t="str">
        <f aca="false">IF(AND($A111&lt;&gt;"",ISNUMBER(MATCH('My Colleges'!$B$27&amp;"|5",DB_Prompts!$A$2:$A$800,0))),INDEX(DB_Prompts!$D$2:$D$800,MATCH('My Colleges'!$B$27&amp;"|5",DB_Prompts!$A$2:$A$800,0)),"")</f>
        <v/>
      </c>
      <c r="D111" s="18" t="str">
        <f aca="false">IF(AND($A111&lt;&gt;"",ISNUMBER(MATCH('My Colleges'!$B$27&amp;"|5",DB_Prompts!$A$2:$A$800,0))),INDEX(DB_Prompts!$E$2:$E$800,MATCH('My Colleges'!$B$27&amp;"|5",DB_Prompts!$A$2:$A$800,0)),"")</f>
        <v/>
      </c>
      <c r="E111" s="18" t="str">
        <f aca="false">IF(AND($A111&lt;&gt;"",ISNUMBER(MATCH('My Colleges'!$B$27&amp;"|5",DB_Prompts!$A$2:$A$800,0))),INDEX(DB_Prompts!$F$2:$F$800,MATCH('My Colleges'!$B$27&amp;"|5",DB_Prompts!$A$2:$A$800,0)),"")</f>
        <v/>
      </c>
      <c r="F111" s="18" t="str">
        <f aca="false">IF(AND($A111&lt;&gt;"",ISNUMBER(MATCH('My Colleges'!$B$27&amp;"|5",DB_Prompts!$A$2:$A$800,0))),INDEX(DB_Prompts!$H$2:$H$800,MATCH('My Colleges'!$B$27&amp;"|5",DB_Prompts!$A$2:$A$800,0)),"")</f>
        <v/>
      </c>
      <c r="G111" s="18" t="str">
        <f aca="false">IF(AND($A111&lt;&gt;"",ISNUMBER(MATCH('My Colleges'!$B$27&amp;"|5",DB_Prompts!$A$2:$A$800,0))),INDEX(DB_Prompts!$G$2:$G$800,MATCH('My Colleges'!$B$27&amp;"|5",DB_Prompts!$A$2:$A$800,0)),"")</f>
        <v/>
      </c>
      <c r="H111" s="24"/>
      <c r="I111" s="17" t="str">
        <f aca="false">IF(AND($C111&lt;&gt;"",ISNUMBER('My Colleges'!$I$27)),'My Colleges'!$I$27-10,"")</f>
        <v/>
      </c>
      <c r="J111" s="24"/>
      <c r="K111" s="24"/>
    </row>
  </sheetData>
  <mergeCells count="1">
    <mergeCell ref="A2:K2"/>
  </mergeCells>
  <conditionalFormatting sqref="A12:K111">
    <cfRule type="expression" priority="2" aboveAverage="0" equalAverage="0" bottom="0" percent="0" rank="0" text="" dxfId="18">
      <formula>$C12=""</formula>
    </cfRule>
  </conditionalFormatting>
  <conditionalFormatting sqref="A8:K111">
    <cfRule type="expression" priority="3" aboveAverage="0" equalAverage="0" bottom="0" percent="0" rank="0" text="" dxfId="0">
      <formula>AND(ISNUMBER($I8),$I8&lt;TODAY(),$H8&lt;&gt;"Final",$H8&lt;&gt;"Not Needed")</formula>
    </cfRule>
  </conditionalFormatting>
  <dataValidations count="1">
    <dataValidation allowBlank="true" errorStyle="stop" operator="between" showDropDown="false" showErrorMessage="true" showInputMessage="false" sqref="H8:H111" type="list">
      <formula1>"Not Started,Drafting,In Review,Near Final,Final,Not Needed"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24"/>
    <col collapsed="false" customWidth="true" hidden="false" outlineLevel="0" max="3" min="3" style="1" width="11"/>
    <col collapsed="false" customWidth="true" hidden="false" outlineLevel="0" max="4" min="4" style="1" width="13"/>
    <col collapsed="false" customWidth="true" hidden="false" outlineLevel="0" max="5" min="5" style="1" width="8"/>
    <col collapsed="false" customWidth="true" hidden="false" outlineLevel="0" max="6" min="6" style="1" width="11"/>
    <col collapsed="false" customWidth="true" hidden="false" outlineLevel="0" max="7" min="7" style="1" width="44"/>
    <col collapsed="false" customWidth="true" hidden="false" outlineLevel="0" max="8" min="8" style="1" width="14"/>
    <col collapsed="false" customWidth="true" hidden="false" outlineLevel="0" max="9" min="9" style="1" width="11"/>
    <col collapsed="false" customWidth="true" hidden="false" outlineLevel="0" max="10" min="10" style="1" width="26"/>
  </cols>
  <sheetData>
    <row r="1" customFormat="false" ht="30" hidden="false" customHeight="true" outlineLevel="0" collapsed="false">
      <c r="A1" s="2" t="s">
        <v>230</v>
      </c>
      <c r="B1" s="3"/>
      <c r="C1" s="3"/>
      <c r="D1" s="3"/>
      <c r="E1" s="3"/>
      <c r="F1" s="3"/>
      <c r="G1" s="3"/>
      <c r="H1" s="3"/>
      <c r="I1" s="3"/>
      <c r="J1" s="3"/>
    </row>
    <row r="2" customFormat="false" ht="43.5" hidden="false" customHeight="true" outlineLevel="0" collapsed="false">
      <c r="A2" s="4" t="s">
        <v>231</v>
      </c>
      <c r="B2" s="4"/>
      <c r="C2" s="4"/>
      <c r="D2" s="4"/>
      <c r="E2" s="4"/>
      <c r="F2" s="4"/>
      <c r="G2" s="4"/>
      <c r="H2" s="4"/>
      <c r="I2" s="4"/>
      <c r="J2" s="4"/>
    </row>
    <row r="4" customFormat="false" ht="25.5" hidden="false" customHeight="true" outlineLevel="0" collapsed="false">
      <c r="A4" s="12" t="s">
        <v>232</v>
      </c>
      <c r="C4" s="12" t="s">
        <v>152</v>
      </c>
      <c r="F4" s="12" t="s">
        <v>233</v>
      </c>
    </row>
    <row r="5" customFormat="false" ht="17.25" hidden="false" customHeight="true" outlineLevel="0" collapsed="false">
      <c r="A5" s="14" t="n">
        <f aca="false">COUNTA(A8:A47)</f>
        <v>3</v>
      </c>
      <c r="C5" s="14" t="n">
        <f aca="false">COUNTIF(H8:H47,"Submitted")+COUNTIF(H8:H47,"Awarded")+COUNTIF(H8:H47,"Not Selected")</f>
        <v>0</v>
      </c>
      <c r="F5" s="43" t="n">
        <f aca="false">SUM(I8:I47)</f>
        <v>0</v>
      </c>
    </row>
    <row r="7" customFormat="false" ht="31.5" hidden="false" customHeight="true" outlineLevel="0" collapsed="false">
      <c r="A7" s="16" t="s">
        <v>234</v>
      </c>
      <c r="B7" s="16" t="s">
        <v>235</v>
      </c>
      <c r="C7" s="16" t="s">
        <v>236</v>
      </c>
      <c r="D7" s="16" t="s">
        <v>237</v>
      </c>
      <c r="E7" s="16" t="s">
        <v>49</v>
      </c>
      <c r="F7" s="16" t="s">
        <v>238</v>
      </c>
      <c r="G7" s="16" t="s">
        <v>239</v>
      </c>
      <c r="H7" s="16" t="s">
        <v>168</v>
      </c>
      <c r="I7" s="16" t="s">
        <v>240</v>
      </c>
      <c r="J7" s="16" t="s">
        <v>58</v>
      </c>
    </row>
    <row r="8" customFormat="false" ht="34.5" hidden="false" customHeight="true" outlineLevel="0" collapsed="false">
      <c r="A8" s="24" t="s">
        <v>241</v>
      </c>
      <c r="B8" s="24" t="s">
        <v>242</v>
      </c>
      <c r="C8" s="24" t="s">
        <v>243</v>
      </c>
      <c r="D8" s="33"/>
      <c r="E8" s="18" t="str">
        <f aca="true">IF(AND(ISNUMBER(D8),H8&lt;&gt;"Submitted"),D8-TODAY(),"")</f>
        <v/>
      </c>
      <c r="F8" s="44"/>
      <c r="G8" s="24" t="s">
        <v>244</v>
      </c>
      <c r="H8" s="24" t="s">
        <v>245</v>
      </c>
      <c r="I8" s="44"/>
      <c r="J8" s="24"/>
    </row>
    <row r="9" customFormat="false" ht="23.25" hidden="false" customHeight="true" outlineLevel="0" collapsed="false">
      <c r="A9" s="24" t="s">
        <v>246</v>
      </c>
      <c r="B9" s="24" t="s">
        <v>242</v>
      </c>
      <c r="C9" s="24" t="s">
        <v>243</v>
      </c>
      <c r="D9" s="33"/>
      <c r="E9" s="18" t="str">
        <f aca="true">IF(AND(ISNUMBER(D9),H9&lt;&gt;"Submitted"),D9-TODAY(),"")</f>
        <v/>
      </c>
      <c r="F9" s="44"/>
      <c r="G9" s="24" t="s">
        <v>247</v>
      </c>
      <c r="H9" s="24" t="s">
        <v>245</v>
      </c>
      <c r="I9" s="44"/>
      <c r="J9" s="24"/>
    </row>
    <row r="10" customFormat="false" ht="23.25" hidden="false" customHeight="true" outlineLevel="0" collapsed="false">
      <c r="A10" s="24" t="s">
        <v>248</v>
      </c>
      <c r="B10" s="24" t="s">
        <v>249</v>
      </c>
      <c r="C10" s="24" t="s">
        <v>250</v>
      </c>
      <c r="D10" s="33"/>
      <c r="E10" s="18" t="str">
        <f aca="true">IF(AND(ISNUMBER(D10),H10&lt;&gt;"Submitted"),D10-TODAY(),"")</f>
        <v/>
      </c>
      <c r="F10" s="44"/>
      <c r="G10" s="24" t="s">
        <v>251</v>
      </c>
      <c r="H10" s="24" t="s">
        <v>245</v>
      </c>
      <c r="I10" s="44"/>
      <c r="J10" s="24"/>
    </row>
    <row r="11" customFormat="false" ht="15" hidden="false" customHeight="true" outlineLevel="0" collapsed="false">
      <c r="A11" s="24"/>
      <c r="B11" s="24"/>
      <c r="C11" s="24"/>
      <c r="D11" s="33"/>
      <c r="E11" s="18" t="str">
        <f aca="true">IF(AND(ISNUMBER(D11),H11&lt;&gt;"Submitted"),D11-TODAY(),"")</f>
        <v/>
      </c>
      <c r="F11" s="44"/>
      <c r="G11" s="24"/>
      <c r="H11" s="24"/>
      <c r="I11" s="44"/>
      <c r="J11" s="24"/>
    </row>
    <row r="12" customFormat="false" ht="15" hidden="false" customHeight="true" outlineLevel="0" collapsed="false">
      <c r="A12" s="24"/>
      <c r="B12" s="24"/>
      <c r="C12" s="24"/>
      <c r="D12" s="33"/>
      <c r="E12" s="18" t="str">
        <f aca="true">IF(AND(ISNUMBER(D12),H12&lt;&gt;"Submitted"),D12-TODAY(),"")</f>
        <v/>
      </c>
      <c r="F12" s="44"/>
      <c r="G12" s="24"/>
      <c r="H12" s="24"/>
      <c r="I12" s="44"/>
      <c r="J12" s="24"/>
    </row>
    <row r="13" customFormat="false" ht="15" hidden="false" customHeight="true" outlineLevel="0" collapsed="false">
      <c r="A13" s="24"/>
      <c r="B13" s="24"/>
      <c r="C13" s="24"/>
      <c r="D13" s="33"/>
      <c r="E13" s="18" t="str">
        <f aca="true">IF(AND(ISNUMBER(D13),H13&lt;&gt;"Submitted"),D13-TODAY(),"")</f>
        <v/>
      </c>
      <c r="F13" s="44"/>
      <c r="G13" s="24"/>
      <c r="H13" s="24"/>
      <c r="I13" s="44"/>
      <c r="J13" s="24"/>
    </row>
    <row r="14" customFormat="false" ht="15" hidden="false" customHeight="true" outlineLevel="0" collapsed="false">
      <c r="A14" s="24"/>
      <c r="B14" s="24"/>
      <c r="C14" s="24"/>
      <c r="D14" s="33"/>
      <c r="E14" s="18" t="str">
        <f aca="true">IF(AND(ISNUMBER(D14),H14&lt;&gt;"Submitted"),D14-TODAY(),"")</f>
        <v/>
      </c>
      <c r="F14" s="44"/>
      <c r="G14" s="24"/>
      <c r="H14" s="24"/>
      <c r="I14" s="44"/>
      <c r="J14" s="24"/>
    </row>
    <row r="15" customFormat="false" ht="15" hidden="false" customHeight="true" outlineLevel="0" collapsed="false">
      <c r="A15" s="24"/>
      <c r="B15" s="24"/>
      <c r="C15" s="24"/>
      <c r="D15" s="33"/>
      <c r="E15" s="18" t="str">
        <f aca="true">IF(AND(ISNUMBER(D15),H15&lt;&gt;"Submitted"),D15-TODAY(),"")</f>
        <v/>
      </c>
      <c r="F15" s="44"/>
      <c r="G15" s="24"/>
      <c r="H15" s="24"/>
      <c r="I15" s="44"/>
      <c r="J15" s="24"/>
    </row>
    <row r="16" customFormat="false" ht="15" hidden="false" customHeight="true" outlineLevel="0" collapsed="false">
      <c r="A16" s="24"/>
      <c r="B16" s="24"/>
      <c r="C16" s="24"/>
      <c r="D16" s="33"/>
      <c r="E16" s="18" t="str">
        <f aca="true">IF(AND(ISNUMBER(D16),H16&lt;&gt;"Submitted"),D16-TODAY(),"")</f>
        <v/>
      </c>
      <c r="F16" s="44"/>
      <c r="G16" s="24"/>
      <c r="H16" s="24"/>
      <c r="I16" s="44"/>
      <c r="J16" s="24"/>
    </row>
    <row r="17" customFormat="false" ht="15" hidden="false" customHeight="true" outlineLevel="0" collapsed="false">
      <c r="A17" s="24"/>
      <c r="B17" s="24"/>
      <c r="C17" s="24"/>
      <c r="D17" s="33"/>
      <c r="E17" s="18" t="str">
        <f aca="true">IF(AND(ISNUMBER(D17),H17&lt;&gt;"Submitted"),D17-TODAY(),"")</f>
        <v/>
      </c>
      <c r="F17" s="44"/>
      <c r="G17" s="24"/>
      <c r="H17" s="24"/>
      <c r="I17" s="44"/>
      <c r="J17" s="24"/>
    </row>
    <row r="18" customFormat="false" ht="15" hidden="false" customHeight="true" outlineLevel="0" collapsed="false">
      <c r="A18" s="24"/>
      <c r="B18" s="24"/>
      <c r="C18" s="24"/>
      <c r="D18" s="33"/>
      <c r="E18" s="18" t="str">
        <f aca="true">IF(AND(ISNUMBER(D18),H18&lt;&gt;"Submitted"),D18-TODAY(),"")</f>
        <v/>
      </c>
      <c r="F18" s="44"/>
      <c r="G18" s="24"/>
      <c r="H18" s="24"/>
      <c r="I18" s="44"/>
      <c r="J18" s="24"/>
    </row>
    <row r="19" customFormat="false" ht="15" hidden="false" customHeight="true" outlineLevel="0" collapsed="false">
      <c r="A19" s="24"/>
      <c r="B19" s="24"/>
      <c r="C19" s="24"/>
      <c r="D19" s="33"/>
      <c r="E19" s="18" t="str">
        <f aca="true">IF(AND(ISNUMBER(D19),H19&lt;&gt;"Submitted"),D19-TODAY(),"")</f>
        <v/>
      </c>
      <c r="F19" s="44"/>
      <c r="G19" s="24"/>
      <c r="H19" s="24"/>
      <c r="I19" s="44"/>
      <c r="J19" s="24"/>
    </row>
    <row r="20" customFormat="false" ht="15" hidden="false" customHeight="true" outlineLevel="0" collapsed="false">
      <c r="A20" s="24"/>
      <c r="B20" s="24"/>
      <c r="C20" s="24"/>
      <c r="D20" s="33"/>
      <c r="E20" s="18" t="str">
        <f aca="true">IF(AND(ISNUMBER(D20),H20&lt;&gt;"Submitted"),D20-TODAY(),"")</f>
        <v/>
      </c>
      <c r="F20" s="44"/>
      <c r="G20" s="24"/>
      <c r="H20" s="24"/>
      <c r="I20" s="44"/>
      <c r="J20" s="24"/>
    </row>
    <row r="21" customFormat="false" ht="15" hidden="false" customHeight="true" outlineLevel="0" collapsed="false">
      <c r="A21" s="24"/>
      <c r="B21" s="24"/>
      <c r="C21" s="24"/>
      <c r="D21" s="33"/>
      <c r="E21" s="18" t="str">
        <f aca="true">IF(AND(ISNUMBER(D21),H21&lt;&gt;"Submitted"),D21-TODAY(),"")</f>
        <v/>
      </c>
      <c r="F21" s="44"/>
      <c r="G21" s="24"/>
      <c r="H21" s="24"/>
      <c r="I21" s="44"/>
      <c r="J21" s="24"/>
    </row>
    <row r="22" customFormat="false" ht="15" hidden="false" customHeight="true" outlineLevel="0" collapsed="false">
      <c r="A22" s="24"/>
      <c r="B22" s="24"/>
      <c r="C22" s="24"/>
      <c r="D22" s="33"/>
      <c r="E22" s="18" t="str">
        <f aca="true">IF(AND(ISNUMBER(D22),H22&lt;&gt;"Submitted"),D22-TODAY(),"")</f>
        <v/>
      </c>
      <c r="F22" s="44"/>
      <c r="G22" s="24"/>
      <c r="H22" s="24"/>
      <c r="I22" s="44"/>
      <c r="J22" s="24"/>
    </row>
    <row r="23" customFormat="false" ht="15" hidden="false" customHeight="true" outlineLevel="0" collapsed="false">
      <c r="A23" s="24"/>
      <c r="B23" s="24"/>
      <c r="C23" s="24"/>
      <c r="D23" s="33"/>
      <c r="E23" s="18" t="str">
        <f aca="true">IF(AND(ISNUMBER(D23),H23&lt;&gt;"Submitted"),D23-TODAY(),"")</f>
        <v/>
      </c>
      <c r="F23" s="44"/>
      <c r="G23" s="24"/>
      <c r="H23" s="24"/>
      <c r="I23" s="44"/>
      <c r="J23" s="24"/>
    </row>
    <row r="24" customFormat="false" ht="15" hidden="false" customHeight="true" outlineLevel="0" collapsed="false">
      <c r="A24" s="24"/>
      <c r="B24" s="24"/>
      <c r="C24" s="24"/>
      <c r="D24" s="33"/>
      <c r="E24" s="18" t="str">
        <f aca="true">IF(AND(ISNUMBER(D24),H24&lt;&gt;"Submitted"),D24-TODAY(),"")</f>
        <v/>
      </c>
      <c r="F24" s="44"/>
      <c r="G24" s="24"/>
      <c r="H24" s="24"/>
      <c r="I24" s="44"/>
      <c r="J24" s="24"/>
    </row>
    <row r="25" customFormat="false" ht="15" hidden="false" customHeight="true" outlineLevel="0" collapsed="false">
      <c r="A25" s="24"/>
      <c r="B25" s="24"/>
      <c r="C25" s="24"/>
      <c r="D25" s="33"/>
      <c r="E25" s="18" t="str">
        <f aca="true">IF(AND(ISNUMBER(D25),H25&lt;&gt;"Submitted"),D25-TODAY(),"")</f>
        <v/>
      </c>
      <c r="F25" s="44"/>
      <c r="G25" s="24"/>
      <c r="H25" s="24"/>
      <c r="I25" s="44"/>
      <c r="J25" s="24"/>
    </row>
    <row r="26" customFormat="false" ht="15" hidden="false" customHeight="true" outlineLevel="0" collapsed="false">
      <c r="A26" s="24"/>
      <c r="B26" s="24"/>
      <c r="C26" s="24"/>
      <c r="D26" s="33"/>
      <c r="E26" s="18" t="str">
        <f aca="true">IF(AND(ISNUMBER(D26),H26&lt;&gt;"Submitted"),D26-TODAY(),"")</f>
        <v/>
      </c>
      <c r="F26" s="44"/>
      <c r="G26" s="24"/>
      <c r="H26" s="24"/>
      <c r="I26" s="44"/>
      <c r="J26" s="24"/>
    </row>
    <row r="27" customFormat="false" ht="15" hidden="false" customHeight="true" outlineLevel="0" collapsed="false">
      <c r="A27" s="24"/>
      <c r="B27" s="24"/>
      <c r="C27" s="24"/>
      <c r="D27" s="33"/>
      <c r="E27" s="18" t="str">
        <f aca="true">IF(AND(ISNUMBER(D27),H27&lt;&gt;"Submitted"),D27-TODAY(),"")</f>
        <v/>
      </c>
      <c r="F27" s="44"/>
      <c r="G27" s="24"/>
      <c r="H27" s="24"/>
      <c r="I27" s="44"/>
      <c r="J27" s="24"/>
    </row>
    <row r="28" customFormat="false" ht="15" hidden="false" customHeight="true" outlineLevel="0" collapsed="false">
      <c r="A28" s="24"/>
      <c r="B28" s="24"/>
      <c r="C28" s="24"/>
      <c r="D28" s="33"/>
      <c r="E28" s="18" t="str">
        <f aca="true">IF(AND(ISNUMBER(D28),H28&lt;&gt;"Submitted"),D28-TODAY(),"")</f>
        <v/>
      </c>
      <c r="F28" s="44"/>
      <c r="G28" s="24"/>
      <c r="H28" s="24"/>
      <c r="I28" s="44"/>
      <c r="J28" s="24"/>
    </row>
    <row r="29" customFormat="false" ht="15" hidden="false" customHeight="true" outlineLevel="0" collapsed="false">
      <c r="A29" s="24"/>
      <c r="B29" s="24"/>
      <c r="C29" s="24"/>
      <c r="D29" s="33"/>
      <c r="E29" s="18" t="str">
        <f aca="true">IF(AND(ISNUMBER(D29),H29&lt;&gt;"Submitted"),D29-TODAY(),"")</f>
        <v/>
      </c>
      <c r="F29" s="44"/>
      <c r="G29" s="24"/>
      <c r="H29" s="24"/>
      <c r="I29" s="44"/>
      <c r="J29" s="24"/>
    </row>
    <row r="30" customFormat="false" ht="15" hidden="false" customHeight="true" outlineLevel="0" collapsed="false">
      <c r="A30" s="24"/>
      <c r="B30" s="24"/>
      <c r="C30" s="24"/>
      <c r="D30" s="33"/>
      <c r="E30" s="18" t="str">
        <f aca="true">IF(AND(ISNUMBER(D30),H30&lt;&gt;"Submitted"),D30-TODAY(),"")</f>
        <v/>
      </c>
      <c r="F30" s="44"/>
      <c r="G30" s="24"/>
      <c r="H30" s="24"/>
      <c r="I30" s="44"/>
      <c r="J30" s="24"/>
    </row>
    <row r="31" customFormat="false" ht="15" hidden="false" customHeight="true" outlineLevel="0" collapsed="false">
      <c r="A31" s="24"/>
      <c r="B31" s="24"/>
      <c r="C31" s="24"/>
      <c r="D31" s="33"/>
      <c r="E31" s="18" t="str">
        <f aca="true">IF(AND(ISNUMBER(D31),H31&lt;&gt;"Submitted"),D31-TODAY(),"")</f>
        <v/>
      </c>
      <c r="F31" s="44"/>
      <c r="G31" s="24"/>
      <c r="H31" s="24"/>
      <c r="I31" s="44"/>
      <c r="J31" s="24"/>
    </row>
    <row r="32" customFormat="false" ht="15" hidden="false" customHeight="true" outlineLevel="0" collapsed="false">
      <c r="A32" s="24"/>
      <c r="B32" s="24"/>
      <c r="C32" s="24"/>
      <c r="D32" s="33"/>
      <c r="E32" s="18" t="str">
        <f aca="true">IF(AND(ISNUMBER(D32),H32&lt;&gt;"Submitted"),D32-TODAY(),"")</f>
        <v/>
      </c>
      <c r="F32" s="44"/>
      <c r="G32" s="24"/>
      <c r="H32" s="24"/>
      <c r="I32" s="44"/>
      <c r="J32" s="24"/>
    </row>
    <row r="33" customFormat="false" ht="15" hidden="false" customHeight="true" outlineLevel="0" collapsed="false">
      <c r="A33" s="24"/>
      <c r="B33" s="24"/>
      <c r="C33" s="24"/>
      <c r="D33" s="33"/>
      <c r="E33" s="18" t="str">
        <f aca="true">IF(AND(ISNUMBER(D33),H33&lt;&gt;"Submitted"),D33-TODAY(),"")</f>
        <v/>
      </c>
      <c r="F33" s="44"/>
      <c r="G33" s="24"/>
      <c r="H33" s="24"/>
      <c r="I33" s="44"/>
      <c r="J33" s="24"/>
    </row>
    <row r="34" customFormat="false" ht="15" hidden="false" customHeight="true" outlineLevel="0" collapsed="false">
      <c r="A34" s="24"/>
      <c r="B34" s="24"/>
      <c r="C34" s="24"/>
      <c r="D34" s="33"/>
      <c r="E34" s="18" t="str">
        <f aca="true">IF(AND(ISNUMBER(D34),H34&lt;&gt;"Submitted"),D34-TODAY(),"")</f>
        <v/>
      </c>
      <c r="F34" s="44"/>
      <c r="G34" s="24"/>
      <c r="H34" s="24"/>
      <c r="I34" s="44"/>
      <c r="J34" s="24"/>
    </row>
    <row r="35" customFormat="false" ht="15" hidden="false" customHeight="true" outlineLevel="0" collapsed="false">
      <c r="A35" s="24"/>
      <c r="B35" s="24"/>
      <c r="C35" s="24"/>
      <c r="D35" s="33"/>
      <c r="E35" s="18" t="str">
        <f aca="true">IF(AND(ISNUMBER(D35),H35&lt;&gt;"Submitted"),D35-TODAY(),"")</f>
        <v/>
      </c>
      <c r="F35" s="44"/>
      <c r="G35" s="24"/>
      <c r="H35" s="24"/>
      <c r="I35" s="44"/>
      <c r="J35" s="24"/>
    </row>
    <row r="36" customFormat="false" ht="15" hidden="false" customHeight="true" outlineLevel="0" collapsed="false">
      <c r="A36" s="24"/>
      <c r="B36" s="24"/>
      <c r="C36" s="24"/>
      <c r="D36" s="33"/>
      <c r="E36" s="18" t="str">
        <f aca="true">IF(AND(ISNUMBER(D36),H36&lt;&gt;"Submitted"),D36-TODAY(),"")</f>
        <v/>
      </c>
      <c r="F36" s="44"/>
      <c r="G36" s="24"/>
      <c r="H36" s="24"/>
      <c r="I36" s="44"/>
      <c r="J36" s="24"/>
    </row>
    <row r="37" customFormat="false" ht="15" hidden="false" customHeight="true" outlineLevel="0" collapsed="false">
      <c r="A37" s="24"/>
      <c r="B37" s="24"/>
      <c r="C37" s="24"/>
      <c r="D37" s="33"/>
      <c r="E37" s="18" t="str">
        <f aca="true">IF(AND(ISNUMBER(D37),H37&lt;&gt;"Submitted"),D37-TODAY(),"")</f>
        <v/>
      </c>
      <c r="F37" s="44"/>
      <c r="G37" s="24"/>
      <c r="H37" s="24"/>
      <c r="I37" s="44"/>
      <c r="J37" s="24"/>
    </row>
    <row r="38" customFormat="false" ht="15" hidden="false" customHeight="true" outlineLevel="0" collapsed="false">
      <c r="A38" s="24"/>
      <c r="B38" s="24"/>
      <c r="C38" s="24"/>
      <c r="D38" s="33"/>
      <c r="E38" s="18" t="str">
        <f aca="true">IF(AND(ISNUMBER(D38),H38&lt;&gt;"Submitted"),D38-TODAY(),"")</f>
        <v/>
      </c>
      <c r="F38" s="44"/>
      <c r="G38" s="24"/>
      <c r="H38" s="24"/>
      <c r="I38" s="44"/>
      <c r="J38" s="24"/>
    </row>
    <row r="39" customFormat="false" ht="15" hidden="false" customHeight="true" outlineLevel="0" collapsed="false">
      <c r="A39" s="24"/>
      <c r="B39" s="24"/>
      <c r="C39" s="24"/>
      <c r="D39" s="33"/>
      <c r="E39" s="18" t="str">
        <f aca="true">IF(AND(ISNUMBER(D39),H39&lt;&gt;"Submitted"),D39-TODAY(),"")</f>
        <v/>
      </c>
      <c r="F39" s="44"/>
      <c r="G39" s="24"/>
      <c r="H39" s="24"/>
      <c r="I39" s="44"/>
      <c r="J39" s="24"/>
    </row>
    <row r="40" customFormat="false" ht="15" hidden="false" customHeight="true" outlineLevel="0" collapsed="false">
      <c r="A40" s="24"/>
      <c r="B40" s="24"/>
      <c r="C40" s="24"/>
      <c r="D40" s="33"/>
      <c r="E40" s="18" t="str">
        <f aca="true">IF(AND(ISNUMBER(D40),H40&lt;&gt;"Submitted"),D40-TODAY(),"")</f>
        <v/>
      </c>
      <c r="F40" s="44"/>
      <c r="G40" s="24"/>
      <c r="H40" s="24"/>
      <c r="I40" s="44"/>
      <c r="J40" s="24"/>
    </row>
    <row r="41" customFormat="false" ht="15" hidden="false" customHeight="true" outlineLevel="0" collapsed="false">
      <c r="A41" s="24"/>
      <c r="B41" s="24"/>
      <c r="C41" s="24"/>
      <c r="D41" s="33"/>
      <c r="E41" s="18" t="str">
        <f aca="true">IF(AND(ISNUMBER(D41),H41&lt;&gt;"Submitted"),D41-TODAY(),"")</f>
        <v/>
      </c>
      <c r="F41" s="44"/>
      <c r="G41" s="24"/>
      <c r="H41" s="24"/>
      <c r="I41" s="44"/>
      <c r="J41" s="24"/>
    </row>
    <row r="42" customFormat="false" ht="15" hidden="false" customHeight="true" outlineLevel="0" collapsed="false">
      <c r="A42" s="24"/>
      <c r="B42" s="24"/>
      <c r="C42" s="24"/>
      <c r="D42" s="33"/>
      <c r="E42" s="18" t="str">
        <f aca="true">IF(AND(ISNUMBER(D42),H42&lt;&gt;"Submitted"),D42-TODAY(),"")</f>
        <v/>
      </c>
      <c r="F42" s="44"/>
      <c r="G42" s="24"/>
      <c r="H42" s="24"/>
      <c r="I42" s="44"/>
      <c r="J42" s="24"/>
    </row>
    <row r="43" customFormat="false" ht="15" hidden="false" customHeight="true" outlineLevel="0" collapsed="false">
      <c r="A43" s="24"/>
      <c r="B43" s="24"/>
      <c r="C43" s="24"/>
      <c r="D43" s="33"/>
      <c r="E43" s="18" t="str">
        <f aca="true">IF(AND(ISNUMBER(D43),H43&lt;&gt;"Submitted"),D43-TODAY(),"")</f>
        <v/>
      </c>
      <c r="F43" s="44"/>
      <c r="G43" s="24"/>
      <c r="H43" s="24"/>
      <c r="I43" s="44"/>
      <c r="J43" s="24"/>
    </row>
    <row r="44" customFormat="false" ht="15" hidden="false" customHeight="true" outlineLevel="0" collapsed="false">
      <c r="A44" s="24"/>
      <c r="B44" s="24"/>
      <c r="C44" s="24"/>
      <c r="D44" s="33"/>
      <c r="E44" s="18" t="str">
        <f aca="true">IF(AND(ISNUMBER(D44),H44&lt;&gt;"Submitted"),D44-TODAY(),"")</f>
        <v/>
      </c>
      <c r="F44" s="44"/>
      <c r="G44" s="24"/>
      <c r="H44" s="24"/>
      <c r="I44" s="44"/>
      <c r="J44" s="24"/>
    </row>
    <row r="45" customFormat="false" ht="15" hidden="false" customHeight="true" outlineLevel="0" collapsed="false">
      <c r="A45" s="24"/>
      <c r="B45" s="24"/>
      <c r="C45" s="24"/>
      <c r="D45" s="33"/>
      <c r="E45" s="18" t="str">
        <f aca="true">IF(AND(ISNUMBER(D45),H45&lt;&gt;"Submitted"),D45-TODAY(),"")</f>
        <v/>
      </c>
      <c r="F45" s="44"/>
      <c r="G45" s="24"/>
      <c r="H45" s="24"/>
      <c r="I45" s="44"/>
      <c r="J45" s="24"/>
    </row>
    <row r="46" customFormat="false" ht="15" hidden="false" customHeight="true" outlineLevel="0" collapsed="false">
      <c r="A46" s="24"/>
      <c r="B46" s="24"/>
      <c r="C46" s="24"/>
      <c r="D46" s="33"/>
      <c r="E46" s="18" t="str">
        <f aca="true">IF(AND(ISNUMBER(D46),H46&lt;&gt;"Submitted"),D46-TODAY(),"")</f>
        <v/>
      </c>
      <c r="F46" s="44"/>
      <c r="G46" s="24"/>
      <c r="H46" s="24"/>
      <c r="I46" s="44"/>
      <c r="J46" s="24"/>
    </row>
    <row r="47" customFormat="false" ht="15" hidden="false" customHeight="true" outlineLevel="0" collapsed="false">
      <c r="A47" s="24"/>
      <c r="B47" s="24"/>
      <c r="C47" s="24"/>
      <c r="D47" s="33"/>
      <c r="E47" s="18" t="str">
        <f aca="true">IF(AND(ISNUMBER(D47),H47&lt;&gt;"Submitted"),D47-TODAY(),"")</f>
        <v/>
      </c>
      <c r="F47" s="44"/>
      <c r="G47" s="24"/>
      <c r="H47" s="24"/>
      <c r="I47" s="44"/>
      <c r="J47" s="24"/>
    </row>
    <row r="50" customFormat="false" ht="15" hidden="false" customHeight="true" outlineLevel="0" collapsed="false">
      <c r="A50" s="45" t="s">
        <v>252</v>
      </c>
    </row>
    <row r="51" customFormat="false" ht="15" hidden="false" customHeight="true" outlineLevel="0" collapsed="false">
      <c r="A51" s="36" t="s">
        <v>50</v>
      </c>
      <c r="B51" s="46"/>
      <c r="C51" s="46"/>
      <c r="D51" s="46"/>
      <c r="E51" s="46"/>
      <c r="F51" s="46"/>
      <c r="G51" s="46"/>
    </row>
    <row r="52" customFormat="false" ht="15" hidden="false" customHeight="true" outlineLevel="0" collapsed="false">
      <c r="A52" s="36" t="s">
        <v>253</v>
      </c>
      <c r="B52" s="47"/>
      <c r="C52" s="47"/>
      <c r="D52" s="47"/>
      <c r="E52" s="47"/>
      <c r="F52" s="47"/>
      <c r="G52" s="47"/>
    </row>
    <row r="53" customFormat="false" ht="15" hidden="false" customHeight="true" outlineLevel="0" collapsed="false">
      <c r="A53" s="36" t="s">
        <v>254</v>
      </c>
      <c r="B53" s="47"/>
      <c r="C53" s="47"/>
      <c r="D53" s="47"/>
      <c r="E53" s="47"/>
      <c r="F53" s="47"/>
      <c r="G53" s="47"/>
    </row>
    <row r="54" customFormat="false" ht="15" hidden="false" customHeight="true" outlineLevel="0" collapsed="false">
      <c r="A54" s="6" t="s">
        <v>255</v>
      </c>
      <c r="B54" s="48" t="n">
        <f aca="false">SUM(B52:B53)</f>
        <v>0</v>
      </c>
      <c r="C54" s="48" t="n">
        <f aca="false">SUM(C52:C53)</f>
        <v>0</v>
      </c>
      <c r="D54" s="48" t="n">
        <f aca="false">SUM(D52:D53)</f>
        <v>0</v>
      </c>
      <c r="E54" s="48" t="n">
        <f aca="false">SUM(E52:E53)</f>
        <v>0</v>
      </c>
      <c r="F54" s="48" t="n">
        <f aca="false">SUM(F52:F53)</f>
        <v>0</v>
      </c>
      <c r="G54" s="48" t="n">
        <f aca="false">SUM(G52:G53)</f>
        <v>0</v>
      </c>
    </row>
    <row r="55" customFormat="false" ht="15" hidden="false" customHeight="true" outlineLevel="0" collapsed="false">
      <c r="A55" s="36" t="s">
        <v>256</v>
      </c>
      <c r="B55" s="47"/>
      <c r="C55" s="47"/>
      <c r="D55" s="47"/>
      <c r="E55" s="47"/>
      <c r="F55" s="47"/>
      <c r="G55" s="47"/>
    </row>
    <row r="56" customFormat="false" ht="15" hidden="false" customHeight="true" outlineLevel="0" collapsed="false">
      <c r="A56" s="36" t="s">
        <v>257</v>
      </c>
      <c r="B56" s="47"/>
      <c r="C56" s="47"/>
      <c r="D56" s="47"/>
      <c r="E56" s="47"/>
      <c r="F56" s="47"/>
      <c r="G56" s="47"/>
    </row>
    <row r="57" customFormat="false" ht="15" hidden="false" customHeight="true" outlineLevel="0" collapsed="false">
      <c r="A57" s="36" t="s">
        <v>258</v>
      </c>
      <c r="B57" s="47"/>
      <c r="C57" s="47"/>
      <c r="D57" s="47"/>
      <c r="E57" s="47"/>
      <c r="F57" s="47"/>
      <c r="G57" s="47"/>
    </row>
    <row r="58" customFormat="false" ht="15" hidden="false" customHeight="true" outlineLevel="0" collapsed="false">
      <c r="A58" s="36" t="s">
        <v>259</v>
      </c>
      <c r="B58" s="47"/>
      <c r="C58" s="47"/>
      <c r="D58" s="47"/>
      <c r="E58" s="47"/>
      <c r="F58" s="47"/>
      <c r="G58" s="47"/>
    </row>
    <row r="59" customFormat="false" ht="15" hidden="false" customHeight="true" outlineLevel="0" collapsed="false">
      <c r="A59" s="6" t="s">
        <v>260</v>
      </c>
      <c r="B59" s="48" t="n">
        <f aca="false">SUM(B55:B58)</f>
        <v>0</v>
      </c>
      <c r="C59" s="48" t="n">
        <f aca="false">SUM(C55:C58)</f>
        <v>0</v>
      </c>
      <c r="D59" s="48" t="n">
        <f aca="false">SUM(D55:D58)</f>
        <v>0</v>
      </c>
      <c r="E59" s="48" t="n">
        <f aca="false">SUM(E55:E58)</f>
        <v>0</v>
      </c>
      <c r="F59" s="48" t="n">
        <f aca="false">SUM(F55:F58)</f>
        <v>0</v>
      </c>
      <c r="G59" s="48" t="n">
        <f aca="false">SUM(G55:G58)</f>
        <v>0</v>
      </c>
    </row>
    <row r="60" customFormat="false" ht="15" hidden="false" customHeight="true" outlineLevel="0" collapsed="false">
      <c r="A60" s="36" t="s">
        <v>261</v>
      </c>
      <c r="B60" s="47"/>
      <c r="C60" s="47"/>
      <c r="D60" s="47"/>
      <c r="E60" s="47"/>
      <c r="F60" s="47"/>
      <c r="G60" s="47"/>
    </row>
    <row r="61" customFormat="false" ht="15" hidden="false" customHeight="true" outlineLevel="0" collapsed="false">
      <c r="A61" s="36" t="s">
        <v>262</v>
      </c>
      <c r="B61" s="47"/>
      <c r="C61" s="47"/>
      <c r="D61" s="47"/>
      <c r="E61" s="47"/>
      <c r="F61" s="47"/>
      <c r="G61" s="47"/>
    </row>
    <row r="62" customFormat="false" ht="15" hidden="false" customHeight="true" outlineLevel="0" collapsed="false">
      <c r="A62" s="6" t="s">
        <v>263</v>
      </c>
      <c r="B62" s="48" t="n">
        <f aca="false">B54-B59</f>
        <v>0</v>
      </c>
      <c r="C62" s="48" t="n">
        <f aca="false">C54-C59</f>
        <v>0</v>
      </c>
      <c r="D62" s="48" t="n">
        <f aca="false">D54-D59</f>
        <v>0</v>
      </c>
      <c r="E62" s="48" t="n">
        <f aca="false">E54-E59</f>
        <v>0</v>
      </c>
      <c r="F62" s="48" t="n">
        <f aca="false">F54-F59</f>
        <v>0</v>
      </c>
      <c r="G62" s="48" t="n">
        <f aca="false">G54-G59</f>
        <v>0</v>
      </c>
    </row>
    <row r="63" customFormat="false" ht="15" hidden="false" customHeight="true" outlineLevel="0" collapsed="false">
      <c r="A63" s="6" t="s">
        <v>264</v>
      </c>
      <c r="B63" s="48" t="n">
        <f aca="false">B62-B60-B61</f>
        <v>0</v>
      </c>
      <c r="C63" s="48" t="n">
        <f aca="false">C62-C60-C61</f>
        <v>0</v>
      </c>
      <c r="D63" s="48" t="n">
        <f aca="false">D62-D60-D61</f>
        <v>0</v>
      </c>
      <c r="E63" s="48" t="n">
        <f aca="false">E62-E60-E61</f>
        <v>0</v>
      </c>
      <c r="F63" s="48" t="n">
        <f aca="false">F62-F60-F61</f>
        <v>0</v>
      </c>
      <c r="G63" s="48" t="n">
        <f aca="false">G62-G60-G61</f>
        <v>0</v>
      </c>
    </row>
    <row r="64" customFormat="false" ht="15" hidden="false" customHeight="true" outlineLevel="0" collapsed="false">
      <c r="A64" s="6" t="s">
        <v>265</v>
      </c>
      <c r="B64" s="48" t="n">
        <f aca="false">B63/2</f>
        <v>0</v>
      </c>
      <c r="C64" s="48" t="n">
        <f aca="false">C63/2</f>
        <v>0</v>
      </c>
      <c r="D64" s="48" t="n">
        <f aca="false">D63/2</f>
        <v>0</v>
      </c>
      <c r="E64" s="48" t="n">
        <f aca="false">E63/2</f>
        <v>0</v>
      </c>
      <c r="F64" s="48" t="n">
        <f aca="false">F63/2</f>
        <v>0</v>
      </c>
      <c r="G64" s="48" t="n">
        <f aca="false">G63/2</f>
        <v>0</v>
      </c>
    </row>
    <row r="65" customFormat="false" ht="15" hidden="false" customHeight="true" outlineLevel="0" collapsed="false">
      <c r="A65" s="36" t="s">
        <v>266</v>
      </c>
      <c r="B65" s="47"/>
      <c r="C65" s="47"/>
      <c r="D65" s="47"/>
      <c r="E65" s="47"/>
      <c r="F65" s="47"/>
      <c r="G65" s="47"/>
    </row>
    <row r="66" customFormat="false" ht="15" hidden="false" customHeight="true" outlineLevel="0" collapsed="false">
      <c r="A66" s="20" t="s">
        <v>267</v>
      </c>
    </row>
  </sheetData>
  <mergeCells count="1">
    <mergeCell ref="A2:J2"/>
  </mergeCells>
  <conditionalFormatting sqref="A8:J47">
    <cfRule type="expression" priority="2" aboveAverage="0" equalAverage="0" bottom="0" percent="0" rank="0" text="" dxfId="0">
      <formula>AND(ISNUMBER($D8),$D8&lt;TODAY(),$H8&lt;&gt;"Submitted",$H8&lt;&gt;"Awarded",$H8&lt;&gt;"Not Selected")</formula>
    </cfRule>
    <cfRule type="expression" priority="3" aboveAverage="0" equalAverage="0" bottom="0" percent="0" rank="0" text="" dxfId="1">
      <formula>AND(ISNUMBER($D8),$D8&gt;=TODAY(),$D8&lt;=TODAY()+7,$H8&lt;&gt;"Submitted")</formula>
    </cfRule>
  </conditionalFormatting>
  <dataValidations count="2">
    <dataValidation allowBlank="true" errorStyle="stop" operator="between" showDropDown="false" showErrorMessage="true" showInputMessage="false" sqref="C8:C47" type="list">
      <formula1>"Local,Georgia,State,National,College"</formula1>
      <formula2>0</formula2>
    </dataValidation>
    <dataValidation allowBlank="true" errorStyle="stop" operator="between" showDropDown="false" showErrorMessage="true" showInputMessage="false" sqref="H8:H47" type="list">
      <formula1>"Not Started,In Progress,Submitted,Awarded,Not Selected"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30"/>
    <col collapsed="false" customWidth="true" hidden="false" outlineLevel="0" max="5" min="4" style="1" width="14"/>
    <col collapsed="false" customWidth="true" hidden="false" outlineLevel="0" max="7" min="6" style="1" width="12"/>
    <col collapsed="false" customWidth="true" hidden="false" outlineLevel="0" max="8" min="8" style="1" width="30"/>
  </cols>
  <sheetData>
    <row r="1" customFormat="false" ht="30" hidden="false" customHeight="true" outlineLevel="0" collapsed="false">
      <c r="A1" s="2" t="s">
        <v>268</v>
      </c>
      <c r="B1" s="3"/>
      <c r="C1" s="3"/>
      <c r="D1" s="3"/>
      <c r="E1" s="3"/>
      <c r="F1" s="3"/>
      <c r="G1" s="3"/>
      <c r="H1" s="3"/>
    </row>
    <row r="2" customFormat="false" ht="43.5" hidden="false" customHeight="true" outlineLevel="0" collapsed="false">
      <c r="A2" s="4" t="s">
        <v>269</v>
      </c>
      <c r="B2" s="4"/>
      <c r="C2" s="4"/>
      <c r="D2" s="4"/>
      <c r="E2" s="4"/>
      <c r="F2" s="4"/>
      <c r="G2" s="4"/>
      <c r="H2" s="4"/>
    </row>
    <row r="4" customFormat="false" ht="31.5" hidden="false" customHeight="true" outlineLevel="0" collapsed="false">
      <c r="A4" s="16" t="s">
        <v>270</v>
      </c>
      <c r="B4" s="16" t="s">
        <v>271</v>
      </c>
    </row>
    <row r="5" customFormat="false" ht="15" hidden="false" customHeight="true" outlineLevel="0" collapsed="false">
      <c r="A5" s="49" t="s">
        <v>272</v>
      </c>
      <c r="B5" s="50"/>
    </row>
    <row r="6" customFormat="false" ht="15" hidden="false" customHeight="true" outlineLevel="0" collapsed="false">
      <c r="A6" s="49" t="s">
        <v>274</v>
      </c>
      <c r="B6" s="50"/>
    </row>
    <row r="7" customFormat="false" ht="15" hidden="false" customHeight="true" outlineLevel="0" collapsed="false">
      <c r="A7" s="49" t="s">
        <v>276</v>
      </c>
      <c r="B7" s="50"/>
    </row>
    <row r="8" customFormat="false" ht="15" hidden="false" customHeight="true" outlineLevel="0" collapsed="false">
      <c r="A8" s="49" t="s">
        <v>278</v>
      </c>
      <c r="B8" s="50"/>
    </row>
    <row r="9" customFormat="false" ht="15" hidden="false" customHeight="true" outlineLevel="0" collapsed="false">
      <c r="A9" s="49" t="s">
        <v>280</v>
      </c>
      <c r="B9" s="50"/>
    </row>
    <row r="10" customFormat="false" ht="15" hidden="false" customHeight="true" outlineLevel="0" collapsed="false">
      <c r="A10" s="49" t="s">
        <v>281</v>
      </c>
      <c r="B10" s="50"/>
    </row>
    <row r="11" customFormat="false" ht="15" hidden="false" customHeight="true" outlineLevel="0" collapsed="false">
      <c r="A11" s="49" t="s">
        <v>282</v>
      </c>
      <c r="B11" s="50"/>
      <c r="C11" s="51" t="s">
        <v>283</v>
      </c>
    </row>
    <row r="12" customFormat="false" ht="15" hidden="false" customHeight="true" outlineLevel="0" collapsed="false">
      <c r="A12" s="49" t="s">
        <v>284</v>
      </c>
      <c r="B12" s="50"/>
    </row>
    <row r="13" customFormat="false" ht="15" hidden="false" customHeight="true" outlineLevel="0" collapsed="false">
      <c r="A13" s="49" t="s">
        <v>285</v>
      </c>
      <c r="B13" s="50"/>
    </row>
    <row r="14" customFormat="false" ht="15" hidden="false" customHeight="true" outlineLevel="0" collapsed="false">
      <c r="A14" s="49" t="s">
        <v>286</v>
      </c>
      <c r="B14" s="50"/>
    </row>
    <row r="15" customFormat="false" ht="15" hidden="false" customHeight="true" outlineLevel="0" collapsed="false">
      <c r="A15" s="49" t="s">
        <v>287</v>
      </c>
      <c r="B15" s="50"/>
    </row>
    <row r="16" customFormat="false" ht="15" hidden="false" customHeight="true" outlineLevel="0" collapsed="false">
      <c r="A16" s="20" t="s">
        <v>288</v>
      </c>
    </row>
    <row r="18" customFormat="false" ht="31.5" hidden="false" customHeight="true" outlineLevel="0" collapsed="false">
      <c r="A18" s="16" t="s">
        <v>289</v>
      </c>
      <c r="B18" s="16" t="s">
        <v>235</v>
      </c>
      <c r="C18" s="16" t="s">
        <v>290</v>
      </c>
      <c r="D18" s="16" t="s">
        <v>291</v>
      </c>
    </row>
    <row r="19" customFormat="false" ht="15" hidden="false" customHeight="true" outlineLevel="0" collapsed="false">
      <c r="A19" s="50" t="s">
        <v>292</v>
      </c>
      <c r="B19" s="50" t="s">
        <v>293</v>
      </c>
      <c r="C19" s="50"/>
      <c r="D19" s="50"/>
    </row>
    <row r="20" customFormat="false" ht="15" hidden="false" customHeight="true" outlineLevel="0" collapsed="false">
      <c r="A20" s="50" t="s">
        <v>294</v>
      </c>
      <c r="B20" s="50" t="s">
        <v>242</v>
      </c>
      <c r="C20" s="50"/>
      <c r="D20" s="50"/>
    </row>
    <row r="21" customFormat="false" ht="15" hidden="false" customHeight="true" outlineLevel="0" collapsed="false">
      <c r="A21" s="50" t="s">
        <v>295</v>
      </c>
      <c r="B21" s="50" t="s">
        <v>249</v>
      </c>
      <c r="C21" s="50"/>
      <c r="D21" s="50"/>
    </row>
    <row r="22" customFormat="false" ht="15" hidden="false" customHeight="true" outlineLevel="0" collapsed="false">
      <c r="A22" s="50" t="s">
        <v>296</v>
      </c>
      <c r="B22" s="50" t="s">
        <v>249</v>
      </c>
      <c r="C22" s="50"/>
      <c r="D22" s="50"/>
    </row>
    <row r="23" customFormat="false" ht="15" hidden="false" customHeight="true" outlineLevel="0" collapsed="false">
      <c r="A23" s="50" t="s">
        <v>297</v>
      </c>
      <c r="B23" s="50" t="s">
        <v>298</v>
      </c>
      <c r="C23" s="50"/>
      <c r="D23" s="50"/>
    </row>
    <row r="24" customFormat="false" ht="15" hidden="false" customHeight="true" outlineLevel="0" collapsed="false">
      <c r="A24" s="50" t="s">
        <v>299</v>
      </c>
      <c r="B24" s="50" t="s">
        <v>300</v>
      </c>
      <c r="C24" s="50"/>
      <c r="D24" s="50"/>
    </row>
    <row r="25" customFormat="false" ht="15" hidden="false" customHeight="true" outlineLevel="0" collapsed="false">
      <c r="A25" s="50"/>
      <c r="B25" s="50"/>
      <c r="C25" s="50"/>
      <c r="D25" s="50"/>
    </row>
    <row r="26" customFormat="false" ht="15" hidden="false" customHeight="true" outlineLevel="0" collapsed="false">
      <c r="A26" s="50"/>
      <c r="B26" s="50"/>
      <c r="C26" s="50"/>
      <c r="D26" s="50"/>
    </row>
    <row r="27" customFormat="false" ht="15" hidden="false" customHeight="true" outlineLevel="0" collapsed="false">
      <c r="A27" s="50"/>
      <c r="B27" s="50"/>
      <c r="C27" s="50"/>
      <c r="D27" s="50"/>
    </row>
    <row r="28" customFormat="false" ht="15" hidden="false" customHeight="true" outlineLevel="0" collapsed="false">
      <c r="A28" s="50"/>
      <c r="B28" s="50"/>
      <c r="C28" s="50"/>
      <c r="D28" s="50"/>
    </row>
    <row r="29" customFormat="false" ht="15" hidden="false" customHeight="true" outlineLevel="0" collapsed="false">
      <c r="A29" s="50"/>
      <c r="B29" s="50"/>
      <c r="C29" s="50"/>
      <c r="D29" s="50"/>
    </row>
    <row r="30" customFormat="false" ht="15" hidden="false" customHeight="true" outlineLevel="0" collapsed="false">
      <c r="A30" s="50"/>
      <c r="B30" s="50"/>
      <c r="C30" s="50"/>
      <c r="D30" s="50"/>
    </row>
    <row r="31" customFormat="false" ht="15" hidden="false" customHeight="true" outlineLevel="0" collapsed="false">
      <c r="A31" s="50"/>
      <c r="B31" s="50"/>
      <c r="C31" s="50"/>
      <c r="D31" s="50"/>
    </row>
    <row r="32" customFormat="false" ht="15" hidden="false" customHeight="true" outlineLevel="0" collapsed="false">
      <c r="A32" s="50"/>
      <c r="B32" s="50"/>
      <c r="C32" s="50"/>
      <c r="D32" s="50"/>
    </row>
    <row r="33" customFormat="false" ht="15" hidden="false" customHeight="true" outlineLevel="0" collapsed="false">
      <c r="A33" s="20" t="s">
        <v>301</v>
      </c>
    </row>
    <row r="35" customFormat="false" ht="31.5" hidden="false" customHeight="true" outlineLevel="0" collapsed="false">
      <c r="A35" s="16" t="s">
        <v>302</v>
      </c>
      <c r="B35" s="16" t="s">
        <v>303</v>
      </c>
      <c r="C35" s="16" t="s">
        <v>304</v>
      </c>
      <c r="D35" s="16" t="s">
        <v>305</v>
      </c>
      <c r="E35" s="16" t="s">
        <v>306</v>
      </c>
      <c r="F35" s="16" t="s">
        <v>307</v>
      </c>
      <c r="G35" s="16" t="s">
        <v>308</v>
      </c>
      <c r="H35" s="16" t="s">
        <v>58</v>
      </c>
    </row>
    <row r="36" customFormat="false" ht="15" hidden="false" customHeight="true" outlineLevel="0" collapsed="false">
      <c r="A36" s="50"/>
      <c r="B36" s="50" t="s">
        <v>309</v>
      </c>
      <c r="C36" s="50"/>
      <c r="D36" s="52"/>
      <c r="E36" s="50"/>
      <c r="F36" s="50"/>
      <c r="G36" s="50"/>
      <c r="H36" s="50"/>
    </row>
    <row r="37" customFormat="false" ht="15" hidden="false" customHeight="true" outlineLevel="0" collapsed="false">
      <c r="A37" s="50"/>
      <c r="B37" s="50" t="s">
        <v>310</v>
      </c>
      <c r="C37" s="50"/>
      <c r="D37" s="52"/>
      <c r="E37" s="50"/>
      <c r="F37" s="50"/>
      <c r="G37" s="50"/>
      <c r="H37" s="50"/>
    </row>
    <row r="38" customFormat="false" ht="15" hidden="false" customHeight="true" outlineLevel="0" collapsed="false">
      <c r="A38" s="50"/>
      <c r="B38" s="50" t="s">
        <v>311</v>
      </c>
      <c r="C38" s="50"/>
      <c r="D38" s="52"/>
      <c r="E38" s="50"/>
      <c r="F38" s="50"/>
      <c r="G38" s="50"/>
      <c r="H38" s="50"/>
    </row>
    <row r="39" customFormat="false" ht="15" hidden="false" customHeight="true" outlineLevel="0" collapsed="false">
      <c r="A39" s="50"/>
      <c r="B39" s="50"/>
      <c r="C39" s="50"/>
      <c r="D39" s="52"/>
      <c r="E39" s="50"/>
      <c r="F39" s="50"/>
      <c r="G39" s="50"/>
      <c r="H39" s="50"/>
    </row>
    <row r="40" customFormat="false" ht="15" hidden="false" customHeight="true" outlineLevel="0" collapsed="false">
      <c r="A40" s="50"/>
      <c r="B40" s="50"/>
      <c r="C40" s="50"/>
      <c r="D40" s="52"/>
      <c r="E40" s="50"/>
      <c r="F40" s="50"/>
      <c r="G40" s="50"/>
      <c r="H40" s="50"/>
    </row>
    <row r="41" customFormat="false" ht="15" hidden="false" customHeight="true" outlineLevel="0" collapsed="false">
      <c r="A41" s="50"/>
      <c r="B41" s="50"/>
      <c r="C41" s="50"/>
      <c r="D41" s="52"/>
      <c r="E41" s="50"/>
      <c r="F41" s="50"/>
      <c r="G41" s="50"/>
      <c r="H41" s="50"/>
    </row>
    <row r="42" customFormat="false" ht="15" hidden="false" customHeight="true" outlineLevel="0" collapsed="false">
      <c r="A42" s="50"/>
      <c r="B42" s="50"/>
      <c r="C42" s="50"/>
      <c r="D42" s="52"/>
      <c r="E42" s="50"/>
      <c r="F42" s="50"/>
      <c r="G42" s="50"/>
      <c r="H42" s="50"/>
    </row>
    <row r="43" customFormat="false" ht="15" hidden="false" customHeight="true" outlineLevel="0" collapsed="false">
      <c r="A43" s="50"/>
      <c r="B43" s="50"/>
      <c r="C43" s="50"/>
      <c r="D43" s="52"/>
      <c r="E43" s="50"/>
      <c r="F43" s="50"/>
      <c r="G43" s="50"/>
      <c r="H43" s="50"/>
    </row>
    <row r="44" customFormat="false" ht="15" hidden="false" customHeight="true" outlineLevel="0" collapsed="false">
      <c r="A44" s="20" t="s">
        <v>312</v>
      </c>
    </row>
  </sheetData>
  <mergeCells count="1">
    <mergeCell ref="A2:H2"/>
  </mergeCells>
  <dataValidations count="7">
    <dataValidation allowBlank="true" errorStyle="stop" operator="between" showDropDown="false" showErrorMessage="true" showInputMessage="false" sqref="D19:D32" type="list">
      <formula1>"Yes,No"</formula1>
      <formula2>0</formula2>
    </dataValidation>
    <dataValidation allowBlank="true" errorStyle="stop" operator="between" showDropDown="false" showErrorMessage="true" showInputMessage="false" sqref="E36:G43" type="list">
      <formula1>"Yes,No"</formula1>
      <formula2>0</formula2>
    </dataValidation>
    <dataValidation allowBlank="true" errorStyle="stop" operator="between" showDropDown="false" showErrorMessage="true" showInputMessage="false" sqref="B36:B43" type="list">
      <formula1>"Teacher 1,Teacher 2,School counselor,Peer,Coach,Employer,Mentor,UB staff,Other"</formula1>
      <formula2>0</formula2>
    </dataValidation>
    <dataValidation allowBlank="true" error="GPA must be 0 to 5, SAT 400 to 1600, ACT 1 to 36." errorStyle="stop" errorTitle="Check this number" operator="between" showDropDown="false" showErrorMessage="true" showInputMessage="false" sqref="B10" type="decimal">
      <formula1>0</formula1>
      <formula2>5.5</formula2>
    </dataValidation>
    <dataValidation allowBlank="true" error="GPA must be 0 to 5, SAT 400 to 1600, ACT 1 to 36." errorStyle="stop" errorTitle="Check this number" operator="between" showDropDown="false" showErrorMessage="true" showInputMessage="false" sqref="B11:B12" type="decimal">
      <formula1>0</formula1>
      <formula2>5</formula2>
    </dataValidation>
    <dataValidation allowBlank="true" error="GPA must be 0 to 5, SAT 400 to 1600, ACT 1 to 36." errorStyle="stop" errorTitle="Check this number" operator="between" showDropDown="false" showErrorMessage="true" showInputMessage="false" sqref="B13" type="whole">
      <formula1>400</formula1>
      <formula2>1600</formula2>
    </dataValidation>
    <dataValidation allowBlank="true" error="GPA must be 0 to 5, SAT 400 to 1600, ACT 1 to 36." errorStyle="stop" errorTitle="Check this number" operator="between" showDropDown="false" showErrorMessage="true" showInputMessage="false" sqref="B14" type="whole">
      <formula1>1</formula1>
      <formula2>36</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
    <col collapsed="false" customWidth="true" hidden="false" outlineLevel="0" max="3" min="3" style="1" width="10"/>
    <col collapsed="false" customWidth="true" hidden="false" outlineLevel="0" max="4" min="4" style="1" width="12"/>
    <col collapsed="false" customWidth="true" hidden="false" outlineLevel="0" max="5" min="5" style="1" width="10"/>
    <col collapsed="false" customWidth="true" hidden="false" outlineLevel="0" max="6" min="6" style="1" width="9"/>
    <col collapsed="false" customWidth="true" hidden="false" outlineLevel="0" max="7" min="7" style="1" width="13"/>
    <col collapsed="false" customWidth="true" hidden="false" outlineLevel="0" max="8" min="8" style="1" width="9"/>
    <col collapsed="false" customWidth="true" hidden="false" outlineLevel="0" max="9" min="9" style="1" width="11"/>
    <col collapsed="false" customWidth="true" hidden="false" outlineLevel="0" max="10" min="10" style="1" width="10"/>
    <col collapsed="false" customWidth="true" hidden="false" outlineLevel="0" max="11" min="11" style="1" width="11"/>
    <col collapsed="false" customWidth="true" hidden="false" outlineLevel="0" max="12" min="12" style="1" width="10"/>
    <col collapsed="false" customWidth="true" hidden="false" outlineLevel="0" max="14" min="13" style="1" width="12"/>
    <col collapsed="false" customWidth="true" hidden="false" outlineLevel="0" max="15" min="15" style="1" width="11"/>
  </cols>
  <sheetData>
    <row r="1" customFormat="false" ht="30" hidden="false" customHeight="true" outlineLevel="0" collapsed="false">
      <c r="A1" s="2" t="s">
        <v>313</v>
      </c>
      <c r="B1" s="3"/>
      <c r="C1" s="3"/>
      <c r="D1" s="3"/>
      <c r="E1" s="3"/>
      <c r="F1" s="3"/>
      <c r="G1" s="3"/>
      <c r="H1" s="3"/>
      <c r="I1" s="3"/>
      <c r="J1" s="3"/>
      <c r="K1" s="3"/>
      <c r="L1" s="3"/>
      <c r="M1" s="3"/>
      <c r="N1" s="3"/>
      <c r="O1" s="3"/>
    </row>
    <row r="2" customFormat="false" ht="43.5" hidden="false" customHeight="true" outlineLevel="0" collapsed="false">
      <c r="A2" s="4" t="s">
        <v>314</v>
      </c>
      <c r="B2" s="4"/>
      <c r="C2" s="4"/>
      <c r="D2" s="4"/>
      <c r="E2" s="4"/>
      <c r="F2" s="4"/>
      <c r="G2" s="4"/>
      <c r="H2" s="4"/>
      <c r="I2" s="4"/>
      <c r="J2" s="4"/>
      <c r="K2" s="4"/>
      <c r="L2" s="4"/>
      <c r="M2" s="4"/>
      <c r="N2" s="4"/>
      <c r="O2" s="4"/>
    </row>
    <row r="4" customFormat="false" ht="31.5" hidden="false" customHeight="true" outlineLevel="0" collapsed="false">
      <c r="A4" s="16" t="s">
        <v>61</v>
      </c>
      <c r="B4" s="16" t="s">
        <v>315</v>
      </c>
      <c r="C4" s="16" t="s">
        <v>316</v>
      </c>
      <c r="D4" s="16" t="s">
        <v>149</v>
      </c>
      <c r="E4" s="16" t="s">
        <v>152</v>
      </c>
      <c r="F4" s="16" t="s">
        <v>153</v>
      </c>
      <c r="G4" s="16" t="s">
        <v>317</v>
      </c>
      <c r="H4" s="16" t="s">
        <v>318</v>
      </c>
      <c r="I4" s="16" t="s">
        <v>319</v>
      </c>
      <c r="J4" s="16" t="s">
        <v>320</v>
      </c>
      <c r="K4" s="16" t="s">
        <v>321</v>
      </c>
      <c r="L4" s="16" t="s">
        <v>322</v>
      </c>
      <c r="M4" s="16" t="s">
        <v>323</v>
      </c>
      <c r="N4" s="16" t="s">
        <v>324</v>
      </c>
      <c r="O4" s="16" t="s">
        <v>325</v>
      </c>
    </row>
    <row r="5" customFormat="false" ht="15" hidden="false" customHeight="true" outlineLevel="0" collapsed="false">
      <c r="A5" s="53" t="str">
        <f aca="false">IF(Me!B5="","",Me!B5)</f>
        <v>Aaliyah Hilton</v>
      </c>
      <c r="B5" s="54" t="str">
        <f aca="false">IF('This Week'!F5="","",'This Week'!F5)</f>
        <v/>
      </c>
      <c r="C5" s="53" t="n">
        <f aca="false">'My Colleges'!B5</f>
        <v>0</v>
      </c>
      <c r="D5" s="53" t="str">
        <f aca="false">'My Colleges'!D5</f>
        <v>0 / 0 / 0</v>
      </c>
      <c r="E5" s="53" t="n">
        <f aca="false">'My Colleges'!I5</f>
        <v>0</v>
      </c>
      <c r="F5" s="53" t="n">
        <f aca="false">'My Colleges'!K5</f>
        <v>0</v>
      </c>
      <c r="G5" s="55" t="str">
        <f aca="false">IF('My Colleges'!F5="","",'My Colleges'!F5)</f>
        <v/>
      </c>
      <c r="H5" s="53" t="str">
        <f aca="false">IF('My Colleges'!H5="","",'My Colleges'!H5)</f>
        <v/>
      </c>
      <c r="I5" s="53" t="n">
        <f aca="false">'Next Steps'!A5+'This Week'!C5</f>
        <v>0</v>
      </c>
      <c r="J5" s="53" t="n">
        <f aca="false">'Next Steps'!C5+'This Week'!D5</f>
        <v>12</v>
      </c>
      <c r="K5" s="53" t="str">
        <f aca="false">'Next Steps'!G5</f>
        <v>0 of 0</v>
      </c>
      <c r="L5" s="53" t="str">
        <f aca="false">IF('This Week'!E35=TRUE(),"Yes","No")</f>
        <v>No</v>
      </c>
      <c r="M5" s="53" t="n">
        <f aca="false">Money!C5</f>
        <v>0</v>
      </c>
      <c r="N5" s="56" t="n">
        <f aca="false">Money!F5</f>
        <v>0</v>
      </c>
      <c r="O5" s="53" t="n">
        <f aca="false">'My Colleges'!M5</f>
        <v>0</v>
      </c>
    </row>
    <row r="8" customFormat="false" ht="15" hidden="false" customHeight="true" outlineLevel="0" collapsed="false">
      <c r="A8" s="57" t="s">
        <v>326</v>
      </c>
      <c r="B8" s="58" t="n">
        <v>46303</v>
      </c>
      <c r="C8" s="59" t="s">
        <v>327</v>
      </c>
    </row>
  </sheetData>
  <mergeCells count="1">
    <mergeCell ref="A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AL2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18"/>
    <col collapsed="false" customWidth="true" hidden="false" outlineLevel="0" max="3" min="3" style="1" width="14"/>
    <col collapsed="false" customWidth="true" hidden="false" outlineLevel="0" max="4" min="4" style="1" width="6"/>
    <col collapsed="false" customWidth="true" hidden="false" outlineLevel="0" max="5" min="5" style="1" width="10"/>
    <col collapsed="false" customWidth="true" hidden="false" outlineLevel="0" max="6" min="6" style="1" width="7"/>
    <col collapsed="false" customWidth="true" hidden="false" outlineLevel="0" max="7" min="7" style="1" width="22"/>
    <col collapsed="false" customWidth="true" hidden="false" outlineLevel="0" max="8" min="8" style="1" width="9"/>
    <col collapsed="false" customWidth="true" hidden="false" outlineLevel="0" max="15" min="9" style="1" width="11"/>
    <col collapsed="false" customWidth="true" hidden="false" outlineLevel="0" max="16" min="16" style="1" width="8"/>
    <col collapsed="false" customWidth="true" hidden="false" outlineLevel="0" max="17" min="17" style="1" width="12"/>
    <col collapsed="false" customWidth="true" hidden="false" outlineLevel="0" max="18" min="18" style="1" width="30"/>
    <col collapsed="false" customWidth="true" hidden="false" outlineLevel="0" max="19" min="19" style="1" width="8"/>
    <col collapsed="false" customWidth="true" hidden="false" outlineLevel="0" max="20" min="20" style="1" width="26"/>
    <col collapsed="false" customWidth="true" hidden="false" outlineLevel="0" max="21" min="21" style="1" width="10"/>
    <col collapsed="false" customWidth="true" hidden="false" outlineLevel="0" max="22" min="22" style="1" width="22"/>
    <col collapsed="false" customWidth="true" hidden="false" outlineLevel="0" max="23" min="23" style="1" width="12"/>
    <col collapsed="false" customWidth="true" hidden="false" outlineLevel="0" max="24" min="24" style="1" width="18"/>
    <col collapsed="false" customWidth="true" hidden="false" outlineLevel="0" max="30" min="25" style="1" width="8"/>
    <col collapsed="false" customWidth="true" hidden="false" outlineLevel="0" max="32" min="31" style="1" width="10"/>
    <col collapsed="false" customWidth="true" hidden="false" outlineLevel="0" max="33" min="33" style="1" width="8"/>
    <col collapsed="false" customWidth="true" hidden="false" outlineLevel="0" max="34" min="34" style="1" width="9"/>
    <col collapsed="false" customWidth="true" hidden="false" outlineLevel="0" max="36" min="35" style="1" width="30"/>
    <col collapsed="false" customWidth="true" hidden="false" outlineLevel="0" max="37" min="37" style="1" width="16"/>
    <col collapsed="false" customWidth="true" hidden="false" outlineLevel="0" max="38" min="38" style="1" width="50"/>
  </cols>
  <sheetData>
    <row r="1" customFormat="false" ht="31.5" hidden="false" customHeight="true" outlineLevel="0" collapsed="false">
      <c r="A1" s="60" t="s">
        <v>50</v>
      </c>
      <c r="B1" s="60" t="s">
        <v>125</v>
      </c>
      <c r="C1" s="60" t="s">
        <v>328</v>
      </c>
      <c r="D1" s="60" t="s">
        <v>243</v>
      </c>
      <c r="E1" s="60" t="s">
        <v>329</v>
      </c>
      <c r="F1" s="60" t="s">
        <v>330</v>
      </c>
      <c r="G1" s="60" t="s">
        <v>134</v>
      </c>
      <c r="H1" s="60" t="s">
        <v>292</v>
      </c>
      <c r="I1" s="60" t="s">
        <v>331</v>
      </c>
      <c r="J1" s="60" t="s">
        <v>332</v>
      </c>
      <c r="K1" s="60" t="s">
        <v>333</v>
      </c>
      <c r="L1" s="60" t="s">
        <v>334</v>
      </c>
      <c r="M1" s="60" t="s">
        <v>335</v>
      </c>
      <c r="N1" s="60" t="s">
        <v>336</v>
      </c>
      <c r="O1" s="60" t="s">
        <v>337</v>
      </c>
      <c r="P1" s="60" t="s">
        <v>338</v>
      </c>
      <c r="Q1" s="60" t="s">
        <v>339</v>
      </c>
      <c r="R1" s="60" t="s">
        <v>340</v>
      </c>
      <c r="S1" s="60" t="s">
        <v>135</v>
      </c>
      <c r="T1" s="60" t="s">
        <v>341</v>
      </c>
      <c r="U1" s="60" t="s">
        <v>136</v>
      </c>
      <c r="V1" s="60" t="s">
        <v>164</v>
      </c>
      <c r="W1" s="60" t="s">
        <v>138</v>
      </c>
      <c r="X1" s="60" t="s">
        <v>200</v>
      </c>
      <c r="Y1" s="60" t="s">
        <v>128</v>
      </c>
      <c r="Z1" s="60" t="s">
        <v>342</v>
      </c>
      <c r="AA1" s="60" t="s">
        <v>343</v>
      </c>
      <c r="AB1" s="60" t="s">
        <v>344</v>
      </c>
      <c r="AC1" s="60" t="s">
        <v>345</v>
      </c>
      <c r="AD1" s="60" t="s">
        <v>130</v>
      </c>
      <c r="AE1" s="60" t="s">
        <v>346</v>
      </c>
      <c r="AF1" s="60" t="s">
        <v>347</v>
      </c>
      <c r="AG1" s="60" t="s">
        <v>140</v>
      </c>
      <c r="AH1" s="60" t="s">
        <v>348</v>
      </c>
      <c r="AI1" s="60" t="s">
        <v>142</v>
      </c>
      <c r="AJ1" s="60" t="s">
        <v>349</v>
      </c>
      <c r="AK1" s="60" t="s">
        <v>141</v>
      </c>
      <c r="AL1" s="60" t="s">
        <v>58</v>
      </c>
    </row>
    <row r="2" customFormat="false" ht="15" hidden="false" customHeight="true" outlineLevel="0" collapsed="false">
      <c r="A2" s="61" t="s">
        <v>350</v>
      </c>
      <c r="B2" s="61" t="s">
        <v>351</v>
      </c>
      <c r="C2" s="61" t="s">
        <v>352</v>
      </c>
      <c r="D2" s="61" t="s">
        <v>353</v>
      </c>
      <c r="E2" s="61" t="s">
        <v>354</v>
      </c>
      <c r="F2" s="61" t="s">
        <v>355</v>
      </c>
      <c r="G2" s="61" t="s">
        <v>292</v>
      </c>
      <c r="H2" s="61" t="s">
        <v>221</v>
      </c>
      <c r="I2" s="58"/>
      <c r="J2" s="58"/>
      <c r="K2" s="58" t="n">
        <v>46310</v>
      </c>
      <c r="L2" s="58"/>
      <c r="M2" s="58"/>
      <c r="N2" s="58" t="n">
        <v>46388</v>
      </c>
      <c r="O2" s="58"/>
      <c r="P2" s="61" t="s">
        <v>355</v>
      </c>
      <c r="Q2" s="58"/>
      <c r="R2" s="61" t="s">
        <v>356</v>
      </c>
      <c r="S2" s="62" t="n">
        <v>70</v>
      </c>
      <c r="T2" s="61" t="s">
        <v>357</v>
      </c>
      <c r="U2" s="61" t="s">
        <v>214</v>
      </c>
      <c r="V2" s="61" t="s">
        <v>358</v>
      </c>
      <c r="W2" s="61" t="s">
        <v>359</v>
      </c>
      <c r="X2" s="61"/>
      <c r="Y2" s="63" t="n">
        <v>0.3</v>
      </c>
      <c r="Z2" s="61" t="n">
        <v>1360</v>
      </c>
      <c r="AA2" s="61" t="n">
        <v>1500</v>
      </c>
      <c r="AB2" s="61" t="n">
        <v>31</v>
      </c>
      <c r="AC2" s="61" t="n">
        <v>34</v>
      </c>
      <c r="AD2" s="61" t="n">
        <v>4.27</v>
      </c>
      <c r="AE2" s="62"/>
      <c r="AF2" s="62"/>
      <c r="AG2" s="63" t="n">
        <v>0.9</v>
      </c>
      <c r="AH2" s="61" t="n">
        <v>0</v>
      </c>
      <c r="AI2" s="61" t="s">
        <v>360</v>
      </c>
      <c r="AJ2" s="61" t="s">
        <v>361</v>
      </c>
      <c r="AK2" s="61" t="s">
        <v>362</v>
      </c>
      <c r="AL2" s="61" t="s">
        <v>363</v>
      </c>
    </row>
    <row r="3" customFormat="false" ht="15" hidden="false" customHeight="true" outlineLevel="0" collapsed="false">
      <c r="A3" s="61" t="s">
        <v>364</v>
      </c>
      <c r="B3" s="61" t="s">
        <v>351</v>
      </c>
      <c r="C3" s="61" t="s">
        <v>365</v>
      </c>
      <c r="D3" s="61" t="s">
        <v>353</v>
      </c>
      <c r="E3" s="61" t="s">
        <v>354</v>
      </c>
      <c r="F3" s="61" t="s">
        <v>355</v>
      </c>
      <c r="G3" s="61" t="s">
        <v>292</v>
      </c>
      <c r="H3" s="61" t="s">
        <v>221</v>
      </c>
      <c r="I3" s="58"/>
      <c r="J3" s="58"/>
      <c r="K3" s="58" t="n">
        <v>46310</v>
      </c>
      <c r="L3" s="58" t="n">
        <v>46328</v>
      </c>
      <c r="M3" s="58"/>
      <c r="N3" s="58" t="n">
        <v>46393</v>
      </c>
      <c r="O3" s="58"/>
      <c r="P3" s="61" t="s">
        <v>355</v>
      </c>
      <c r="Q3" s="58"/>
      <c r="R3" s="61" t="s">
        <v>366</v>
      </c>
      <c r="S3" s="62" t="n">
        <v>75</v>
      </c>
      <c r="T3" s="61" t="s">
        <v>367</v>
      </c>
      <c r="U3" s="61" t="s">
        <v>214</v>
      </c>
      <c r="V3" s="61" t="s">
        <v>368</v>
      </c>
      <c r="W3" s="61" t="s">
        <v>359</v>
      </c>
      <c r="X3" s="61"/>
      <c r="Y3" s="63" t="n">
        <v>0.133</v>
      </c>
      <c r="Z3" s="61" t="n">
        <v>1370</v>
      </c>
      <c r="AA3" s="61" t="n">
        <v>1530</v>
      </c>
      <c r="AB3" s="61" t="n">
        <v>31</v>
      </c>
      <c r="AC3" s="61" t="n">
        <v>35</v>
      </c>
      <c r="AD3" s="61" t="n">
        <v>4.17</v>
      </c>
      <c r="AE3" s="62"/>
      <c r="AF3" s="62"/>
      <c r="AG3" s="63" t="n">
        <v>0.94</v>
      </c>
      <c r="AH3" s="61"/>
      <c r="AI3" s="61" t="s">
        <v>369</v>
      </c>
      <c r="AJ3" s="61"/>
      <c r="AK3" s="61" t="s">
        <v>370</v>
      </c>
      <c r="AL3" s="61" t="s">
        <v>371</v>
      </c>
    </row>
    <row r="4" customFormat="false" ht="15" hidden="false" customHeight="true" outlineLevel="0" collapsed="false">
      <c r="A4" s="61" t="s">
        <v>372</v>
      </c>
      <c r="B4" s="61" t="s">
        <v>351</v>
      </c>
      <c r="C4" s="61" t="s">
        <v>365</v>
      </c>
      <c r="D4" s="61" t="s">
        <v>353</v>
      </c>
      <c r="E4" s="61" t="s">
        <v>354</v>
      </c>
      <c r="F4" s="61" t="s">
        <v>355</v>
      </c>
      <c r="G4" s="61" t="s">
        <v>292</v>
      </c>
      <c r="H4" s="61" t="s">
        <v>221</v>
      </c>
      <c r="I4" s="58"/>
      <c r="J4" s="58"/>
      <c r="K4" s="58" t="n">
        <v>46341</v>
      </c>
      <c r="L4" s="58"/>
      <c r="M4" s="58"/>
      <c r="N4" s="58" t="n">
        <v>46508</v>
      </c>
      <c r="O4" s="58"/>
      <c r="P4" s="61" t="s">
        <v>355</v>
      </c>
      <c r="Q4" s="58" t="n">
        <v>46341</v>
      </c>
      <c r="R4" s="61" t="s">
        <v>373</v>
      </c>
      <c r="S4" s="62" t="n">
        <v>60</v>
      </c>
      <c r="T4" s="61" t="s">
        <v>374</v>
      </c>
      <c r="U4" s="61" t="s">
        <v>214</v>
      </c>
      <c r="V4" s="61" t="s">
        <v>375</v>
      </c>
      <c r="W4" s="61" t="s">
        <v>359</v>
      </c>
      <c r="X4" s="61"/>
      <c r="Y4" s="63" t="n">
        <v>0.57</v>
      </c>
      <c r="Z4" s="61"/>
      <c r="AA4" s="61"/>
      <c r="AB4" s="61"/>
      <c r="AC4" s="61"/>
      <c r="AD4" s="61"/>
      <c r="AE4" s="62"/>
      <c r="AF4" s="62"/>
      <c r="AG4" s="63"/>
      <c r="AH4" s="61"/>
      <c r="AI4" s="61" t="s">
        <v>376</v>
      </c>
      <c r="AJ4" s="61"/>
      <c r="AK4" s="61" t="s">
        <v>370</v>
      </c>
      <c r="AL4" s="61" t="s">
        <v>377</v>
      </c>
    </row>
    <row r="5" customFormat="false" ht="15" hidden="false" customHeight="true" outlineLevel="0" collapsed="false">
      <c r="A5" s="61" t="s">
        <v>378</v>
      </c>
      <c r="B5" s="61" t="s">
        <v>351</v>
      </c>
      <c r="C5" s="61" t="s">
        <v>379</v>
      </c>
      <c r="D5" s="61" t="s">
        <v>353</v>
      </c>
      <c r="E5" s="61" t="s">
        <v>354</v>
      </c>
      <c r="F5" s="61" t="s">
        <v>355</v>
      </c>
      <c r="G5" s="61" t="s">
        <v>380</v>
      </c>
      <c r="H5" s="61" t="s">
        <v>221</v>
      </c>
      <c r="I5" s="58"/>
      <c r="J5" s="58"/>
      <c r="K5" s="58"/>
      <c r="L5" s="58"/>
      <c r="M5" s="58"/>
      <c r="N5" s="58" t="n">
        <v>46569</v>
      </c>
      <c r="O5" s="58" t="n">
        <v>46328</v>
      </c>
      <c r="P5" s="61" t="s">
        <v>221</v>
      </c>
      <c r="Q5" s="58" t="n">
        <v>46447</v>
      </c>
      <c r="R5" s="61" t="s">
        <v>381</v>
      </c>
      <c r="S5" s="62" t="n">
        <v>40</v>
      </c>
      <c r="T5" s="61" t="s">
        <v>382</v>
      </c>
      <c r="U5" s="61" t="s">
        <v>214</v>
      </c>
      <c r="V5" s="61" t="s">
        <v>375</v>
      </c>
      <c r="W5" s="61" t="s">
        <v>359</v>
      </c>
      <c r="X5" s="61"/>
      <c r="Y5" s="63" t="n">
        <v>0.79</v>
      </c>
      <c r="Z5" s="61" t="n">
        <v>990</v>
      </c>
      <c r="AA5" s="61" t="n">
        <v>1230</v>
      </c>
      <c r="AB5" s="61" t="n">
        <v>19</v>
      </c>
      <c r="AC5" s="61" t="n">
        <v>26</v>
      </c>
      <c r="AD5" s="61" t="n">
        <v>3.5</v>
      </c>
      <c r="AE5" s="62"/>
      <c r="AF5" s="62"/>
      <c r="AG5" s="63"/>
      <c r="AH5" s="61"/>
      <c r="AI5" s="61" t="s">
        <v>383</v>
      </c>
      <c r="AJ5" s="61"/>
      <c r="AK5" s="61" t="s">
        <v>370</v>
      </c>
      <c r="AL5" s="61" t="s">
        <v>384</v>
      </c>
    </row>
    <row r="6" customFormat="false" ht="15" hidden="false" customHeight="true" outlineLevel="0" collapsed="false">
      <c r="A6" s="61" t="s">
        <v>385</v>
      </c>
      <c r="B6" s="61" t="s">
        <v>351</v>
      </c>
      <c r="C6" s="61" t="s">
        <v>386</v>
      </c>
      <c r="D6" s="61" t="s">
        <v>353</v>
      </c>
      <c r="E6" s="61" t="s">
        <v>354</v>
      </c>
      <c r="F6" s="61" t="s">
        <v>355</v>
      </c>
      <c r="G6" s="61" t="s">
        <v>380</v>
      </c>
      <c r="H6" s="61" t="s">
        <v>221</v>
      </c>
      <c r="I6" s="58"/>
      <c r="J6" s="58"/>
      <c r="K6" s="58"/>
      <c r="L6" s="58"/>
      <c r="M6" s="58"/>
      <c r="N6" s="58" t="n">
        <v>46600</v>
      </c>
      <c r="O6" s="58"/>
      <c r="P6" s="61" t="s">
        <v>221</v>
      </c>
      <c r="Q6" s="58" t="n">
        <v>46402</v>
      </c>
      <c r="R6" s="61" t="s">
        <v>387</v>
      </c>
      <c r="S6" s="62" t="n">
        <v>30</v>
      </c>
      <c r="T6" s="61" t="s">
        <v>388</v>
      </c>
      <c r="U6" s="61" t="s">
        <v>214</v>
      </c>
      <c r="V6" s="61" t="s">
        <v>375</v>
      </c>
      <c r="W6" s="61" t="s">
        <v>359</v>
      </c>
      <c r="X6" s="61"/>
      <c r="Y6" s="63" t="n">
        <v>0.7</v>
      </c>
      <c r="Z6" s="61" t="n">
        <v>940</v>
      </c>
      <c r="AA6" s="61" t="n">
        <v>1130</v>
      </c>
      <c r="AB6" s="61" t="n">
        <v>18</v>
      </c>
      <c r="AC6" s="61" t="n">
        <v>23</v>
      </c>
      <c r="AD6" s="61"/>
      <c r="AE6" s="62"/>
      <c r="AF6" s="62"/>
      <c r="AG6" s="63"/>
      <c r="AH6" s="61"/>
      <c r="AI6" s="61" t="s">
        <v>389</v>
      </c>
      <c r="AJ6" s="61"/>
      <c r="AK6" s="61" t="s">
        <v>370</v>
      </c>
      <c r="AL6" s="61" t="s">
        <v>390</v>
      </c>
    </row>
    <row r="7" customFormat="false" ht="15" hidden="false" customHeight="true" outlineLevel="0" collapsed="false">
      <c r="A7" s="61" t="s">
        <v>391</v>
      </c>
      <c r="B7" s="61" t="s">
        <v>351</v>
      </c>
      <c r="C7" s="61" t="s">
        <v>392</v>
      </c>
      <c r="D7" s="61" t="s">
        <v>353</v>
      </c>
      <c r="E7" s="61" t="s">
        <v>354</v>
      </c>
      <c r="F7" s="61" t="s">
        <v>355</v>
      </c>
      <c r="G7" s="61" t="s">
        <v>292</v>
      </c>
      <c r="H7" s="61" t="s">
        <v>221</v>
      </c>
      <c r="I7" s="58"/>
      <c r="J7" s="58"/>
      <c r="K7" s="58" t="n">
        <v>46326</v>
      </c>
      <c r="L7" s="58"/>
      <c r="M7" s="58"/>
      <c r="N7" s="58" t="n">
        <v>46569</v>
      </c>
      <c r="O7" s="58"/>
      <c r="P7" s="61" t="s">
        <v>221</v>
      </c>
      <c r="Q7" s="58" t="n">
        <v>46419</v>
      </c>
      <c r="R7" s="61" t="s">
        <v>393</v>
      </c>
      <c r="S7" s="62" t="n">
        <v>60</v>
      </c>
      <c r="T7" s="61" t="s">
        <v>394</v>
      </c>
      <c r="U7" s="61" t="s">
        <v>214</v>
      </c>
      <c r="V7" s="61" t="s">
        <v>375</v>
      </c>
      <c r="W7" s="61" t="s">
        <v>359</v>
      </c>
      <c r="X7" s="61"/>
      <c r="Y7" s="63"/>
      <c r="Z7" s="61" t="n">
        <v>970</v>
      </c>
      <c r="AA7" s="61" t="n">
        <v>1140</v>
      </c>
      <c r="AB7" s="61" t="n">
        <v>18</v>
      </c>
      <c r="AC7" s="61" t="n">
        <v>25</v>
      </c>
      <c r="AD7" s="61"/>
      <c r="AE7" s="62"/>
      <c r="AF7" s="62"/>
      <c r="AG7" s="63"/>
      <c r="AH7" s="61"/>
      <c r="AI7" s="61" t="s">
        <v>395</v>
      </c>
      <c r="AJ7" s="61"/>
      <c r="AK7" s="61" t="s">
        <v>370</v>
      </c>
      <c r="AL7" s="61" t="s">
        <v>396</v>
      </c>
    </row>
    <row r="8" customFormat="false" ht="15" hidden="false" customHeight="true" outlineLevel="0" collapsed="false">
      <c r="A8" s="61" t="s">
        <v>397</v>
      </c>
      <c r="B8" s="61" t="s">
        <v>351</v>
      </c>
      <c r="C8" s="61" t="s">
        <v>398</v>
      </c>
      <c r="D8" s="61" t="s">
        <v>353</v>
      </c>
      <c r="E8" s="61" t="s">
        <v>354</v>
      </c>
      <c r="F8" s="61" t="s">
        <v>355</v>
      </c>
      <c r="G8" s="61" t="s">
        <v>399</v>
      </c>
      <c r="H8" s="61" t="s">
        <v>355</v>
      </c>
      <c r="I8" s="58"/>
      <c r="J8" s="58"/>
      <c r="K8" s="58"/>
      <c r="L8" s="58"/>
      <c r="M8" s="58"/>
      <c r="N8" s="58"/>
      <c r="O8" s="58"/>
      <c r="P8" s="61" t="s">
        <v>221</v>
      </c>
      <c r="Q8" s="58"/>
      <c r="R8" s="61" t="s">
        <v>400</v>
      </c>
      <c r="S8" s="62"/>
      <c r="T8" s="61"/>
      <c r="U8" s="61" t="s">
        <v>401</v>
      </c>
      <c r="V8" s="61" t="s">
        <v>375</v>
      </c>
      <c r="W8" s="61" t="s">
        <v>359</v>
      </c>
      <c r="X8" s="61"/>
      <c r="Y8" s="63" t="n">
        <v>0.78</v>
      </c>
      <c r="Z8" s="61" t="n">
        <v>920</v>
      </c>
      <c r="AA8" s="61" t="n">
        <v>1110</v>
      </c>
      <c r="AB8" s="61" t="n">
        <v>15</v>
      </c>
      <c r="AC8" s="61" t="n">
        <v>20</v>
      </c>
      <c r="AD8" s="61"/>
      <c r="AE8" s="62"/>
      <c r="AF8" s="62"/>
      <c r="AG8" s="63"/>
      <c r="AH8" s="61"/>
      <c r="AI8" s="61" t="s">
        <v>402</v>
      </c>
      <c r="AJ8" s="61"/>
      <c r="AK8" s="61" t="s">
        <v>370</v>
      </c>
      <c r="AL8" s="61" t="s">
        <v>403</v>
      </c>
    </row>
    <row r="9" customFormat="false" ht="15" hidden="false" customHeight="true" outlineLevel="0" collapsed="false">
      <c r="A9" s="61" t="s">
        <v>404</v>
      </c>
      <c r="B9" s="61" t="s">
        <v>351</v>
      </c>
      <c r="C9" s="61" t="s">
        <v>405</v>
      </c>
      <c r="D9" s="61" t="s">
        <v>353</v>
      </c>
      <c r="E9" s="61" t="s">
        <v>354</v>
      </c>
      <c r="F9" s="61" t="s">
        <v>355</v>
      </c>
      <c r="G9" s="61" t="s">
        <v>399</v>
      </c>
      <c r="H9" s="61" t="s">
        <v>355</v>
      </c>
      <c r="I9" s="58"/>
      <c r="J9" s="58"/>
      <c r="K9" s="58" t="n">
        <v>46326</v>
      </c>
      <c r="L9" s="58"/>
      <c r="M9" s="58"/>
      <c r="N9" s="58" t="n">
        <v>46607</v>
      </c>
      <c r="O9" s="58" t="n">
        <v>46418</v>
      </c>
      <c r="P9" s="61" t="s">
        <v>221</v>
      </c>
      <c r="Q9" s="58" t="n">
        <v>46419</v>
      </c>
      <c r="R9" s="61" t="s">
        <v>406</v>
      </c>
      <c r="S9" s="62" t="n">
        <v>40</v>
      </c>
      <c r="T9" s="61" t="s">
        <v>407</v>
      </c>
      <c r="U9" s="61" t="s">
        <v>408</v>
      </c>
      <c r="V9" s="61" t="s">
        <v>375</v>
      </c>
      <c r="W9" s="61" t="s">
        <v>359</v>
      </c>
      <c r="X9" s="61"/>
      <c r="Y9" s="63" t="n">
        <v>0.8</v>
      </c>
      <c r="Z9" s="61" t="n">
        <v>930</v>
      </c>
      <c r="AA9" s="61" t="n">
        <v>1150</v>
      </c>
      <c r="AB9" s="61" t="n">
        <v>17</v>
      </c>
      <c r="AC9" s="61" t="n">
        <v>22</v>
      </c>
      <c r="AD9" s="61"/>
      <c r="AE9" s="62"/>
      <c r="AF9" s="62"/>
      <c r="AG9" s="63"/>
      <c r="AH9" s="61"/>
      <c r="AI9" s="61" t="s">
        <v>409</v>
      </c>
      <c r="AJ9" s="61"/>
      <c r="AK9" s="61" t="s">
        <v>370</v>
      </c>
      <c r="AL9" s="61" t="s">
        <v>410</v>
      </c>
    </row>
    <row r="10" customFormat="false" ht="15" hidden="false" customHeight="true" outlineLevel="0" collapsed="false">
      <c r="A10" s="61" t="s">
        <v>411</v>
      </c>
      <c r="B10" s="61" t="s">
        <v>351</v>
      </c>
      <c r="C10" s="61" t="s">
        <v>412</v>
      </c>
      <c r="D10" s="61" t="s">
        <v>353</v>
      </c>
      <c r="E10" s="61" t="s">
        <v>354</v>
      </c>
      <c r="F10" s="61" t="s">
        <v>355</v>
      </c>
      <c r="G10" s="61" t="s">
        <v>292</v>
      </c>
      <c r="H10" s="61" t="s">
        <v>221</v>
      </c>
      <c r="I10" s="58"/>
      <c r="J10" s="58"/>
      <c r="K10" s="58" t="n">
        <v>46310</v>
      </c>
      <c r="L10" s="58"/>
      <c r="M10" s="58"/>
      <c r="N10" s="58"/>
      <c r="O10" s="58"/>
      <c r="P10" s="61" t="s">
        <v>221</v>
      </c>
      <c r="Q10" s="58" t="n">
        <v>46310</v>
      </c>
      <c r="R10" s="61" t="s">
        <v>413</v>
      </c>
      <c r="S10" s="62" t="n">
        <v>50</v>
      </c>
      <c r="T10" s="61" t="s">
        <v>414</v>
      </c>
      <c r="U10" s="61" t="s">
        <v>214</v>
      </c>
      <c r="V10" s="61" t="s">
        <v>415</v>
      </c>
      <c r="W10" s="61" t="s">
        <v>359</v>
      </c>
      <c r="X10" s="61"/>
      <c r="Y10" s="63" t="n">
        <v>0.85</v>
      </c>
      <c r="Z10" s="61" t="n">
        <v>1110</v>
      </c>
      <c r="AA10" s="61" t="n">
        <v>1270</v>
      </c>
      <c r="AB10" s="61" t="n">
        <v>23</v>
      </c>
      <c r="AC10" s="61" t="n">
        <v>29</v>
      </c>
      <c r="AD10" s="61"/>
      <c r="AE10" s="62"/>
      <c r="AF10" s="62"/>
      <c r="AG10" s="63"/>
      <c r="AH10" s="61"/>
      <c r="AI10" s="61" t="s">
        <v>416</v>
      </c>
      <c r="AJ10" s="61"/>
      <c r="AK10" s="61" t="s">
        <v>370</v>
      </c>
      <c r="AL10" s="61" t="s">
        <v>417</v>
      </c>
    </row>
    <row r="11" customFormat="false" ht="15" hidden="false" customHeight="true" outlineLevel="0" collapsed="false">
      <c r="A11" s="61" t="s">
        <v>418</v>
      </c>
      <c r="B11" s="61" t="s">
        <v>351</v>
      </c>
      <c r="C11" s="61" t="s">
        <v>419</v>
      </c>
      <c r="D11" s="61" t="s">
        <v>353</v>
      </c>
      <c r="E11" s="61" t="s">
        <v>354</v>
      </c>
      <c r="F11" s="61" t="s">
        <v>355</v>
      </c>
      <c r="G11" s="61" t="s">
        <v>399</v>
      </c>
      <c r="H11" s="61" t="s">
        <v>355</v>
      </c>
      <c r="I11" s="58"/>
      <c r="J11" s="58"/>
      <c r="K11" s="58"/>
      <c r="L11" s="58"/>
      <c r="M11" s="58"/>
      <c r="N11" s="58" t="n">
        <v>46568</v>
      </c>
      <c r="O11" s="58" t="n">
        <v>46492</v>
      </c>
      <c r="P11" s="61" t="s">
        <v>221</v>
      </c>
      <c r="Q11" s="58"/>
      <c r="R11" s="61"/>
      <c r="S11" s="62" t="n">
        <v>40</v>
      </c>
      <c r="T11" s="61"/>
      <c r="U11" s="61" t="s">
        <v>214</v>
      </c>
      <c r="V11" s="61" t="s">
        <v>375</v>
      </c>
      <c r="W11" s="61" t="s">
        <v>359</v>
      </c>
      <c r="X11" s="61"/>
      <c r="Y11" s="63" t="n">
        <v>0.99</v>
      </c>
      <c r="Z11" s="61" t="n">
        <v>800</v>
      </c>
      <c r="AA11" s="61" t="n">
        <v>1060</v>
      </c>
      <c r="AB11" s="61" t="n">
        <v>16</v>
      </c>
      <c r="AC11" s="61" t="n">
        <v>22</v>
      </c>
      <c r="AD11" s="61"/>
      <c r="AE11" s="62"/>
      <c r="AF11" s="62"/>
      <c r="AG11" s="63"/>
      <c r="AH11" s="61"/>
      <c r="AI11" s="61" t="s">
        <v>420</v>
      </c>
      <c r="AJ11" s="61"/>
      <c r="AK11" s="61" t="s">
        <v>370</v>
      </c>
      <c r="AL11" s="61" t="s">
        <v>421</v>
      </c>
    </row>
    <row r="12" customFormat="false" ht="15" hidden="false" customHeight="true" outlineLevel="0" collapsed="false">
      <c r="A12" s="61" t="s">
        <v>422</v>
      </c>
      <c r="B12" s="61" t="s">
        <v>351</v>
      </c>
      <c r="C12" s="61" t="s">
        <v>423</v>
      </c>
      <c r="D12" s="61" t="s">
        <v>353</v>
      </c>
      <c r="E12" s="61" t="s">
        <v>354</v>
      </c>
      <c r="F12" s="61" t="s">
        <v>355</v>
      </c>
      <c r="G12" s="61" t="s">
        <v>424</v>
      </c>
      <c r="H12" s="61" t="s">
        <v>355</v>
      </c>
      <c r="I12" s="58"/>
      <c r="J12" s="58"/>
      <c r="K12" s="58"/>
      <c r="L12" s="58"/>
      <c r="M12" s="58"/>
      <c r="N12" s="58"/>
      <c r="O12" s="58"/>
      <c r="P12" s="61" t="s">
        <v>221</v>
      </c>
      <c r="Q12" s="58" t="n">
        <v>46419</v>
      </c>
      <c r="R12" s="61" t="s">
        <v>425</v>
      </c>
      <c r="S12" s="62"/>
      <c r="T12" s="61"/>
      <c r="U12" s="61" t="s">
        <v>401</v>
      </c>
      <c r="V12" s="61" t="s">
        <v>375</v>
      </c>
      <c r="W12" s="61" t="s">
        <v>359</v>
      </c>
      <c r="X12" s="61"/>
      <c r="Y12" s="63" t="n">
        <v>0.75</v>
      </c>
      <c r="Z12" s="61" t="n">
        <v>890</v>
      </c>
      <c r="AA12" s="61" t="n">
        <v>1110</v>
      </c>
      <c r="AB12" s="61" t="n">
        <v>16</v>
      </c>
      <c r="AC12" s="61" t="n">
        <v>22</v>
      </c>
      <c r="AD12" s="61"/>
      <c r="AE12" s="62"/>
      <c r="AF12" s="62"/>
      <c r="AG12" s="63"/>
      <c r="AH12" s="61"/>
      <c r="AI12" s="61" t="s">
        <v>426</v>
      </c>
      <c r="AJ12" s="61"/>
      <c r="AK12" s="61" t="s">
        <v>370</v>
      </c>
      <c r="AL12" s="61" t="s">
        <v>427</v>
      </c>
    </row>
    <row r="13" customFormat="false" ht="15" hidden="false" customHeight="true" outlineLevel="0" collapsed="false">
      <c r="A13" s="61" t="s">
        <v>428</v>
      </c>
      <c r="B13" s="61" t="s">
        <v>351</v>
      </c>
      <c r="C13" s="61" t="s">
        <v>429</v>
      </c>
      <c r="D13" s="61" t="s">
        <v>353</v>
      </c>
      <c r="E13" s="61" t="s">
        <v>354</v>
      </c>
      <c r="F13" s="61" t="s">
        <v>355</v>
      </c>
      <c r="G13" s="61" t="s">
        <v>380</v>
      </c>
      <c r="H13" s="61" t="s">
        <v>221</v>
      </c>
      <c r="I13" s="58"/>
      <c r="J13" s="58"/>
      <c r="K13" s="58"/>
      <c r="L13" s="58"/>
      <c r="M13" s="58"/>
      <c r="N13" s="58"/>
      <c r="O13" s="58"/>
      <c r="P13" s="61" t="s">
        <v>221</v>
      </c>
      <c r="Q13" s="58"/>
      <c r="R13" s="61"/>
      <c r="S13" s="62" t="n">
        <v>40</v>
      </c>
      <c r="T13" s="61" t="s">
        <v>430</v>
      </c>
      <c r="U13" s="61" t="s">
        <v>401</v>
      </c>
      <c r="V13" s="61" t="s">
        <v>375</v>
      </c>
      <c r="W13" s="61" t="s">
        <v>359</v>
      </c>
      <c r="X13" s="61"/>
      <c r="Y13" s="63" t="n">
        <v>0.68</v>
      </c>
      <c r="Z13" s="61" t="n">
        <v>860</v>
      </c>
      <c r="AA13" s="61" t="n">
        <v>1078</v>
      </c>
      <c r="AB13" s="61" t="n">
        <v>15</v>
      </c>
      <c r="AC13" s="61" t="n">
        <v>19</v>
      </c>
      <c r="AD13" s="61"/>
      <c r="AE13" s="62"/>
      <c r="AF13" s="62"/>
      <c r="AG13" s="63"/>
      <c r="AH13" s="61"/>
      <c r="AI13" s="61" t="s">
        <v>431</v>
      </c>
      <c r="AJ13" s="61"/>
      <c r="AK13" s="61" t="s">
        <v>432</v>
      </c>
      <c r="AL13" s="61" t="s">
        <v>433</v>
      </c>
    </row>
    <row r="14" customFormat="false" ht="15" hidden="false" customHeight="true" outlineLevel="0" collapsed="false">
      <c r="A14" s="61" t="s">
        <v>434</v>
      </c>
      <c r="B14" s="61" t="s">
        <v>351</v>
      </c>
      <c r="C14" s="61" t="s">
        <v>435</v>
      </c>
      <c r="D14" s="61" t="s">
        <v>353</v>
      </c>
      <c r="E14" s="61" t="s">
        <v>354</v>
      </c>
      <c r="F14" s="61" t="s">
        <v>355</v>
      </c>
      <c r="G14" s="61" t="s">
        <v>399</v>
      </c>
      <c r="H14" s="61" t="s">
        <v>355</v>
      </c>
      <c r="I14" s="58"/>
      <c r="J14" s="58"/>
      <c r="K14" s="58"/>
      <c r="L14" s="58"/>
      <c r="M14" s="58"/>
      <c r="N14" s="58"/>
      <c r="O14" s="58"/>
      <c r="P14" s="61" t="s">
        <v>221</v>
      </c>
      <c r="Q14" s="58"/>
      <c r="R14" s="61"/>
      <c r="S14" s="62" t="n">
        <v>30</v>
      </c>
      <c r="T14" s="61"/>
      <c r="U14" s="61" t="s">
        <v>401</v>
      </c>
      <c r="V14" s="61" t="s">
        <v>375</v>
      </c>
      <c r="W14" s="61" t="s">
        <v>359</v>
      </c>
      <c r="X14" s="61"/>
      <c r="Y14" s="63" t="n">
        <v>1</v>
      </c>
      <c r="Z14" s="61" t="n">
        <v>950</v>
      </c>
      <c r="AA14" s="61" t="n">
        <v>1190</v>
      </c>
      <c r="AB14" s="61" t="n">
        <v>16</v>
      </c>
      <c r="AC14" s="61" t="n">
        <v>24</v>
      </c>
      <c r="AD14" s="61"/>
      <c r="AE14" s="62"/>
      <c r="AF14" s="62"/>
      <c r="AG14" s="63"/>
      <c r="AH14" s="61"/>
      <c r="AI14" s="61" t="s">
        <v>436</v>
      </c>
      <c r="AJ14" s="61"/>
      <c r="AK14" s="61" t="s">
        <v>432</v>
      </c>
      <c r="AL14" s="61" t="s">
        <v>437</v>
      </c>
    </row>
    <row r="15" customFormat="false" ht="15" hidden="false" customHeight="true" outlineLevel="0" collapsed="false">
      <c r="A15" s="61" t="s">
        <v>438</v>
      </c>
      <c r="B15" s="61" t="s">
        <v>351</v>
      </c>
      <c r="C15" s="61" t="s">
        <v>439</v>
      </c>
      <c r="D15" s="61" t="s">
        <v>353</v>
      </c>
      <c r="E15" s="61" t="s">
        <v>354</v>
      </c>
      <c r="F15" s="61" t="s">
        <v>355</v>
      </c>
      <c r="G15" s="61" t="s">
        <v>380</v>
      </c>
      <c r="H15" s="61" t="s">
        <v>221</v>
      </c>
      <c r="I15" s="58"/>
      <c r="J15" s="58"/>
      <c r="K15" s="58"/>
      <c r="L15" s="58"/>
      <c r="M15" s="58"/>
      <c r="N15" s="58"/>
      <c r="O15" s="58"/>
      <c r="P15" s="61" t="s">
        <v>221</v>
      </c>
      <c r="Q15" s="58"/>
      <c r="R15" s="61"/>
      <c r="S15" s="62" t="n">
        <v>40</v>
      </c>
      <c r="T15" s="61"/>
      <c r="U15" s="61" t="s">
        <v>401</v>
      </c>
      <c r="V15" s="61" t="s">
        <v>375</v>
      </c>
      <c r="W15" s="61" t="s">
        <v>359</v>
      </c>
      <c r="X15" s="61"/>
      <c r="Y15" s="63" t="n">
        <v>0.96</v>
      </c>
      <c r="Z15" s="61" t="n">
        <v>990</v>
      </c>
      <c r="AA15" s="61" t="n">
        <v>1210</v>
      </c>
      <c r="AB15" s="61" t="n">
        <v>18</v>
      </c>
      <c r="AC15" s="61" t="n">
        <v>25</v>
      </c>
      <c r="AD15" s="61"/>
      <c r="AE15" s="62"/>
      <c r="AF15" s="62"/>
      <c r="AG15" s="63"/>
      <c r="AH15" s="61"/>
      <c r="AI15" s="61" t="s">
        <v>440</v>
      </c>
      <c r="AJ15" s="61"/>
      <c r="AK15" s="61" t="s">
        <v>432</v>
      </c>
      <c r="AL15" s="61" t="s">
        <v>441</v>
      </c>
    </row>
    <row r="16" customFormat="false" ht="15" hidden="false" customHeight="true" outlineLevel="0" collapsed="false">
      <c r="A16" s="61" t="s">
        <v>442</v>
      </c>
      <c r="B16" s="61" t="s">
        <v>351</v>
      </c>
      <c r="C16" s="61" t="s">
        <v>443</v>
      </c>
      <c r="D16" s="61" t="s">
        <v>353</v>
      </c>
      <c r="E16" s="61" t="s">
        <v>354</v>
      </c>
      <c r="F16" s="61" t="s">
        <v>355</v>
      </c>
      <c r="G16" s="61" t="s">
        <v>399</v>
      </c>
      <c r="H16" s="61" t="s">
        <v>355</v>
      </c>
      <c r="I16" s="58"/>
      <c r="J16" s="58"/>
      <c r="K16" s="58"/>
      <c r="L16" s="58"/>
      <c r="M16" s="58"/>
      <c r="N16" s="58"/>
      <c r="O16" s="58"/>
      <c r="P16" s="61" t="s">
        <v>221</v>
      </c>
      <c r="Q16" s="58"/>
      <c r="R16" s="61"/>
      <c r="S16" s="62" t="n">
        <v>30</v>
      </c>
      <c r="T16" s="61"/>
      <c r="U16" s="61" t="s">
        <v>401</v>
      </c>
      <c r="V16" s="61" t="s">
        <v>375</v>
      </c>
      <c r="W16" s="61" t="s">
        <v>359</v>
      </c>
      <c r="X16" s="61"/>
      <c r="Y16" s="63" t="n">
        <v>0.95</v>
      </c>
      <c r="Z16" s="61" t="n">
        <v>860</v>
      </c>
      <c r="AA16" s="61" t="n">
        <v>1110</v>
      </c>
      <c r="AB16" s="61" t="n">
        <v>16</v>
      </c>
      <c r="AC16" s="61" t="n">
        <v>24</v>
      </c>
      <c r="AD16" s="61"/>
      <c r="AE16" s="62"/>
      <c r="AF16" s="62"/>
      <c r="AG16" s="63"/>
      <c r="AH16" s="61"/>
      <c r="AI16" s="61" t="s">
        <v>444</v>
      </c>
      <c r="AJ16" s="61"/>
      <c r="AK16" s="61" t="s">
        <v>432</v>
      </c>
      <c r="AL16" s="61" t="s">
        <v>445</v>
      </c>
    </row>
    <row r="17" customFormat="false" ht="15" hidden="false" customHeight="true" outlineLevel="0" collapsed="false">
      <c r="A17" s="61" t="s">
        <v>446</v>
      </c>
      <c r="B17" s="61" t="s">
        <v>351</v>
      </c>
      <c r="C17" s="61" t="s">
        <v>447</v>
      </c>
      <c r="D17" s="61" t="s">
        <v>353</v>
      </c>
      <c r="E17" s="61" t="s">
        <v>354</v>
      </c>
      <c r="F17" s="61" t="s">
        <v>355</v>
      </c>
      <c r="G17" s="61" t="s">
        <v>448</v>
      </c>
      <c r="H17" s="61" t="s">
        <v>355</v>
      </c>
      <c r="I17" s="58"/>
      <c r="J17" s="58"/>
      <c r="K17" s="58"/>
      <c r="L17" s="58"/>
      <c r="M17" s="58"/>
      <c r="N17" s="58" t="n">
        <v>46569</v>
      </c>
      <c r="O17" s="58"/>
      <c r="P17" s="61" t="s">
        <v>221</v>
      </c>
      <c r="Q17" s="58"/>
      <c r="R17" s="61"/>
      <c r="S17" s="62" t="n">
        <v>30</v>
      </c>
      <c r="T17" s="61" t="s">
        <v>449</v>
      </c>
      <c r="U17" s="61" t="s">
        <v>401</v>
      </c>
      <c r="V17" s="61" t="s">
        <v>450</v>
      </c>
      <c r="W17" s="61"/>
      <c r="X17" s="61"/>
      <c r="Y17" s="63"/>
      <c r="Z17" s="61"/>
      <c r="AA17" s="61"/>
      <c r="AB17" s="61"/>
      <c r="AC17" s="61"/>
      <c r="AD17" s="61"/>
      <c r="AE17" s="62"/>
      <c r="AF17" s="62"/>
      <c r="AG17" s="63"/>
      <c r="AH17" s="61"/>
      <c r="AI17" s="61" t="s">
        <v>451</v>
      </c>
      <c r="AJ17" s="61"/>
      <c r="AK17" s="61" t="s">
        <v>370</v>
      </c>
      <c r="AL17" s="61" t="s">
        <v>452</v>
      </c>
    </row>
    <row r="18" customFormat="false" ht="15" hidden="false" customHeight="true" outlineLevel="0" collapsed="false">
      <c r="A18" s="61" t="s">
        <v>453</v>
      </c>
      <c r="B18" s="61" t="s">
        <v>351</v>
      </c>
      <c r="C18" s="61" t="s">
        <v>454</v>
      </c>
      <c r="D18" s="61" t="s">
        <v>353</v>
      </c>
      <c r="E18" s="61" t="s">
        <v>354</v>
      </c>
      <c r="F18" s="61" t="s">
        <v>355</v>
      </c>
      <c r="G18" s="61" t="s">
        <v>399</v>
      </c>
      <c r="H18" s="61" t="s">
        <v>355</v>
      </c>
      <c r="I18" s="58"/>
      <c r="J18" s="58"/>
      <c r="K18" s="58"/>
      <c r="L18" s="58"/>
      <c r="M18" s="58"/>
      <c r="N18" s="58" t="n">
        <v>46600</v>
      </c>
      <c r="O18" s="58" t="n">
        <v>46357</v>
      </c>
      <c r="P18" s="61" t="s">
        <v>221</v>
      </c>
      <c r="Q18" s="58"/>
      <c r="R18" s="61"/>
      <c r="S18" s="62" t="n">
        <v>25</v>
      </c>
      <c r="T18" s="61" t="s">
        <v>455</v>
      </c>
      <c r="U18" s="61" t="s">
        <v>401</v>
      </c>
      <c r="V18" s="61" t="s">
        <v>375</v>
      </c>
      <c r="W18" s="61"/>
      <c r="X18" s="61"/>
      <c r="Y18" s="63" t="n">
        <v>0.981</v>
      </c>
      <c r="Z18" s="61" t="n">
        <v>875</v>
      </c>
      <c r="AA18" s="61" t="n">
        <v>1100</v>
      </c>
      <c r="AB18" s="61" t="n">
        <v>17</v>
      </c>
      <c r="AC18" s="61" t="n">
        <v>22</v>
      </c>
      <c r="AD18" s="61" t="n">
        <v>3.1</v>
      </c>
      <c r="AE18" s="62"/>
      <c r="AF18" s="62"/>
      <c r="AG18" s="63"/>
      <c r="AH18" s="61"/>
      <c r="AI18" s="61" t="s">
        <v>456</v>
      </c>
      <c r="AJ18" s="61"/>
      <c r="AK18" s="61" t="s">
        <v>370</v>
      </c>
      <c r="AL18" s="61" t="s">
        <v>457</v>
      </c>
    </row>
    <row r="19" customFormat="false" ht="15" hidden="false" customHeight="true" outlineLevel="0" collapsed="false">
      <c r="A19" s="61" t="s">
        <v>458</v>
      </c>
      <c r="B19" s="61" t="s">
        <v>351</v>
      </c>
      <c r="C19" s="61" t="s">
        <v>459</v>
      </c>
      <c r="D19" s="61" t="s">
        <v>353</v>
      </c>
      <c r="E19" s="61" t="s">
        <v>354</v>
      </c>
      <c r="F19" s="61" t="s">
        <v>355</v>
      </c>
      <c r="G19" s="61" t="s">
        <v>460</v>
      </c>
      <c r="H19" s="61" t="s">
        <v>355</v>
      </c>
      <c r="I19" s="58"/>
      <c r="J19" s="58"/>
      <c r="K19" s="58"/>
      <c r="L19" s="58"/>
      <c r="M19" s="58"/>
      <c r="N19" s="58" t="n">
        <v>46596</v>
      </c>
      <c r="O19" s="58"/>
      <c r="P19" s="61" t="s">
        <v>221</v>
      </c>
      <c r="Q19" s="58"/>
      <c r="R19" s="61"/>
      <c r="S19" s="62" t="n">
        <v>30</v>
      </c>
      <c r="T19" s="61" t="s">
        <v>461</v>
      </c>
      <c r="U19" s="61" t="s">
        <v>408</v>
      </c>
      <c r="V19" s="61" t="s">
        <v>375</v>
      </c>
      <c r="W19" s="61"/>
      <c r="X19" s="61"/>
      <c r="Y19" s="63"/>
      <c r="Z19" s="61"/>
      <c r="AA19" s="61"/>
      <c r="AB19" s="61"/>
      <c r="AC19" s="61"/>
      <c r="AD19" s="61"/>
      <c r="AE19" s="62"/>
      <c r="AF19" s="62"/>
      <c r="AG19" s="63"/>
      <c r="AH19" s="61"/>
      <c r="AI19" s="61" t="s">
        <v>462</v>
      </c>
      <c r="AJ19" s="61"/>
      <c r="AK19" s="61" t="s">
        <v>370</v>
      </c>
      <c r="AL19" s="61" t="s">
        <v>463</v>
      </c>
    </row>
    <row r="20" customFormat="false" ht="15" hidden="false" customHeight="true" outlineLevel="0" collapsed="false">
      <c r="A20" s="61" t="s">
        <v>464</v>
      </c>
      <c r="B20" s="61" t="s">
        <v>351</v>
      </c>
      <c r="C20" s="61" t="s">
        <v>465</v>
      </c>
      <c r="D20" s="61" t="s">
        <v>353</v>
      </c>
      <c r="E20" s="61" t="s">
        <v>354</v>
      </c>
      <c r="F20" s="61" t="s">
        <v>355</v>
      </c>
      <c r="G20" s="61" t="s">
        <v>399</v>
      </c>
      <c r="H20" s="61" t="s">
        <v>355</v>
      </c>
      <c r="I20" s="58"/>
      <c r="J20" s="58"/>
      <c r="K20" s="58"/>
      <c r="L20" s="58"/>
      <c r="M20" s="58"/>
      <c r="N20" s="58" t="n">
        <v>46583</v>
      </c>
      <c r="O20" s="58"/>
      <c r="P20" s="61" t="s">
        <v>221</v>
      </c>
      <c r="Q20" s="58"/>
      <c r="R20" s="61"/>
      <c r="S20" s="62" t="n">
        <v>30</v>
      </c>
      <c r="T20" s="61" t="s">
        <v>466</v>
      </c>
      <c r="U20" s="61" t="s">
        <v>401</v>
      </c>
      <c r="V20" s="61" t="s">
        <v>375</v>
      </c>
      <c r="W20" s="61"/>
      <c r="X20" s="61"/>
      <c r="Y20" s="63" t="n">
        <v>0.8678</v>
      </c>
      <c r="Z20" s="61"/>
      <c r="AA20" s="61"/>
      <c r="AB20" s="61" t="n">
        <v>15</v>
      </c>
      <c r="AC20" s="61" t="n">
        <v>21</v>
      </c>
      <c r="AD20" s="61"/>
      <c r="AE20" s="62"/>
      <c r="AF20" s="62"/>
      <c r="AG20" s="63"/>
      <c r="AH20" s="61"/>
      <c r="AI20" s="61" t="s">
        <v>467</v>
      </c>
      <c r="AJ20" s="61"/>
      <c r="AK20" s="61" t="s">
        <v>370</v>
      </c>
      <c r="AL20" s="61" t="s">
        <v>468</v>
      </c>
    </row>
    <row r="21" customFormat="false" ht="15" hidden="false" customHeight="true" outlineLevel="0" collapsed="false">
      <c r="A21" s="61" t="s">
        <v>469</v>
      </c>
      <c r="B21" s="61" t="s">
        <v>351</v>
      </c>
      <c r="C21" s="61" t="s">
        <v>470</v>
      </c>
      <c r="D21" s="61" t="s">
        <v>353</v>
      </c>
      <c r="E21" s="61" t="s">
        <v>354</v>
      </c>
      <c r="F21" s="61" t="s">
        <v>355</v>
      </c>
      <c r="G21" s="61" t="s">
        <v>471</v>
      </c>
      <c r="H21" s="61" t="s">
        <v>355</v>
      </c>
      <c r="I21" s="58"/>
      <c r="J21" s="58"/>
      <c r="K21" s="58"/>
      <c r="L21" s="58"/>
      <c r="M21" s="58"/>
      <c r="N21" s="58" t="n">
        <v>46600</v>
      </c>
      <c r="O21" s="58"/>
      <c r="P21" s="61" t="s">
        <v>221</v>
      </c>
      <c r="Q21" s="58"/>
      <c r="R21" s="61"/>
      <c r="S21" s="62" t="n">
        <v>20</v>
      </c>
      <c r="T21" s="61" t="s">
        <v>472</v>
      </c>
      <c r="U21" s="61" t="s">
        <v>401</v>
      </c>
      <c r="V21" s="61" t="s">
        <v>375</v>
      </c>
      <c r="W21" s="61"/>
      <c r="X21" s="61"/>
      <c r="Y21" s="63" t="n">
        <v>0.7743</v>
      </c>
      <c r="Z21" s="61"/>
      <c r="AA21" s="61"/>
      <c r="AB21" s="61"/>
      <c r="AC21" s="61"/>
      <c r="AD21" s="61"/>
      <c r="AE21" s="62"/>
      <c r="AF21" s="62"/>
      <c r="AG21" s="63"/>
      <c r="AH21" s="61"/>
      <c r="AI21" s="61" t="s">
        <v>473</v>
      </c>
      <c r="AJ21" s="61"/>
      <c r="AK21" s="61" t="s">
        <v>432</v>
      </c>
      <c r="AL21" s="61" t="s">
        <v>474</v>
      </c>
    </row>
    <row r="22" customFormat="false" ht="15" hidden="false" customHeight="true" outlineLevel="0" collapsed="false">
      <c r="A22" s="61" t="s">
        <v>475</v>
      </c>
      <c r="B22" s="61" t="s">
        <v>351</v>
      </c>
      <c r="C22" s="61" t="s">
        <v>476</v>
      </c>
      <c r="D22" s="61" t="s">
        <v>353</v>
      </c>
      <c r="E22" s="61" t="s">
        <v>354</v>
      </c>
      <c r="F22" s="61" t="s">
        <v>355</v>
      </c>
      <c r="G22" s="61" t="s">
        <v>477</v>
      </c>
      <c r="H22" s="61" t="s">
        <v>355</v>
      </c>
      <c r="I22" s="58"/>
      <c r="J22" s="58"/>
      <c r="K22" s="58"/>
      <c r="L22" s="58"/>
      <c r="M22" s="58"/>
      <c r="N22" s="58"/>
      <c r="O22" s="58"/>
      <c r="P22" s="61" t="s">
        <v>221</v>
      </c>
      <c r="Q22" s="58"/>
      <c r="R22" s="61"/>
      <c r="S22" s="62" t="n">
        <v>20</v>
      </c>
      <c r="T22" s="61" t="s">
        <v>478</v>
      </c>
      <c r="U22" s="61" t="s">
        <v>408</v>
      </c>
      <c r="V22" s="61" t="s">
        <v>375</v>
      </c>
      <c r="W22" s="61"/>
      <c r="X22" s="61"/>
      <c r="Y22" s="63" t="n">
        <v>0.757</v>
      </c>
      <c r="Z22" s="61" t="n">
        <v>860</v>
      </c>
      <c r="AA22" s="61" t="n">
        <v>1080</v>
      </c>
      <c r="AB22" s="61" t="n">
        <v>17</v>
      </c>
      <c r="AC22" s="61" t="n">
        <v>22</v>
      </c>
      <c r="AD22" s="61" t="n">
        <v>2.85</v>
      </c>
      <c r="AE22" s="62"/>
      <c r="AF22" s="62"/>
      <c r="AG22" s="63"/>
      <c r="AH22" s="61"/>
      <c r="AI22" s="61" t="s">
        <v>479</v>
      </c>
      <c r="AJ22" s="61"/>
      <c r="AK22" s="61" t="s">
        <v>370</v>
      </c>
      <c r="AL22" s="61" t="s">
        <v>480</v>
      </c>
    </row>
    <row r="23" customFormat="false" ht="15" hidden="false" customHeight="true" outlineLevel="0" collapsed="false">
      <c r="A23" s="61" t="s">
        <v>481</v>
      </c>
      <c r="B23" s="61" t="s">
        <v>351</v>
      </c>
      <c r="C23" s="61" t="s">
        <v>482</v>
      </c>
      <c r="D23" s="61" t="s">
        <v>353</v>
      </c>
      <c r="E23" s="61" t="s">
        <v>354</v>
      </c>
      <c r="F23" s="61" t="s">
        <v>355</v>
      </c>
      <c r="G23" s="61" t="s">
        <v>399</v>
      </c>
      <c r="H23" s="61" t="s">
        <v>355</v>
      </c>
      <c r="I23" s="58"/>
      <c r="J23" s="58"/>
      <c r="K23" s="58"/>
      <c r="L23" s="58"/>
      <c r="M23" s="58"/>
      <c r="N23" s="58"/>
      <c r="O23" s="58"/>
      <c r="P23" s="61" t="s">
        <v>221</v>
      </c>
      <c r="Q23" s="58"/>
      <c r="R23" s="61"/>
      <c r="S23" s="62" t="n">
        <v>20</v>
      </c>
      <c r="T23" s="61"/>
      <c r="U23" s="61" t="s">
        <v>401</v>
      </c>
      <c r="V23" s="61" t="s">
        <v>450</v>
      </c>
      <c r="W23" s="61"/>
      <c r="X23" s="61"/>
      <c r="Y23" s="63"/>
      <c r="Z23" s="61"/>
      <c r="AA23" s="61"/>
      <c r="AB23" s="61"/>
      <c r="AC23" s="61"/>
      <c r="AD23" s="61"/>
      <c r="AE23" s="62"/>
      <c r="AF23" s="62"/>
      <c r="AG23" s="63"/>
      <c r="AH23" s="61"/>
      <c r="AI23" s="61" t="s">
        <v>483</v>
      </c>
      <c r="AJ23" s="61"/>
      <c r="AK23" s="61" t="s">
        <v>432</v>
      </c>
      <c r="AL23" s="61" t="s">
        <v>484</v>
      </c>
    </row>
    <row r="24" customFormat="false" ht="15" hidden="false" customHeight="true" outlineLevel="0" collapsed="false">
      <c r="A24" s="61" t="s">
        <v>485</v>
      </c>
      <c r="B24" s="61" t="s">
        <v>351</v>
      </c>
      <c r="C24" s="61" t="s">
        <v>365</v>
      </c>
      <c r="D24" s="61" t="s">
        <v>353</v>
      </c>
      <c r="E24" s="61" t="s">
        <v>354</v>
      </c>
      <c r="F24" s="61" t="s">
        <v>355</v>
      </c>
      <c r="G24" s="61" t="s">
        <v>486</v>
      </c>
      <c r="H24" s="61" t="s">
        <v>355</v>
      </c>
      <c r="I24" s="58"/>
      <c r="J24" s="58"/>
      <c r="K24" s="58"/>
      <c r="L24" s="58"/>
      <c r="M24" s="58"/>
      <c r="N24" s="58"/>
      <c r="O24" s="58" t="n">
        <v>46600</v>
      </c>
      <c r="P24" s="61" t="s">
        <v>221</v>
      </c>
      <c r="Q24" s="58"/>
      <c r="R24" s="61"/>
      <c r="S24" s="62" t="n">
        <v>20</v>
      </c>
      <c r="T24" s="61"/>
      <c r="U24" s="61" t="s">
        <v>401</v>
      </c>
      <c r="V24" s="61" t="s">
        <v>450</v>
      </c>
      <c r="W24" s="61"/>
      <c r="X24" s="61"/>
      <c r="Y24" s="63"/>
      <c r="Z24" s="61"/>
      <c r="AA24" s="61"/>
      <c r="AB24" s="61"/>
      <c r="AC24" s="61"/>
      <c r="AD24" s="61"/>
      <c r="AE24" s="62"/>
      <c r="AF24" s="62"/>
      <c r="AG24" s="63"/>
      <c r="AH24" s="61"/>
      <c r="AI24" s="61" t="s">
        <v>487</v>
      </c>
      <c r="AJ24" s="61"/>
      <c r="AK24" s="61" t="s">
        <v>370</v>
      </c>
      <c r="AL24" s="61" t="s">
        <v>488</v>
      </c>
    </row>
    <row r="25" customFormat="false" ht="15" hidden="false" customHeight="true" outlineLevel="0" collapsed="false">
      <c r="A25" s="61" t="s">
        <v>489</v>
      </c>
      <c r="B25" s="61" t="s">
        <v>490</v>
      </c>
      <c r="C25" s="61" t="s">
        <v>365</v>
      </c>
      <c r="D25" s="61" t="s">
        <v>353</v>
      </c>
      <c r="E25" s="61" t="s">
        <v>491</v>
      </c>
      <c r="F25" s="61" t="s">
        <v>355</v>
      </c>
      <c r="G25" s="61" t="s">
        <v>492</v>
      </c>
      <c r="H25" s="61" t="s">
        <v>221</v>
      </c>
      <c r="I25" s="58" t="n">
        <v>46327</v>
      </c>
      <c r="J25" s="58" t="n">
        <v>46388</v>
      </c>
      <c r="K25" s="58"/>
      <c r="L25" s="58"/>
      <c r="M25" s="58"/>
      <c r="N25" s="58" t="n">
        <v>46388</v>
      </c>
      <c r="O25" s="58"/>
      <c r="P25" s="61" t="s">
        <v>355</v>
      </c>
      <c r="Q25" s="58" t="n">
        <v>46341</v>
      </c>
      <c r="R25" s="61" t="s">
        <v>493</v>
      </c>
      <c r="S25" s="62" t="n">
        <v>75</v>
      </c>
      <c r="T25" s="61" t="s">
        <v>494</v>
      </c>
      <c r="U25" s="61" t="s">
        <v>401</v>
      </c>
      <c r="V25" s="61" t="s">
        <v>495</v>
      </c>
      <c r="W25" s="61"/>
      <c r="X25" s="61"/>
      <c r="Y25" s="63" t="n">
        <v>0.106</v>
      </c>
      <c r="Z25" s="61" t="n">
        <v>1470</v>
      </c>
      <c r="AA25" s="61" t="n">
        <v>1550</v>
      </c>
      <c r="AB25" s="61" t="n">
        <v>32</v>
      </c>
      <c r="AC25" s="61" t="n">
        <v>35</v>
      </c>
      <c r="AD25" s="61"/>
      <c r="AE25" s="62"/>
      <c r="AF25" s="62"/>
      <c r="AG25" s="63" t="n">
        <v>0.9</v>
      </c>
      <c r="AH25" s="61" t="n">
        <v>2</v>
      </c>
      <c r="AI25" s="61" t="s">
        <v>496</v>
      </c>
      <c r="AJ25" s="61" t="s">
        <v>497</v>
      </c>
      <c r="AK25" s="61" t="s">
        <v>370</v>
      </c>
      <c r="AL25" s="61" t="s">
        <v>498</v>
      </c>
    </row>
    <row r="26" customFormat="false" ht="15" hidden="false" customHeight="true" outlineLevel="0" collapsed="false">
      <c r="A26" s="61" t="s">
        <v>499</v>
      </c>
      <c r="B26" s="61" t="s">
        <v>490</v>
      </c>
      <c r="C26" s="61" t="s">
        <v>435</v>
      </c>
      <c r="D26" s="61" t="s">
        <v>353</v>
      </c>
      <c r="E26" s="61" t="s">
        <v>491</v>
      </c>
      <c r="F26" s="61" t="s">
        <v>355</v>
      </c>
      <c r="G26" s="61" t="s">
        <v>500</v>
      </c>
      <c r="H26" s="61" t="s">
        <v>221</v>
      </c>
      <c r="I26" s="58"/>
      <c r="J26" s="58"/>
      <c r="K26" s="58" t="n">
        <v>46327</v>
      </c>
      <c r="L26" s="58" t="n">
        <v>46357</v>
      </c>
      <c r="M26" s="58"/>
      <c r="N26" s="58" t="n">
        <v>46419</v>
      </c>
      <c r="O26" s="58"/>
      <c r="P26" s="61" t="s">
        <v>355</v>
      </c>
      <c r="Q26" s="58"/>
      <c r="R26" s="61"/>
      <c r="S26" s="62" t="n">
        <v>50</v>
      </c>
      <c r="T26" s="61" t="s">
        <v>494</v>
      </c>
      <c r="U26" s="61" t="s">
        <v>214</v>
      </c>
      <c r="V26" s="61" t="s">
        <v>450</v>
      </c>
      <c r="W26" s="61"/>
      <c r="X26" s="61"/>
      <c r="Y26" s="63" t="n">
        <v>0.689</v>
      </c>
      <c r="Z26" s="61" t="n">
        <v>1160</v>
      </c>
      <c r="AA26" s="61" t="n">
        <v>1350</v>
      </c>
      <c r="AB26" s="61" t="n">
        <v>25</v>
      </c>
      <c r="AC26" s="61" t="n">
        <v>31</v>
      </c>
      <c r="AD26" s="61" t="n">
        <v>3.98</v>
      </c>
      <c r="AE26" s="62"/>
      <c r="AF26" s="62"/>
      <c r="AG26" s="63"/>
      <c r="AH26" s="61"/>
      <c r="AI26" s="61" t="s">
        <v>501</v>
      </c>
      <c r="AJ26" s="61"/>
      <c r="AK26" s="61" t="s">
        <v>370</v>
      </c>
      <c r="AL26" s="61" t="s">
        <v>502</v>
      </c>
    </row>
    <row r="27" customFormat="false" ht="15" hidden="false" customHeight="true" outlineLevel="0" collapsed="false">
      <c r="A27" s="61" t="s">
        <v>503</v>
      </c>
      <c r="B27" s="61" t="s">
        <v>490</v>
      </c>
      <c r="C27" s="61" t="s">
        <v>504</v>
      </c>
      <c r="D27" s="61" t="s">
        <v>353</v>
      </c>
      <c r="E27" s="61" t="s">
        <v>491</v>
      </c>
      <c r="F27" s="61" t="s">
        <v>355</v>
      </c>
      <c r="G27" s="61" t="s">
        <v>292</v>
      </c>
      <c r="H27" s="61" t="s">
        <v>221</v>
      </c>
      <c r="I27" s="58" t="n">
        <v>46327</v>
      </c>
      <c r="J27" s="58"/>
      <c r="K27" s="58" t="n">
        <v>46341</v>
      </c>
      <c r="L27" s="58" t="n">
        <v>46402</v>
      </c>
      <c r="M27" s="58"/>
      <c r="N27" s="58" t="n">
        <v>46461</v>
      </c>
      <c r="O27" s="58"/>
      <c r="P27" s="61" t="s">
        <v>221</v>
      </c>
      <c r="Q27" s="58" t="n">
        <v>46402</v>
      </c>
      <c r="R27" s="61" t="s">
        <v>505</v>
      </c>
      <c r="S27" s="62"/>
      <c r="T27" s="61" t="s">
        <v>506</v>
      </c>
      <c r="U27" s="61" t="s">
        <v>401</v>
      </c>
      <c r="V27" s="61" t="s">
        <v>507</v>
      </c>
      <c r="W27" s="61"/>
      <c r="X27" s="61" t="s">
        <v>401</v>
      </c>
      <c r="Y27" s="63" t="n">
        <v>0.622</v>
      </c>
      <c r="Z27" s="61" t="n">
        <v>1160</v>
      </c>
      <c r="AA27" s="61" t="n">
        <v>1330</v>
      </c>
      <c r="AB27" s="61" t="n">
        <v>25</v>
      </c>
      <c r="AC27" s="61" t="n">
        <v>31</v>
      </c>
      <c r="AD27" s="61" t="n">
        <v>3.77</v>
      </c>
      <c r="AE27" s="62"/>
      <c r="AF27" s="62"/>
      <c r="AG27" s="63"/>
      <c r="AH27" s="61"/>
      <c r="AI27" s="61" t="s">
        <v>508</v>
      </c>
      <c r="AJ27" s="61"/>
      <c r="AK27" s="61" t="s">
        <v>370</v>
      </c>
      <c r="AL27" s="61" t="s">
        <v>509</v>
      </c>
    </row>
    <row r="28" customFormat="false" ht="15" hidden="false" customHeight="true" outlineLevel="0" collapsed="false">
      <c r="A28" s="61" t="s">
        <v>510</v>
      </c>
      <c r="B28" s="61" t="s">
        <v>490</v>
      </c>
      <c r="C28" s="61" t="s">
        <v>365</v>
      </c>
      <c r="D28" s="61" t="s">
        <v>353</v>
      </c>
      <c r="E28" s="61" t="s">
        <v>491</v>
      </c>
      <c r="F28" s="61" t="s">
        <v>355</v>
      </c>
      <c r="G28" s="61" t="s">
        <v>511</v>
      </c>
      <c r="H28" s="61" t="s">
        <v>221</v>
      </c>
      <c r="I28" s="58"/>
      <c r="J28" s="58"/>
      <c r="K28" s="58" t="n">
        <v>46327</v>
      </c>
      <c r="L28" s="58" t="n">
        <v>46357</v>
      </c>
      <c r="M28" s="58"/>
      <c r="N28" s="58"/>
      <c r="O28" s="58" t="n">
        <v>46508</v>
      </c>
      <c r="P28" s="61" t="s">
        <v>221</v>
      </c>
      <c r="Q28" s="58"/>
      <c r="R28" s="61" t="s">
        <v>512</v>
      </c>
      <c r="S28" s="62" t="n">
        <v>50</v>
      </c>
      <c r="T28" s="61" t="s">
        <v>513</v>
      </c>
      <c r="U28" s="61" t="s">
        <v>401</v>
      </c>
      <c r="V28" s="61" t="s">
        <v>514</v>
      </c>
      <c r="W28" s="61"/>
      <c r="X28" s="61" t="s">
        <v>515</v>
      </c>
      <c r="Y28" s="63" t="n">
        <v>0.884</v>
      </c>
      <c r="Z28" s="61" t="n">
        <v>1090</v>
      </c>
      <c r="AA28" s="61" t="n">
        <v>1310</v>
      </c>
      <c r="AB28" s="61" t="n">
        <v>22</v>
      </c>
      <c r="AC28" s="61" t="n">
        <v>31</v>
      </c>
      <c r="AD28" s="61" t="n">
        <v>3.73</v>
      </c>
      <c r="AE28" s="62"/>
      <c r="AF28" s="62"/>
      <c r="AG28" s="63"/>
      <c r="AH28" s="61" t="n">
        <v>0</v>
      </c>
      <c r="AI28" s="61" t="s">
        <v>516</v>
      </c>
      <c r="AJ28" s="61"/>
      <c r="AK28" s="61" t="s">
        <v>362</v>
      </c>
      <c r="AL28" s="61" t="s">
        <v>517</v>
      </c>
    </row>
    <row r="29" customFormat="false" ht="15" hidden="false" customHeight="true" outlineLevel="0" collapsed="false">
      <c r="A29" s="61" t="s">
        <v>518</v>
      </c>
      <c r="B29" s="61" t="s">
        <v>490</v>
      </c>
      <c r="C29" s="61" t="s">
        <v>519</v>
      </c>
      <c r="D29" s="61" t="s">
        <v>353</v>
      </c>
      <c r="E29" s="61" t="s">
        <v>491</v>
      </c>
      <c r="F29" s="61" t="s">
        <v>355</v>
      </c>
      <c r="G29" s="61" t="s">
        <v>520</v>
      </c>
      <c r="H29" s="61" t="s">
        <v>221</v>
      </c>
      <c r="I29" s="58"/>
      <c r="J29" s="58"/>
      <c r="K29" s="58" t="n">
        <v>46327</v>
      </c>
      <c r="L29" s="58"/>
      <c r="M29" s="58"/>
      <c r="N29" s="58" t="n">
        <v>46402</v>
      </c>
      <c r="O29" s="58"/>
      <c r="P29" s="61" t="s">
        <v>355</v>
      </c>
      <c r="Q29" s="58" t="n">
        <v>46402</v>
      </c>
      <c r="R29" s="61" t="s">
        <v>521</v>
      </c>
      <c r="S29" s="62" t="n">
        <v>0</v>
      </c>
      <c r="T29" s="61" t="s">
        <v>522</v>
      </c>
      <c r="U29" s="61" t="s">
        <v>401</v>
      </c>
      <c r="V29" s="61" t="s">
        <v>401</v>
      </c>
      <c r="W29" s="61"/>
      <c r="X29" s="61"/>
      <c r="Y29" s="63" t="n">
        <v>0.64</v>
      </c>
      <c r="Z29" s="61" t="n">
        <v>1125</v>
      </c>
      <c r="AA29" s="61" t="n">
        <v>1330</v>
      </c>
      <c r="AB29" s="61" t="n">
        <v>22</v>
      </c>
      <c r="AC29" s="61" t="n">
        <v>28</v>
      </c>
      <c r="AD29" s="61" t="n">
        <v>3.84</v>
      </c>
      <c r="AE29" s="62"/>
      <c r="AF29" s="62"/>
      <c r="AG29" s="63"/>
      <c r="AH29" s="61" t="n">
        <v>0</v>
      </c>
      <c r="AI29" s="61" t="s">
        <v>523</v>
      </c>
      <c r="AJ29" s="61"/>
      <c r="AK29" s="61" t="s">
        <v>362</v>
      </c>
      <c r="AL29" s="61" t="s">
        <v>524</v>
      </c>
    </row>
    <row r="30" customFormat="false" ht="15" hidden="false" customHeight="true" outlineLevel="0" collapsed="false">
      <c r="A30" s="61" t="s">
        <v>525</v>
      </c>
      <c r="B30" s="61" t="s">
        <v>490</v>
      </c>
      <c r="C30" s="61" t="s">
        <v>526</v>
      </c>
      <c r="D30" s="61" t="s">
        <v>353</v>
      </c>
      <c r="E30" s="61" t="s">
        <v>491</v>
      </c>
      <c r="F30" s="61" t="s">
        <v>355</v>
      </c>
      <c r="G30" s="61" t="s">
        <v>527</v>
      </c>
      <c r="H30" s="61" t="s">
        <v>221</v>
      </c>
      <c r="I30" s="58"/>
      <c r="J30" s="58"/>
      <c r="K30" s="58"/>
      <c r="L30" s="58"/>
      <c r="M30" s="58"/>
      <c r="N30" s="58"/>
      <c r="O30" s="58"/>
      <c r="P30" s="61" t="s">
        <v>221</v>
      </c>
      <c r="Q30" s="58"/>
      <c r="R30" s="61" t="s">
        <v>528</v>
      </c>
      <c r="S30" s="62" t="n">
        <v>100</v>
      </c>
      <c r="T30" s="61"/>
      <c r="U30" s="61" t="s">
        <v>401</v>
      </c>
      <c r="V30" s="61" t="s">
        <v>529</v>
      </c>
      <c r="W30" s="61"/>
      <c r="X30" s="61"/>
      <c r="Y30" s="63" t="n">
        <v>0.83</v>
      </c>
      <c r="Z30" s="61" t="n">
        <v>1030</v>
      </c>
      <c r="AA30" s="61" t="n">
        <v>1270</v>
      </c>
      <c r="AB30" s="61" t="n">
        <v>21</v>
      </c>
      <c r="AC30" s="61" t="n">
        <v>28</v>
      </c>
      <c r="AD30" s="61" t="n">
        <v>3.56</v>
      </c>
      <c r="AE30" s="62"/>
      <c r="AF30" s="62"/>
      <c r="AG30" s="63"/>
      <c r="AH30" s="61"/>
      <c r="AI30" s="61" t="s">
        <v>530</v>
      </c>
      <c r="AJ30" s="61"/>
      <c r="AK30" s="61" t="s">
        <v>370</v>
      </c>
      <c r="AL30" s="61" t="s">
        <v>531</v>
      </c>
    </row>
    <row r="31" customFormat="false" ht="15" hidden="false" customHeight="true" outlineLevel="0" collapsed="false">
      <c r="A31" s="61" t="s">
        <v>532</v>
      </c>
      <c r="B31" s="61" t="s">
        <v>490</v>
      </c>
      <c r="C31" s="61" t="s">
        <v>533</v>
      </c>
      <c r="D31" s="61" t="s">
        <v>353</v>
      </c>
      <c r="E31" s="61" t="s">
        <v>491</v>
      </c>
      <c r="F31" s="61" t="s">
        <v>355</v>
      </c>
      <c r="G31" s="61" t="s">
        <v>534</v>
      </c>
      <c r="H31" s="61" t="s">
        <v>221</v>
      </c>
      <c r="I31" s="58"/>
      <c r="J31" s="58"/>
      <c r="K31" s="58"/>
      <c r="L31" s="58"/>
      <c r="M31" s="58"/>
      <c r="N31" s="58" t="n">
        <v>46600</v>
      </c>
      <c r="O31" s="58"/>
      <c r="P31" s="61" t="s">
        <v>221</v>
      </c>
      <c r="Q31" s="58"/>
      <c r="R31" s="61"/>
      <c r="S31" s="62"/>
      <c r="T31" s="61" t="s">
        <v>494</v>
      </c>
      <c r="U31" s="61" t="s">
        <v>401</v>
      </c>
      <c r="V31" s="61" t="s">
        <v>535</v>
      </c>
      <c r="W31" s="61"/>
      <c r="X31" s="61"/>
      <c r="Y31" s="63" t="n">
        <v>0.933</v>
      </c>
      <c r="Z31" s="61" t="n">
        <v>1038</v>
      </c>
      <c r="AA31" s="61" t="n">
        <v>1245</v>
      </c>
      <c r="AB31" s="61" t="n">
        <v>18</v>
      </c>
      <c r="AC31" s="61" t="n">
        <v>25</v>
      </c>
      <c r="AD31" s="61" t="n">
        <v>3.54</v>
      </c>
      <c r="AE31" s="62"/>
      <c r="AF31" s="62"/>
      <c r="AG31" s="63"/>
      <c r="AH31" s="61"/>
      <c r="AI31" s="61" t="s">
        <v>536</v>
      </c>
      <c r="AJ31" s="61"/>
      <c r="AK31" s="61" t="s">
        <v>370</v>
      </c>
      <c r="AL31" s="61" t="s">
        <v>537</v>
      </c>
    </row>
    <row r="32" customFormat="false" ht="15" hidden="false" customHeight="true" outlineLevel="0" collapsed="false">
      <c r="A32" s="61" t="s">
        <v>538</v>
      </c>
      <c r="B32" s="61" t="s">
        <v>490</v>
      </c>
      <c r="C32" s="61" t="s">
        <v>539</v>
      </c>
      <c r="D32" s="61" t="s">
        <v>353</v>
      </c>
      <c r="E32" s="61" t="s">
        <v>491</v>
      </c>
      <c r="F32" s="61" t="s">
        <v>355</v>
      </c>
      <c r="G32" s="61" t="s">
        <v>399</v>
      </c>
      <c r="H32" s="61" t="s">
        <v>355</v>
      </c>
      <c r="I32" s="58"/>
      <c r="J32" s="58"/>
      <c r="K32" s="58"/>
      <c r="L32" s="58"/>
      <c r="M32" s="58"/>
      <c r="N32" s="58"/>
      <c r="O32" s="58"/>
      <c r="P32" s="61" t="s">
        <v>221</v>
      </c>
      <c r="Q32" s="58"/>
      <c r="R32" s="61"/>
      <c r="S32" s="62" t="n">
        <v>0</v>
      </c>
      <c r="T32" s="61"/>
      <c r="U32" s="61" t="s">
        <v>540</v>
      </c>
      <c r="V32" s="61"/>
      <c r="W32" s="61"/>
      <c r="X32" s="61"/>
      <c r="Y32" s="63" t="n">
        <v>0.621</v>
      </c>
      <c r="Z32" s="61" t="n">
        <v>980</v>
      </c>
      <c r="AA32" s="61" t="n">
        <v>1123</v>
      </c>
      <c r="AB32" s="61" t="n">
        <v>19</v>
      </c>
      <c r="AC32" s="61" t="n">
        <v>24</v>
      </c>
      <c r="AD32" s="61" t="n">
        <v>3.49</v>
      </c>
      <c r="AE32" s="62" t="n">
        <v>21139</v>
      </c>
      <c r="AF32" s="62" t="n">
        <v>20764</v>
      </c>
      <c r="AG32" s="63" t="n">
        <v>0.48</v>
      </c>
      <c r="AH32" s="61"/>
      <c r="AI32" s="61" t="s">
        <v>541</v>
      </c>
      <c r="AJ32" s="61"/>
      <c r="AK32" s="61" t="s">
        <v>370</v>
      </c>
      <c r="AL32" s="61" t="s">
        <v>542</v>
      </c>
    </row>
    <row r="33" customFormat="false" ht="15" hidden="false" customHeight="true" outlineLevel="0" collapsed="false">
      <c r="A33" s="61" t="s">
        <v>543</v>
      </c>
      <c r="B33" s="61" t="s">
        <v>490</v>
      </c>
      <c r="C33" s="61" t="s">
        <v>435</v>
      </c>
      <c r="D33" s="61" t="s">
        <v>353</v>
      </c>
      <c r="E33" s="61" t="s">
        <v>491</v>
      </c>
      <c r="F33" s="61" t="s">
        <v>355</v>
      </c>
      <c r="G33" s="61" t="s">
        <v>380</v>
      </c>
      <c r="H33" s="61" t="s">
        <v>221</v>
      </c>
      <c r="I33" s="58"/>
      <c r="J33" s="58"/>
      <c r="K33" s="58"/>
      <c r="L33" s="58"/>
      <c r="M33" s="58"/>
      <c r="N33" s="58"/>
      <c r="O33" s="58"/>
      <c r="P33" s="61" t="s">
        <v>221</v>
      </c>
      <c r="Q33" s="58" t="n">
        <v>46419</v>
      </c>
      <c r="R33" s="61" t="s">
        <v>544</v>
      </c>
      <c r="S33" s="62" t="n">
        <v>0</v>
      </c>
      <c r="T33" s="61" t="s">
        <v>522</v>
      </c>
      <c r="U33" s="61" t="s">
        <v>401</v>
      </c>
      <c r="V33" s="61" t="s">
        <v>450</v>
      </c>
      <c r="W33" s="61" t="s">
        <v>359</v>
      </c>
      <c r="X33" s="61"/>
      <c r="Y33" s="63" t="n">
        <v>0.591</v>
      </c>
      <c r="Z33" s="61" t="n">
        <v>968</v>
      </c>
      <c r="AA33" s="61" t="n">
        <v>1116</v>
      </c>
      <c r="AB33" s="61" t="n">
        <v>20</v>
      </c>
      <c r="AC33" s="61" t="n">
        <v>24</v>
      </c>
      <c r="AD33" s="61" t="n">
        <v>3.28</v>
      </c>
      <c r="AE33" s="62" t="n">
        <v>12837</v>
      </c>
      <c r="AF33" s="62" t="n">
        <v>11045</v>
      </c>
      <c r="AG33" s="63" t="n">
        <v>0.52</v>
      </c>
      <c r="AH33" s="61" t="n">
        <v>0</v>
      </c>
      <c r="AI33" s="61" t="s">
        <v>545</v>
      </c>
      <c r="AJ33" s="61"/>
      <c r="AK33" s="61" t="s">
        <v>362</v>
      </c>
      <c r="AL33" s="61" t="s">
        <v>546</v>
      </c>
    </row>
    <row r="34" customFormat="false" ht="15" hidden="false" customHeight="true" outlineLevel="0" collapsed="false">
      <c r="A34" s="61" t="s">
        <v>547</v>
      </c>
      <c r="B34" s="61" t="s">
        <v>490</v>
      </c>
      <c r="C34" s="61" t="s">
        <v>548</v>
      </c>
      <c r="D34" s="61" t="s">
        <v>353</v>
      </c>
      <c r="E34" s="61" t="s">
        <v>491</v>
      </c>
      <c r="F34" s="61" t="s">
        <v>355</v>
      </c>
      <c r="G34" s="61" t="s">
        <v>380</v>
      </c>
      <c r="H34" s="61" t="s">
        <v>221</v>
      </c>
      <c r="I34" s="58"/>
      <c r="J34" s="58"/>
      <c r="K34" s="58"/>
      <c r="L34" s="58"/>
      <c r="M34" s="58"/>
      <c r="N34" s="58"/>
      <c r="O34" s="58"/>
      <c r="P34" s="61" t="s">
        <v>221</v>
      </c>
      <c r="Q34" s="58"/>
      <c r="R34" s="61"/>
      <c r="S34" s="62" t="n">
        <v>25</v>
      </c>
      <c r="T34" s="61"/>
      <c r="U34" s="61" t="s">
        <v>401</v>
      </c>
      <c r="V34" s="61"/>
      <c r="W34" s="61"/>
      <c r="X34" s="61"/>
      <c r="Y34" s="63" t="n">
        <v>0.878</v>
      </c>
      <c r="Z34" s="61" t="n">
        <v>930</v>
      </c>
      <c r="AA34" s="61" t="n">
        <v>1200</v>
      </c>
      <c r="AB34" s="61" t="n">
        <v>18</v>
      </c>
      <c r="AC34" s="61" t="n">
        <v>22</v>
      </c>
      <c r="AD34" s="61" t="n">
        <v>3.39</v>
      </c>
      <c r="AE34" s="62" t="n">
        <v>19743</v>
      </c>
      <c r="AF34" s="62" t="n">
        <v>19481</v>
      </c>
      <c r="AG34" s="63" t="n">
        <v>0.44</v>
      </c>
      <c r="AH34" s="61"/>
      <c r="AI34" s="61" t="s">
        <v>549</v>
      </c>
      <c r="AJ34" s="61"/>
      <c r="AK34" s="61" t="s">
        <v>370</v>
      </c>
      <c r="AL34" s="61" t="s">
        <v>550</v>
      </c>
    </row>
    <row r="35" customFormat="false" ht="15" hidden="false" customHeight="true" outlineLevel="0" collapsed="false">
      <c r="A35" s="61" t="s">
        <v>551</v>
      </c>
      <c r="B35" s="61" t="s">
        <v>490</v>
      </c>
      <c r="C35" s="61" t="s">
        <v>459</v>
      </c>
      <c r="D35" s="61" t="s">
        <v>353</v>
      </c>
      <c r="E35" s="61" t="s">
        <v>491</v>
      </c>
      <c r="F35" s="61" t="s">
        <v>355</v>
      </c>
      <c r="G35" s="61" t="s">
        <v>399</v>
      </c>
      <c r="H35" s="61" t="s">
        <v>355</v>
      </c>
      <c r="I35" s="58"/>
      <c r="J35" s="58"/>
      <c r="K35" s="58"/>
      <c r="L35" s="58"/>
      <c r="M35" s="58"/>
      <c r="N35" s="58"/>
      <c r="O35" s="58"/>
      <c r="P35" s="61" t="s">
        <v>221</v>
      </c>
      <c r="Q35" s="58"/>
      <c r="R35" s="61"/>
      <c r="S35" s="62" t="n">
        <v>25</v>
      </c>
      <c r="T35" s="61"/>
      <c r="U35" s="61" t="s">
        <v>401</v>
      </c>
      <c r="V35" s="61"/>
      <c r="W35" s="61"/>
      <c r="X35" s="61"/>
      <c r="Y35" s="63" t="n">
        <v>0.969</v>
      </c>
      <c r="Z35" s="61" t="n">
        <v>900</v>
      </c>
      <c r="AA35" s="61" t="n">
        <v>1130</v>
      </c>
      <c r="AB35" s="61" t="n">
        <v>17</v>
      </c>
      <c r="AC35" s="61" t="n">
        <v>23</v>
      </c>
      <c r="AD35" s="61" t="n">
        <v>3.25</v>
      </c>
      <c r="AE35" s="62" t="n">
        <v>16821</v>
      </c>
      <c r="AF35" s="62" t="n">
        <v>15929</v>
      </c>
      <c r="AG35" s="63" t="n">
        <v>0.47</v>
      </c>
      <c r="AH35" s="61"/>
      <c r="AI35" s="61" t="s">
        <v>552</v>
      </c>
      <c r="AJ35" s="61"/>
      <c r="AK35" s="61" t="s">
        <v>432</v>
      </c>
      <c r="AL35" s="61" t="s">
        <v>553</v>
      </c>
    </row>
    <row r="36" customFormat="false" ht="15" hidden="false" customHeight="true" outlineLevel="0" collapsed="false">
      <c r="A36" s="61" t="s">
        <v>554</v>
      </c>
      <c r="B36" s="61" t="s">
        <v>490</v>
      </c>
      <c r="C36" s="61" t="s">
        <v>555</v>
      </c>
      <c r="D36" s="61" t="s">
        <v>353</v>
      </c>
      <c r="E36" s="61" t="s">
        <v>491</v>
      </c>
      <c r="F36" s="61" t="s">
        <v>355</v>
      </c>
      <c r="G36" s="61" t="s">
        <v>380</v>
      </c>
      <c r="H36" s="61" t="s">
        <v>221</v>
      </c>
      <c r="I36" s="58"/>
      <c r="J36" s="58"/>
      <c r="K36" s="58"/>
      <c r="L36" s="58"/>
      <c r="M36" s="58"/>
      <c r="N36" s="58"/>
      <c r="O36" s="58"/>
      <c r="P36" s="61" t="s">
        <v>221</v>
      </c>
      <c r="Q36" s="58"/>
      <c r="R36" s="61"/>
      <c r="S36" s="62" t="n">
        <v>0</v>
      </c>
      <c r="T36" s="61"/>
      <c r="U36" s="61" t="s">
        <v>401</v>
      </c>
      <c r="V36" s="61" t="s">
        <v>556</v>
      </c>
      <c r="W36" s="61"/>
      <c r="X36" s="61"/>
      <c r="Y36" s="63" t="n">
        <v>0.615</v>
      </c>
      <c r="Z36" s="61" t="n">
        <v>940</v>
      </c>
      <c r="AA36" s="61" t="n">
        <v>1160</v>
      </c>
      <c r="AB36" s="61" t="n">
        <v>19</v>
      </c>
      <c r="AC36" s="61" t="n">
        <v>24</v>
      </c>
      <c r="AD36" s="61" t="n">
        <v>3.25</v>
      </c>
      <c r="AE36" s="62" t="n">
        <v>24550</v>
      </c>
      <c r="AF36" s="62" t="n">
        <v>21877</v>
      </c>
      <c r="AG36" s="63" t="n">
        <v>0.47</v>
      </c>
      <c r="AH36" s="61"/>
      <c r="AI36" s="61" t="s">
        <v>557</v>
      </c>
      <c r="AJ36" s="61"/>
      <c r="AK36" s="61" t="s">
        <v>370</v>
      </c>
      <c r="AL36" s="61" t="s">
        <v>558</v>
      </c>
    </row>
    <row r="37" customFormat="false" ht="15" hidden="false" customHeight="true" outlineLevel="0" collapsed="false">
      <c r="A37" s="61" t="s">
        <v>559</v>
      </c>
      <c r="B37" s="61" t="s">
        <v>490</v>
      </c>
      <c r="C37" s="61" t="s">
        <v>560</v>
      </c>
      <c r="D37" s="61" t="s">
        <v>353</v>
      </c>
      <c r="E37" s="61" t="s">
        <v>491</v>
      </c>
      <c r="F37" s="61" t="s">
        <v>355</v>
      </c>
      <c r="G37" s="61" t="s">
        <v>380</v>
      </c>
      <c r="H37" s="61" t="s">
        <v>221</v>
      </c>
      <c r="I37" s="58" t="n">
        <v>46336</v>
      </c>
      <c r="J37" s="58"/>
      <c r="K37" s="58"/>
      <c r="L37" s="58"/>
      <c r="M37" s="58"/>
      <c r="N37" s="58" t="n">
        <v>46447</v>
      </c>
      <c r="O37" s="58"/>
      <c r="P37" s="61" t="s">
        <v>355</v>
      </c>
      <c r="Q37" s="58"/>
      <c r="R37" s="61"/>
      <c r="S37" s="62" t="n">
        <v>35</v>
      </c>
      <c r="T37" s="61"/>
      <c r="U37" s="61" t="s">
        <v>401</v>
      </c>
      <c r="V37" s="61"/>
      <c r="W37" s="61"/>
      <c r="X37" s="61"/>
      <c r="Y37" s="63" t="n">
        <v>0.865</v>
      </c>
      <c r="Z37" s="61" t="n">
        <v>1160</v>
      </c>
      <c r="AA37" s="61" t="n">
        <v>1380</v>
      </c>
      <c r="AB37" s="61" t="n">
        <v>23</v>
      </c>
      <c r="AC37" s="61" t="n">
        <v>30</v>
      </c>
      <c r="AD37" s="61" t="n">
        <v>3.7</v>
      </c>
      <c r="AE37" s="62" t="n">
        <v>27926</v>
      </c>
      <c r="AF37" s="62" t="n">
        <v>18310</v>
      </c>
      <c r="AG37" s="63" t="n">
        <v>0.51</v>
      </c>
      <c r="AH37" s="61"/>
      <c r="AI37" s="61" t="s">
        <v>561</v>
      </c>
      <c r="AJ37" s="61"/>
      <c r="AK37" s="61" t="s">
        <v>370</v>
      </c>
      <c r="AL37" s="61" t="s">
        <v>562</v>
      </c>
    </row>
    <row r="38" customFormat="false" ht="15" hidden="false" customHeight="true" outlineLevel="0" collapsed="false">
      <c r="A38" s="61" t="s">
        <v>563</v>
      </c>
      <c r="B38" s="61" t="s">
        <v>490</v>
      </c>
      <c r="C38" s="61" t="s">
        <v>564</v>
      </c>
      <c r="D38" s="61" t="s">
        <v>353</v>
      </c>
      <c r="E38" s="61" t="s">
        <v>491</v>
      </c>
      <c r="F38" s="61" t="s">
        <v>355</v>
      </c>
      <c r="G38" s="61" t="s">
        <v>399</v>
      </c>
      <c r="H38" s="61" t="s">
        <v>355</v>
      </c>
      <c r="I38" s="58"/>
      <c r="J38" s="58"/>
      <c r="K38" s="58"/>
      <c r="L38" s="58"/>
      <c r="M38" s="58"/>
      <c r="N38" s="58"/>
      <c r="O38" s="58"/>
      <c r="P38" s="61" t="s">
        <v>221</v>
      </c>
      <c r="Q38" s="58"/>
      <c r="R38" s="61"/>
      <c r="S38" s="62" t="n">
        <v>0</v>
      </c>
      <c r="T38" s="61"/>
      <c r="U38" s="61" t="s">
        <v>540</v>
      </c>
      <c r="V38" s="61"/>
      <c r="W38" s="61"/>
      <c r="X38" s="61"/>
      <c r="Y38" s="63" t="n">
        <v>0.626</v>
      </c>
      <c r="Z38" s="61" t="n">
        <v>930</v>
      </c>
      <c r="AA38" s="61" t="n">
        <v>1160</v>
      </c>
      <c r="AB38" s="61" t="n">
        <v>17</v>
      </c>
      <c r="AC38" s="61" t="n">
        <v>26</v>
      </c>
      <c r="AD38" s="61" t="n">
        <v>3.15</v>
      </c>
      <c r="AE38" s="62" t="n">
        <v>21969</v>
      </c>
      <c r="AF38" s="62" t="n">
        <v>19721</v>
      </c>
      <c r="AG38" s="63"/>
      <c r="AH38" s="61"/>
      <c r="AI38" s="61" t="s">
        <v>565</v>
      </c>
      <c r="AJ38" s="61"/>
      <c r="AK38" s="61" t="s">
        <v>432</v>
      </c>
      <c r="AL38" s="61" t="s">
        <v>566</v>
      </c>
    </row>
    <row r="39" customFormat="false" ht="15" hidden="false" customHeight="true" outlineLevel="0" collapsed="false">
      <c r="A39" s="61" t="s">
        <v>567</v>
      </c>
      <c r="B39" s="61" t="s">
        <v>490</v>
      </c>
      <c r="C39" s="61" t="s">
        <v>568</v>
      </c>
      <c r="D39" s="61" t="s">
        <v>353</v>
      </c>
      <c r="E39" s="61" t="s">
        <v>491</v>
      </c>
      <c r="F39" s="61" t="s">
        <v>355</v>
      </c>
      <c r="G39" s="61" t="s">
        <v>399</v>
      </c>
      <c r="H39" s="61" t="s">
        <v>355</v>
      </c>
      <c r="I39" s="58"/>
      <c r="J39" s="58"/>
      <c r="K39" s="58"/>
      <c r="L39" s="58"/>
      <c r="M39" s="58"/>
      <c r="N39" s="58"/>
      <c r="O39" s="58"/>
      <c r="P39" s="61" t="s">
        <v>221</v>
      </c>
      <c r="Q39" s="58"/>
      <c r="R39" s="61"/>
      <c r="S39" s="62" t="n">
        <v>0</v>
      </c>
      <c r="T39" s="61"/>
      <c r="U39" s="61" t="s">
        <v>540</v>
      </c>
      <c r="V39" s="61"/>
      <c r="W39" s="61"/>
      <c r="X39" s="61"/>
      <c r="Y39" s="63" t="n">
        <v>0.443</v>
      </c>
      <c r="Z39" s="61" t="n">
        <v>972</v>
      </c>
      <c r="AA39" s="61" t="n">
        <v>1237</v>
      </c>
      <c r="AB39" s="61" t="n">
        <v>15</v>
      </c>
      <c r="AC39" s="61" t="n">
        <v>23</v>
      </c>
      <c r="AD39" s="61" t="n">
        <v>3.41</v>
      </c>
      <c r="AE39" s="62" t="n">
        <v>19545</v>
      </c>
      <c r="AF39" s="62" t="n">
        <v>23992</v>
      </c>
      <c r="AG39" s="63" t="n">
        <v>0.39</v>
      </c>
      <c r="AH39" s="61"/>
      <c r="AI39" s="61" t="s">
        <v>569</v>
      </c>
      <c r="AJ39" s="61"/>
      <c r="AK39" s="61" t="s">
        <v>432</v>
      </c>
      <c r="AL39" s="61" t="s">
        <v>570</v>
      </c>
    </row>
    <row r="40" customFormat="false" ht="15" hidden="false" customHeight="true" outlineLevel="0" collapsed="false">
      <c r="A40" s="61" t="s">
        <v>571</v>
      </c>
      <c r="B40" s="61" t="s">
        <v>490</v>
      </c>
      <c r="C40" s="61" t="s">
        <v>572</v>
      </c>
      <c r="D40" s="61" t="s">
        <v>353</v>
      </c>
      <c r="E40" s="61" t="s">
        <v>491</v>
      </c>
      <c r="F40" s="61" t="s">
        <v>355</v>
      </c>
      <c r="G40" s="61" t="s">
        <v>399</v>
      </c>
      <c r="H40" s="61" t="s">
        <v>355</v>
      </c>
      <c r="I40" s="58"/>
      <c r="J40" s="58"/>
      <c r="K40" s="58"/>
      <c r="L40" s="58"/>
      <c r="M40" s="58"/>
      <c r="N40" s="58"/>
      <c r="O40" s="58"/>
      <c r="P40" s="61" t="s">
        <v>221</v>
      </c>
      <c r="Q40" s="58"/>
      <c r="R40" s="61"/>
      <c r="S40" s="62" t="n">
        <v>0</v>
      </c>
      <c r="T40" s="61"/>
      <c r="U40" s="61" t="s">
        <v>401</v>
      </c>
      <c r="V40" s="61"/>
      <c r="W40" s="61"/>
      <c r="X40" s="61"/>
      <c r="Y40" s="63" t="n">
        <v>0.383</v>
      </c>
      <c r="Z40" s="61"/>
      <c r="AA40" s="61"/>
      <c r="AB40" s="61"/>
      <c r="AC40" s="61"/>
      <c r="AD40" s="61"/>
      <c r="AE40" s="62" t="n">
        <v>17823</v>
      </c>
      <c r="AF40" s="62" t="n">
        <v>15640</v>
      </c>
      <c r="AG40" s="63" t="n">
        <v>0.08</v>
      </c>
      <c r="AH40" s="61"/>
      <c r="AI40" s="61" t="s">
        <v>573</v>
      </c>
      <c r="AJ40" s="61"/>
      <c r="AK40" s="61" t="s">
        <v>432</v>
      </c>
      <c r="AL40" s="61" t="s">
        <v>574</v>
      </c>
    </row>
    <row r="41" customFormat="false" ht="15" hidden="false" customHeight="true" outlineLevel="0" collapsed="false">
      <c r="A41" s="61" t="s">
        <v>575</v>
      </c>
      <c r="B41" s="61" t="s">
        <v>490</v>
      </c>
      <c r="C41" s="61" t="s">
        <v>576</v>
      </c>
      <c r="D41" s="61" t="s">
        <v>353</v>
      </c>
      <c r="E41" s="61" t="s">
        <v>491</v>
      </c>
      <c r="F41" s="61" t="s">
        <v>355</v>
      </c>
      <c r="G41" s="61" t="s">
        <v>399</v>
      </c>
      <c r="H41" s="61" t="s">
        <v>355</v>
      </c>
      <c r="I41" s="58"/>
      <c r="J41" s="58"/>
      <c r="K41" s="58"/>
      <c r="L41" s="58"/>
      <c r="M41" s="58"/>
      <c r="N41" s="58"/>
      <c r="O41" s="58"/>
      <c r="P41" s="61" t="s">
        <v>221</v>
      </c>
      <c r="Q41" s="58"/>
      <c r="R41" s="61"/>
      <c r="S41" s="62" t="n">
        <v>30</v>
      </c>
      <c r="T41" s="61"/>
      <c r="U41" s="61" t="s">
        <v>401</v>
      </c>
      <c r="V41" s="61"/>
      <c r="W41" s="61"/>
      <c r="X41" s="61"/>
      <c r="Y41" s="63" t="n">
        <v>0.638</v>
      </c>
      <c r="Z41" s="61" t="n">
        <v>1060</v>
      </c>
      <c r="AA41" s="61" t="n">
        <v>1250</v>
      </c>
      <c r="AB41" s="61" t="n">
        <v>21</v>
      </c>
      <c r="AC41" s="61" t="n">
        <v>25</v>
      </c>
      <c r="AD41" s="61" t="n">
        <v>3.5</v>
      </c>
      <c r="AE41" s="62" t="n">
        <v>21955</v>
      </c>
      <c r="AF41" s="62" t="n">
        <v>20825</v>
      </c>
      <c r="AG41" s="63" t="n">
        <v>0.48</v>
      </c>
      <c r="AH41" s="61"/>
      <c r="AI41" s="61" t="s">
        <v>577</v>
      </c>
      <c r="AJ41" s="61"/>
      <c r="AK41" s="61" t="s">
        <v>432</v>
      </c>
      <c r="AL41" s="61" t="s">
        <v>578</v>
      </c>
    </row>
    <row r="42" customFormat="false" ht="15" hidden="false" customHeight="true" outlineLevel="0" collapsed="false">
      <c r="A42" s="61" t="s">
        <v>579</v>
      </c>
      <c r="B42" s="61" t="s">
        <v>490</v>
      </c>
      <c r="C42" s="61" t="s">
        <v>580</v>
      </c>
      <c r="D42" s="61" t="s">
        <v>353</v>
      </c>
      <c r="E42" s="61" t="s">
        <v>491</v>
      </c>
      <c r="F42" s="61" t="s">
        <v>355</v>
      </c>
      <c r="G42" s="61" t="s">
        <v>399</v>
      </c>
      <c r="H42" s="61" t="s">
        <v>355</v>
      </c>
      <c r="I42" s="58"/>
      <c r="J42" s="58"/>
      <c r="K42" s="58"/>
      <c r="L42" s="58"/>
      <c r="M42" s="58"/>
      <c r="N42" s="58"/>
      <c r="O42" s="58"/>
      <c r="P42" s="61" t="s">
        <v>355</v>
      </c>
      <c r="Q42" s="58"/>
      <c r="R42" s="61"/>
      <c r="S42" s="62"/>
      <c r="T42" s="61"/>
      <c r="U42" s="61"/>
      <c r="V42" s="61"/>
      <c r="W42" s="61"/>
      <c r="X42" s="61"/>
      <c r="Y42" s="63"/>
      <c r="Z42" s="61"/>
      <c r="AA42" s="61"/>
      <c r="AB42" s="61"/>
      <c r="AC42" s="61"/>
      <c r="AD42" s="61"/>
      <c r="AE42" s="62"/>
      <c r="AF42" s="62" t="n">
        <v>21274</v>
      </c>
      <c r="AG42" s="63"/>
      <c r="AH42" s="61"/>
      <c r="AI42" s="61" t="s">
        <v>581</v>
      </c>
      <c r="AJ42" s="61"/>
      <c r="AK42" s="61" t="s">
        <v>432</v>
      </c>
      <c r="AL42" s="61" t="s">
        <v>582</v>
      </c>
    </row>
    <row r="43" customFormat="false" ht="15" hidden="false" customHeight="true" outlineLevel="0" collapsed="false">
      <c r="A43" s="61" t="s">
        <v>583</v>
      </c>
      <c r="B43" s="61" t="s">
        <v>584</v>
      </c>
      <c r="C43" s="61" t="s">
        <v>365</v>
      </c>
      <c r="D43" s="61" t="s">
        <v>353</v>
      </c>
      <c r="E43" s="61" t="s">
        <v>491</v>
      </c>
      <c r="F43" s="61" t="s">
        <v>221</v>
      </c>
      <c r="G43" s="61" t="s">
        <v>380</v>
      </c>
      <c r="H43" s="61" t="s">
        <v>221</v>
      </c>
      <c r="I43" s="58" t="n">
        <v>46327</v>
      </c>
      <c r="J43" s="58" t="n">
        <v>46371</v>
      </c>
      <c r="K43" s="58"/>
      <c r="L43" s="58"/>
      <c r="M43" s="58"/>
      <c r="N43" s="58" t="n">
        <v>46419</v>
      </c>
      <c r="O43" s="58"/>
      <c r="P43" s="61" t="s">
        <v>355</v>
      </c>
      <c r="Q43" s="58"/>
      <c r="R43" s="61"/>
      <c r="S43" s="62" t="n">
        <v>50</v>
      </c>
      <c r="T43" s="61"/>
      <c r="U43" s="61" t="s">
        <v>401</v>
      </c>
      <c r="V43" s="61" t="s">
        <v>556</v>
      </c>
      <c r="W43" s="61"/>
      <c r="X43" s="61"/>
      <c r="Y43" s="63" t="n">
        <v>0.44</v>
      </c>
      <c r="Z43" s="61"/>
      <c r="AA43" s="61"/>
      <c r="AB43" s="61"/>
      <c r="AC43" s="61"/>
      <c r="AD43" s="61" t="n">
        <v>3.48</v>
      </c>
      <c r="AE43" s="62" t="n">
        <v>36292</v>
      </c>
      <c r="AF43" s="62" t="n">
        <v>36359</v>
      </c>
      <c r="AG43" s="63" t="n">
        <v>0.55</v>
      </c>
      <c r="AH43" s="61"/>
      <c r="AI43" s="61" t="s">
        <v>585</v>
      </c>
      <c r="AJ43" s="61"/>
      <c r="AK43" s="61" t="s">
        <v>370</v>
      </c>
      <c r="AL43" s="61" t="s">
        <v>586</v>
      </c>
    </row>
    <row r="44" customFormat="false" ht="15" hidden="false" customHeight="true" outlineLevel="0" collapsed="false">
      <c r="A44" s="61" t="s">
        <v>587</v>
      </c>
      <c r="B44" s="61" t="s">
        <v>584</v>
      </c>
      <c r="C44" s="61" t="s">
        <v>365</v>
      </c>
      <c r="D44" s="61" t="s">
        <v>353</v>
      </c>
      <c r="E44" s="61" t="s">
        <v>491</v>
      </c>
      <c r="F44" s="61" t="s">
        <v>221</v>
      </c>
      <c r="G44" s="61" t="s">
        <v>292</v>
      </c>
      <c r="H44" s="61" t="s">
        <v>221</v>
      </c>
      <c r="I44" s="58" t="n">
        <v>46327</v>
      </c>
      <c r="J44" s="58"/>
      <c r="K44" s="58" t="n">
        <v>46327</v>
      </c>
      <c r="L44" s="58"/>
      <c r="M44" s="58"/>
      <c r="N44" s="58" t="n">
        <v>46419</v>
      </c>
      <c r="O44" s="58"/>
      <c r="P44" s="61" t="s">
        <v>355</v>
      </c>
      <c r="Q44" s="58"/>
      <c r="R44" s="61"/>
      <c r="S44" s="62" t="n">
        <v>40</v>
      </c>
      <c r="T44" s="61"/>
      <c r="U44" s="61" t="s">
        <v>401</v>
      </c>
      <c r="V44" s="61"/>
      <c r="W44" s="61"/>
      <c r="X44" s="61"/>
      <c r="Y44" s="63" t="n">
        <v>0.249</v>
      </c>
      <c r="Z44" s="61" t="n">
        <v>1108</v>
      </c>
      <c r="AA44" s="61" t="n">
        <v>1320</v>
      </c>
      <c r="AB44" s="61" t="n">
        <v>22</v>
      </c>
      <c r="AC44" s="61" t="n">
        <v>29</v>
      </c>
      <c r="AD44" s="61" t="n">
        <v>3.75</v>
      </c>
      <c r="AE44" s="62" t="n">
        <v>40354</v>
      </c>
      <c r="AF44" s="62" t="n">
        <v>32923</v>
      </c>
      <c r="AG44" s="63" t="n">
        <v>0.77</v>
      </c>
      <c r="AH44" s="61"/>
      <c r="AI44" s="61" t="s">
        <v>588</v>
      </c>
      <c r="AJ44" s="61"/>
      <c r="AK44" s="61" t="s">
        <v>589</v>
      </c>
      <c r="AL44" s="61" t="s">
        <v>590</v>
      </c>
    </row>
    <row r="45" customFormat="false" ht="15" hidden="false" customHeight="true" outlineLevel="0" collapsed="false">
      <c r="A45" s="61" t="s">
        <v>591</v>
      </c>
      <c r="B45" s="61" t="s">
        <v>584</v>
      </c>
      <c r="C45" s="61" t="s">
        <v>365</v>
      </c>
      <c r="D45" s="61" t="s">
        <v>353</v>
      </c>
      <c r="E45" s="61" t="s">
        <v>491</v>
      </c>
      <c r="F45" s="61" t="s">
        <v>221</v>
      </c>
      <c r="G45" s="61" t="s">
        <v>380</v>
      </c>
      <c r="H45" s="61" t="s">
        <v>221</v>
      </c>
      <c r="I45" s="58" t="n">
        <v>46327</v>
      </c>
      <c r="J45" s="58"/>
      <c r="K45" s="58"/>
      <c r="L45" s="58"/>
      <c r="M45" s="58"/>
      <c r="N45" s="58" t="n">
        <v>46478</v>
      </c>
      <c r="O45" s="58"/>
      <c r="P45" s="61" t="s">
        <v>355</v>
      </c>
      <c r="Q45" s="58"/>
      <c r="R45" s="61"/>
      <c r="S45" s="62" t="n">
        <v>35</v>
      </c>
      <c r="T45" s="61"/>
      <c r="U45" s="61" t="s">
        <v>401</v>
      </c>
      <c r="V45" s="61" t="s">
        <v>556</v>
      </c>
      <c r="W45" s="61"/>
      <c r="X45" s="61"/>
      <c r="Y45" s="63" t="n">
        <v>0.642</v>
      </c>
      <c r="Z45" s="61" t="n">
        <v>880</v>
      </c>
      <c r="AA45" s="61" t="n">
        <v>1120</v>
      </c>
      <c r="AB45" s="61" t="n">
        <v>16</v>
      </c>
      <c r="AC45" s="61" t="n">
        <v>20</v>
      </c>
      <c r="AD45" s="61" t="n">
        <v>3.28</v>
      </c>
      <c r="AE45" s="62" t="n">
        <v>31223</v>
      </c>
      <c r="AF45" s="62" t="n">
        <v>37356</v>
      </c>
      <c r="AG45" s="63" t="n">
        <v>0.41</v>
      </c>
      <c r="AH45" s="61"/>
      <c r="AI45" s="61" t="s">
        <v>592</v>
      </c>
      <c r="AJ45" s="61"/>
      <c r="AK45" s="61" t="s">
        <v>370</v>
      </c>
      <c r="AL45" s="61" t="s">
        <v>593</v>
      </c>
    </row>
    <row r="46" customFormat="false" ht="15" hidden="false" customHeight="true" outlineLevel="0" collapsed="false">
      <c r="A46" s="61" t="s">
        <v>594</v>
      </c>
      <c r="B46" s="61" t="s">
        <v>584</v>
      </c>
      <c r="C46" s="61" t="s">
        <v>365</v>
      </c>
      <c r="D46" s="61" t="s">
        <v>353</v>
      </c>
      <c r="E46" s="61" t="s">
        <v>491</v>
      </c>
      <c r="F46" s="61" t="s">
        <v>221</v>
      </c>
      <c r="G46" s="61" t="s">
        <v>292</v>
      </c>
      <c r="H46" s="61" t="s">
        <v>221</v>
      </c>
      <c r="I46" s="58"/>
      <c r="J46" s="58"/>
      <c r="K46" s="58"/>
      <c r="L46" s="58"/>
      <c r="M46" s="58"/>
      <c r="N46" s="58"/>
      <c r="O46" s="58"/>
      <c r="P46" s="61" t="s">
        <v>355</v>
      </c>
      <c r="Q46" s="58"/>
      <c r="R46" s="61"/>
      <c r="S46" s="62" t="n">
        <v>30</v>
      </c>
      <c r="T46" s="61"/>
      <c r="U46" s="61"/>
      <c r="V46" s="61" t="s">
        <v>595</v>
      </c>
      <c r="W46" s="61"/>
      <c r="X46" s="61"/>
      <c r="Y46" s="63"/>
      <c r="Z46" s="61"/>
      <c r="AA46" s="61"/>
      <c r="AB46" s="61"/>
      <c r="AC46" s="61"/>
      <c r="AD46" s="61"/>
      <c r="AE46" s="62"/>
      <c r="AF46" s="62"/>
      <c r="AG46" s="63"/>
      <c r="AH46" s="61"/>
      <c r="AI46" s="61" t="s">
        <v>596</v>
      </c>
      <c r="AJ46" s="61"/>
      <c r="AK46" s="61" t="s">
        <v>432</v>
      </c>
      <c r="AL46" s="61" t="s">
        <v>597</v>
      </c>
    </row>
    <row r="47" customFormat="false" ht="15" hidden="false" customHeight="true" outlineLevel="0" collapsed="false">
      <c r="A47" s="61" t="s">
        <v>598</v>
      </c>
      <c r="B47" s="61" t="s">
        <v>584</v>
      </c>
      <c r="C47" s="61" t="s">
        <v>392</v>
      </c>
      <c r="D47" s="61" t="s">
        <v>353</v>
      </c>
      <c r="E47" s="61" t="s">
        <v>491</v>
      </c>
      <c r="F47" s="61" t="s">
        <v>221</v>
      </c>
      <c r="G47" s="61" t="s">
        <v>399</v>
      </c>
      <c r="H47" s="61" t="s">
        <v>355</v>
      </c>
      <c r="I47" s="58"/>
      <c r="J47" s="58"/>
      <c r="K47" s="58"/>
      <c r="L47" s="58"/>
      <c r="M47" s="58"/>
      <c r="N47" s="58" t="n">
        <v>46569</v>
      </c>
      <c r="O47" s="58"/>
      <c r="P47" s="61" t="s">
        <v>355</v>
      </c>
      <c r="Q47" s="58"/>
      <c r="R47" s="61"/>
      <c r="S47" s="62" t="n">
        <v>25</v>
      </c>
      <c r="T47" s="61" t="s">
        <v>599</v>
      </c>
      <c r="U47" s="61" t="s">
        <v>401</v>
      </c>
      <c r="V47" s="61" t="s">
        <v>375</v>
      </c>
      <c r="W47" s="61" t="s">
        <v>359</v>
      </c>
      <c r="X47" s="61"/>
      <c r="Y47" s="63" t="n">
        <v>0.954</v>
      </c>
      <c r="Z47" s="61"/>
      <c r="AA47" s="61"/>
      <c r="AB47" s="61"/>
      <c r="AC47" s="61"/>
      <c r="AD47" s="61"/>
      <c r="AE47" s="62"/>
      <c r="AF47" s="62"/>
      <c r="AG47" s="63" t="n">
        <v>0.27</v>
      </c>
      <c r="AH47" s="61"/>
      <c r="AI47" s="61" t="s">
        <v>600</v>
      </c>
      <c r="AJ47" s="61"/>
      <c r="AK47" s="61" t="s">
        <v>370</v>
      </c>
      <c r="AL47" s="61" t="s">
        <v>601</v>
      </c>
    </row>
    <row r="48" customFormat="false" ht="15" hidden="false" customHeight="true" outlineLevel="0" collapsed="false">
      <c r="A48" s="61" t="s">
        <v>602</v>
      </c>
      <c r="B48" s="61" t="s">
        <v>584</v>
      </c>
      <c r="C48" s="61" t="s">
        <v>603</v>
      </c>
      <c r="D48" s="61" t="s">
        <v>353</v>
      </c>
      <c r="E48" s="61" t="s">
        <v>354</v>
      </c>
      <c r="F48" s="61" t="s">
        <v>221</v>
      </c>
      <c r="G48" s="61" t="s">
        <v>604</v>
      </c>
      <c r="H48" s="61" t="s">
        <v>355</v>
      </c>
      <c r="I48" s="58"/>
      <c r="J48" s="58"/>
      <c r="K48" s="58"/>
      <c r="L48" s="58"/>
      <c r="M48" s="58"/>
      <c r="N48" s="58" t="n">
        <v>46553</v>
      </c>
      <c r="O48" s="58" t="n">
        <v>46371</v>
      </c>
      <c r="P48" s="61" t="s">
        <v>355</v>
      </c>
      <c r="Q48" s="58"/>
      <c r="R48" s="61"/>
      <c r="S48" s="62" t="n">
        <v>20</v>
      </c>
      <c r="T48" s="61" t="s">
        <v>605</v>
      </c>
      <c r="U48" s="61" t="s">
        <v>401</v>
      </c>
      <c r="V48" s="61" t="s">
        <v>450</v>
      </c>
      <c r="W48" s="61" t="s">
        <v>359</v>
      </c>
      <c r="X48" s="61"/>
      <c r="Y48" s="63" t="n">
        <v>0.628</v>
      </c>
      <c r="Z48" s="61" t="n">
        <v>795</v>
      </c>
      <c r="AA48" s="61" t="n">
        <v>920</v>
      </c>
      <c r="AB48" s="61" t="n">
        <v>16</v>
      </c>
      <c r="AC48" s="61" t="n">
        <v>19</v>
      </c>
      <c r="AD48" s="61"/>
      <c r="AE48" s="62"/>
      <c r="AF48" s="62"/>
      <c r="AG48" s="63" t="n">
        <v>0.33</v>
      </c>
      <c r="AH48" s="61"/>
      <c r="AI48" s="61" t="s">
        <v>606</v>
      </c>
      <c r="AJ48" s="61"/>
      <c r="AK48" s="61" t="s">
        <v>370</v>
      </c>
      <c r="AL48" s="61" t="s">
        <v>607</v>
      </c>
    </row>
    <row r="49" customFormat="false" ht="15" hidden="false" customHeight="true" outlineLevel="0" collapsed="false">
      <c r="A49" s="61" t="s">
        <v>608</v>
      </c>
      <c r="B49" s="61" t="s">
        <v>584</v>
      </c>
      <c r="C49" s="61" t="s">
        <v>609</v>
      </c>
      <c r="D49" s="61" t="s">
        <v>353</v>
      </c>
      <c r="E49" s="61" t="s">
        <v>354</v>
      </c>
      <c r="F49" s="61" t="s">
        <v>221</v>
      </c>
      <c r="G49" s="61" t="s">
        <v>399</v>
      </c>
      <c r="H49" s="61" t="s">
        <v>355</v>
      </c>
      <c r="I49" s="58"/>
      <c r="J49" s="58"/>
      <c r="K49" s="58"/>
      <c r="L49" s="58"/>
      <c r="M49" s="58"/>
      <c r="N49" s="58"/>
      <c r="O49" s="58" t="n">
        <v>46539</v>
      </c>
      <c r="P49" s="61" t="s">
        <v>355</v>
      </c>
      <c r="Q49" s="58"/>
      <c r="R49" s="61"/>
      <c r="S49" s="62" t="n">
        <v>25</v>
      </c>
      <c r="T49" s="61" t="s">
        <v>610</v>
      </c>
      <c r="U49" s="61" t="s">
        <v>401</v>
      </c>
      <c r="V49" s="61" t="s">
        <v>450</v>
      </c>
      <c r="W49" s="61" t="s">
        <v>359</v>
      </c>
      <c r="X49" s="61"/>
      <c r="Y49" s="63"/>
      <c r="Z49" s="61" t="n">
        <v>740</v>
      </c>
      <c r="AA49" s="61" t="n">
        <v>900</v>
      </c>
      <c r="AB49" s="61" t="n">
        <v>15</v>
      </c>
      <c r="AC49" s="61" t="n">
        <v>18</v>
      </c>
      <c r="AD49" s="61"/>
      <c r="AE49" s="62"/>
      <c r="AF49" s="62"/>
      <c r="AG49" s="63" t="n">
        <v>0.41</v>
      </c>
      <c r="AH49" s="61"/>
      <c r="AI49" s="61" t="s">
        <v>611</v>
      </c>
      <c r="AJ49" s="61"/>
      <c r="AK49" s="61" t="s">
        <v>370</v>
      </c>
      <c r="AL49" s="61" t="s">
        <v>612</v>
      </c>
    </row>
    <row r="50" customFormat="false" ht="15" hidden="false" customHeight="true" outlineLevel="0" collapsed="false">
      <c r="A50" s="61" t="s">
        <v>613</v>
      </c>
      <c r="B50" s="61" t="s">
        <v>584</v>
      </c>
      <c r="C50" s="61" t="s">
        <v>526</v>
      </c>
      <c r="D50" s="61" t="s">
        <v>353</v>
      </c>
      <c r="E50" s="61" t="s">
        <v>354</v>
      </c>
      <c r="F50" s="61" t="s">
        <v>221</v>
      </c>
      <c r="G50" s="61" t="s">
        <v>614</v>
      </c>
      <c r="H50" s="61" t="s">
        <v>355</v>
      </c>
      <c r="I50" s="58"/>
      <c r="J50" s="58"/>
      <c r="K50" s="58" t="n">
        <v>46327</v>
      </c>
      <c r="L50" s="58"/>
      <c r="M50" s="58"/>
      <c r="N50" s="58" t="n">
        <v>46419</v>
      </c>
      <c r="O50" s="58" t="n">
        <v>46361</v>
      </c>
      <c r="P50" s="61" t="s">
        <v>355</v>
      </c>
      <c r="Q50" s="58"/>
      <c r="R50" s="61"/>
      <c r="S50" s="62" t="n">
        <v>20</v>
      </c>
      <c r="T50" s="61"/>
      <c r="U50" s="61" t="s">
        <v>401</v>
      </c>
      <c r="V50" s="61" t="s">
        <v>375</v>
      </c>
      <c r="W50" s="61" t="s">
        <v>359</v>
      </c>
      <c r="X50" s="61"/>
      <c r="Y50" s="63"/>
      <c r="Z50" s="61"/>
      <c r="AA50" s="61"/>
      <c r="AB50" s="61"/>
      <c r="AC50" s="61"/>
      <c r="AD50" s="61" t="n">
        <v>3.13</v>
      </c>
      <c r="AE50" s="62"/>
      <c r="AF50" s="62"/>
      <c r="AG50" s="63" t="n">
        <v>0.3</v>
      </c>
      <c r="AH50" s="61" t="n">
        <v>0</v>
      </c>
      <c r="AI50" s="61" t="s">
        <v>615</v>
      </c>
      <c r="AJ50" s="61"/>
      <c r="AK50" s="61" t="s">
        <v>362</v>
      </c>
      <c r="AL50" s="61" t="s">
        <v>616</v>
      </c>
    </row>
    <row r="51" customFormat="false" ht="15" hidden="false" customHeight="true" outlineLevel="0" collapsed="false">
      <c r="A51" s="61" t="s">
        <v>617</v>
      </c>
      <c r="B51" s="61" t="s">
        <v>330</v>
      </c>
      <c r="C51" s="61" t="s">
        <v>618</v>
      </c>
      <c r="D51" s="61" t="s">
        <v>619</v>
      </c>
      <c r="E51" s="61" t="s">
        <v>491</v>
      </c>
      <c r="F51" s="61" t="s">
        <v>221</v>
      </c>
      <c r="G51" s="61" t="s">
        <v>292</v>
      </c>
      <c r="H51" s="61" t="s">
        <v>221</v>
      </c>
      <c r="I51" s="58" t="n">
        <v>46327</v>
      </c>
      <c r="J51" s="58"/>
      <c r="K51" s="58" t="n">
        <v>46327</v>
      </c>
      <c r="L51" s="58"/>
      <c r="M51" s="58"/>
      <c r="N51" s="58" t="n">
        <v>46419</v>
      </c>
      <c r="O51" s="58"/>
      <c r="P51" s="61" t="s">
        <v>355</v>
      </c>
      <c r="Q51" s="58"/>
      <c r="R51" s="61" t="s">
        <v>620</v>
      </c>
      <c r="S51" s="62" t="n">
        <v>45</v>
      </c>
      <c r="T51" s="61" t="s">
        <v>621</v>
      </c>
      <c r="U51" s="61" t="s">
        <v>401</v>
      </c>
      <c r="V51" s="61" t="s">
        <v>622</v>
      </c>
      <c r="W51" s="61" t="s">
        <v>359</v>
      </c>
      <c r="X51" s="61"/>
      <c r="Y51" s="63" t="n">
        <v>0.413</v>
      </c>
      <c r="Z51" s="61" t="n">
        <v>1090</v>
      </c>
      <c r="AA51" s="61" t="n">
        <v>1320</v>
      </c>
      <c r="AB51" s="61" t="n">
        <v>22</v>
      </c>
      <c r="AC51" s="61" t="n">
        <v>28</v>
      </c>
      <c r="AD51" s="61" t="n">
        <v>3.66</v>
      </c>
      <c r="AE51" s="62"/>
      <c r="AF51" s="62"/>
      <c r="AG51" s="63" t="n">
        <v>0.63</v>
      </c>
      <c r="AH51" s="61" t="n">
        <v>0</v>
      </c>
      <c r="AI51" s="61" t="s">
        <v>623</v>
      </c>
      <c r="AJ51" s="61" t="s">
        <v>624</v>
      </c>
      <c r="AK51" s="61" t="s">
        <v>362</v>
      </c>
      <c r="AL51" s="61" t="s">
        <v>625</v>
      </c>
    </row>
    <row r="52" customFormat="false" ht="15" hidden="false" customHeight="true" outlineLevel="0" collapsed="false">
      <c r="A52" s="61" t="s">
        <v>626</v>
      </c>
      <c r="B52" s="61" t="s">
        <v>330</v>
      </c>
      <c r="C52" s="61" t="s">
        <v>627</v>
      </c>
      <c r="D52" s="61" t="s">
        <v>628</v>
      </c>
      <c r="E52" s="61" t="s">
        <v>491</v>
      </c>
      <c r="F52" s="61" t="s">
        <v>221</v>
      </c>
      <c r="G52" s="61" t="s">
        <v>292</v>
      </c>
      <c r="H52" s="61" t="s">
        <v>221</v>
      </c>
      <c r="I52" s="58"/>
      <c r="J52" s="58"/>
      <c r="K52" s="58" t="n">
        <v>46341</v>
      </c>
      <c r="L52" s="58"/>
      <c r="M52" s="58"/>
      <c r="N52" s="58" t="n">
        <v>46447</v>
      </c>
      <c r="O52" s="58"/>
      <c r="P52" s="61" t="s">
        <v>221</v>
      </c>
      <c r="Q52" s="58"/>
      <c r="R52" s="61" t="s">
        <v>629</v>
      </c>
      <c r="S52" s="62" t="n">
        <v>60</v>
      </c>
      <c r="T52" s="61" t="s">
        <v>630</v>
      </c>
      <c r="U52" s="61" t="s">
        <v>408</v>
      </c>
      <c r="V52" s="61" t="s">
        <v>631</v>
      </c>
      <c r="W52" s="61" t="s">
        <v>359</v>
      </c>
      <c r="X52" s="61"/>
      <c r="Y52" s="63" t="n">
        <v>0.64</v>
      </c>
      <c r="Z52" s="61"/>
      <c r="AA52" s="61"/>
      <c r="AB52" s="61"/>
      <c r="AC52" s="61"/>
      <c r="AD52" s="61"/>
      <c r="AE52" s="62"/>
      <c r="AF52" s="62"/>
      <c r="AG52" s="63" t="n">
        <v>0.55</v>
      </c>
      <c r="AH52" s="61" t="n">
        <v>1</v>
      </c>
      <c r="AI52" s="61" t="s">
        <v>632</v>
      </c>
      <c r="AJ52" s="61" t="s">
        <v>632</v>
      </c>
      <c r="AK52" s="61" t="s">
        <v>362</v>
      </c>
      <c r="AL52" s="61" t="s">
        <v>633</v>
      </c>
    </row>
    <row r="53" customFormat="false" ht="15" hidden="false" customHeight="true" outlineLevel="0" collapsed="false">
      <c r="A53" s="61" t="s">
        <v>634</v>
      </c>
      <c r="B53" s="61" t="s">
        <v>330</v>
      </c>
      <c r="C53" s="61" t="s">
        <v>635</v>
      </c>
      <c r="D53" s="61" t="s">
        <v>636</v>
      </c>
      <c r="E53" s="61" t="s">
        <v>354</v>
      </c>
      <c r="F53" s="61" t="s">
        <v>221</v>
      </c>
      <c r="G53" s="61" t="s">
        <v>399</v>
      </c>
      <c r="H53" s="61" t="s">
        <v>355</v>
      </c>
      <c r="I53" s="58"/>
      <c r="J53" s="58"/>
      <c r="K53" s="58" t="n">
        <v>46327</v>
      </c>
      <c r="L53" s="58"/>
      <c r="M53" s="58"/>
      <c r="N53" s="58" t="n">
        <v>46419</v>
      </c>
      <c r="O53" s="58"/>
      <c r="P53" s="61" t="s">
        <v>221</v>
      </c>
      <c r="Q53" s="58"/>
      <c r="R53" s="61"/>
      <c r="S53" s="62" t="n">
        <v>30</v>
      </c>
      <c r="T53" s="61" t="s">
        <v>637</v>
      </c>
      <c r="U53" s="61" t="s">
        <v>214</v>
      </c>
      <c r="V53" s="61" t="s">
        <v>375</v>
      </c>
      <c r="W53" s="61" t="s">
        <v>359</v>
      </c>
      <c r="X53" s="61"/>
      <c r="Y53" s="63"/>
      <c r="Z53" s="61" t="n">
        <v>1080</v>
      </c>
      <c r="AA53" s="61" t="n">
        <v>1230</v>
      </c>
      <c r="AB53" s="61" t="n">
        <v>22</v>
      </c>
      <c r="AC53" s="61" t="n">
        <v>27</v>
      </c>
      <c r="AD53" s="61"/>
      <c r="AE53" s="62"/>
      <c r="AF53" s="62"/>
      <c r="AG53" s="63" t="n">
        <v>0.4</v>
      </c>
      <c r="AH53" s="61"/>
      <c r="AI53" s="61" t="s">
        <v>638</v>
      </c>
      <c r="AJ53" s="61"/>
      <c r="AK53" s="61" t="s">
        <v>370</v>
      </c>
      <c r="AL53" s="61" t="s">
        <v>639</v>
      </c>
    </row>
    <row r="54" customFormat="false" ht="15" hidden="false" customHeight="true" outlineLevel="0" collapsed="false">
      <c r="A54" s="61" t="s">
        <v>640</v>
      </c>
      <c r="B54" s="61" t="s">
        <v>330</v>
      </c>
      <c r="C54" s="61" t="s">
        <v>641</v>
      </c>
      <c r="D54" s="61" t="s">
        <v>642</v>
      </c>
      <c r="E54" s="61" t="s">
        <v>354</v>
      </c>
      <c r="F54" s="61" t="s">
        <v>221</v>
      </c>
      <c r="G54" s="61" t="s">
        <v>399</v>
      </c>
      <c r="H54" s="61" t="s">
        <v>355</v>
      </c>
      <c r="I54" s="58"/>
      <c r="J54" s="58"/>
      <c r="K54" s="58" t="n">
        <v>46327</v>
      </c>
      <c r="L54" s="58"/>
      <c r="M54" s="58"/>
      <c r="N54" s="58" t="n">
        <v>46419</v>
      </c>
      <c r="O54" s="58"/>
      <c r="P54" s="61" t="s">
        <v>221</v>
      </c>
      <c r="Q54" s="58"/>
      <c r="R54" s="61"/>
      <c r="S54" s="62"/>
      <c r="T54" s="61"/>
      <c r="U54" s="61"/>
      <c r="V54" s="61"/>
      <c r="W54" s="61" t="s">
        <v>359</v>
      </c>
      <c r="X54" s="61"/>
      <c r="Y54" s="63" t="n">
        <v>0.51</v>
      </c>
      <c r="Z54" s="61" t="n">
        <v>1020</v>
      </c>
      <c r="AA54" s="61" t="n">
        <v>1190</v>
      </c>
      <c r="AB54" s="61" t="n">
        <v>17</v>
      </c>
      <c r="AC54" s="61" t="n">
        <v>23</v>
      </c>
      <c r="AD54" s="61"/>
      <c r="AE54" s="62"/>
      <c r="AF54" s="62"/>
      <c r="AG54" s="63"/>
      <c r="AH54" s="61"/>
      <c r="AI54" s="61" t="s">
        <v>643</v>
      </c>
      <c r="AJ54" s="61"/>
      <c r="AK54" s="61" t="s">
        <v>370</v>
      </c>
      <c r="AL54" s="61" t="s">
        <v>644</v>
      </c>
    </row>
    <row r="55" customFormat="false" ht="15" hidden="false" customHeight="true" outlineLevel="0" collapsed="false">
      <c r="A55" s="61" t="s">
        <v>645</v>
      </c>
      <c r="B55" s="61" t="s">
        <v>330</v>
      </c>
      <c r="C55" s="61" t="s">
        <v>646</v>
      </c>
      <c r="D55" s="61" t="s">
        <v>647</v>
      </c>
      <c r="E55" s="61" t="s">
        <v>491</v>
      </c>
      <c r="F55" s="61" t="s">
        <v>221</v>
      </c>
      <c r="G55" s="61" t="s">
        <v>399</v>
      </c>
      <c r="H55" s="61" t="s">
        <v>355</v>
      </c>
      <c r="I55" s="58"/>
      <c r="J55" s="58"/>
      <c r="K55" s="58"/>
      <c r="L55" s="58"/>
      <c r="M55" s="58"/>
      <c r="N55" s="58" t="n">
        <v>46569</v>
      </c>
      <c r="O55" s="58" t="n">
        <v>46357</v>
      </c>
      <c r="P55" s="61" t="s">
        <v>355</v>
      </c>
      <c r="Q55" s="58" t="n">
        <v>46402</v>
      </c>
      <c r="R55" s="61" t="s">
        <v>648</v>
      </c>
      <c r="S55" s="62" t="n">
        <v>25</v>
      </c>
      <c r="T55" s="61"/>
      <c r="U55" s="61" t="s">
        <v>214</v>
      </c>
      <c r="V55" s="61" t="s">
        <v>649</v>
      </c>
      <c r="W55" s="61" t="s">
        <v>359</v>
      </c>
      <c r="X55" s="61"/>
      <c r="Y55" s="63" t="n">
        <v>0.49</v>
      </c>
      <c r="Z55" s="61"/>
      <c r="AA55" s="61"/>
      <c r="AB55" s="61" t="n">
        <v>18</v>
      </c>
      <c r="AC55" s="61" t="n">
        <v>25</v>
      </c>
      <c r="AD55" s="61"/>
      <c r="AE55" s="62"/>
      <c r="AF55" s="62"/>
      <c r="AG55" s="63" t="n">
        <v>0.43</v>
      </c>
      <c r="AH55" s="61"/>
      <c r="AI55" s="61" t="s">
        <v>650</v>
      </c>
      <c r="AJ55" s="61" t="s">
        <v>650</v>
      </c>
      <c r="AK55" s="61" t="s">
        <v>370</v>
      </c>
      <c r="AL55" s="61" t="s">
        <v>651</v>
      </c>
    </row>
    <row r="56" customFormat="false" ht="15" hidden="false" customHeight="true" outlineLevel="0" collapsed="false">
      <c r="A56" s="61" t="s">
        <v>652</v>
      </c>
      <c r="B56" s="61" t="s">
        <v>330</v>
      </c>
      <c r="C56" s="61" t="s">
        <v>653</v>
      </c>
      <c r="D56" s="61" t="s">
        <v>654</v>
      </c>
      <c r="E56" s="61" t="s">
        <v>491</v>
      </c>
      <c r="F56" s="61" t="s">
        <v>221</v>
      </c>
      <c r="G56" s="61" t="s">
        <v>380</v>
      </c>
      <c r="H56" s="61" t="s">
        <v>221</v>
      </c>
      <c r="I56" s="58"/>
      <c r="J56" s="58"/>
      <c r="K56" s="58"/>
      <c r="L56" s="58"/>
      <c r="M56" s="58"/>
      <c r="N56" s="58"/>
      <c r="O56" s="58" t="n">
        <v>46447</v>
      </c>
      <c r="P56" s="61" t="s">
        <v>355</v>
      </c>
      <c r="Q56" s="58" t="n">
        <v>46357</v>
      </c>
      <c r="R56" s="61" t="s">
        <v>655</v>
      </c>
      <c r="S56" s="62" t="n">
        <v>0</v>
      </c>
      <c r="T56" s="61" t="s">
        <v>656</v>
      </c>
      <c r="U56" s="61" t="s">
        <v>401</v>
      </c>
      <c r="V56" s="61" t="s">
        <v>657</v>
      </c>
      <c r="W56" s="61" t="s">
        <v>359</v>
      </c>
      <c r="X56" s="61"/>
      <c r="Y56" s="63" t="n">
        <v>0.67</v>
      </c>
      <c r="Z56" s="61" t="n">
        <v>1010</v>
      </c>
      <c r="AA56" s="61" t="n">
        <v>1140</v>
      </c>
      <c r="AB56" s="61" t="n">
        <v>18</v>
      </c>
      <c r="AC56" s="61" t="n">
        <v>24</v>
      </c>
      <c r="AD56" s="61" t="n">
        <v>3.67</v>
      </c>
      <c r="AE56" s="62"/>
      <c r="AF56" s="62"/>
      <c r="AG56" s="63"/>
      <c r="AH56" s="61" t="n">
        <v>0</v>
      </c>
      <c r="AI56" s="61" t="s">
        <v>658</v>
      </c>
      <c r="AJ56" s="61" t="s">
        <v>658</v>
      </c>
      <c r="AK56" s="61" t="s">
        <v>370</v>
      </c>
      <c r="AL56" s="61" t="s">
        <v>659</v>
      </c>
    </row>
    <row r="57" customFormat="false" ht="15" hidden="false" customHeight="true" outlineLevel="0" collapsed="false">
      <c r="A57" s="61" t="s">
        <v>660</v>
      </c>
      <c r="B57" s="61" t="s">
        <v>330</v>
      </c>
      <c r="C57" s="61" t="s">
        <v>661</v>
      </c>
      <c r="D57" s="61" t="s">
        <v>647</v>
      </c>
      <c r="E57" s="61" t="s">
        <v>354</v>
      </c>
      <c r="F57" s="61" t="s">
        <v>221</v>
      </c>
      <c r="G57" s="61" t="s">
        <v>399</v>
      </c>
      <c r="H57" s="61" t="s">
        <v>355</v>
      </c>
      <c r="I57" s="58"/>
      <c r="J57" s="58"/>
      <c r="K57" s="58"/>
      <c r="L57" s="58"/>
      <c r="M57" s="58"/>
      <c r="N57" s="58"/>
      <c r="O57" s="58"/>
      <c r="P57" s="61" t="s">
        <v>355</v>
      </c>
      <c r="Q57" s="58"/>
      <c r="R57" s="61"/>
      <c r="S57" s="62" t="n">
        <v>30</v>
      </c>
      <c r="T57" s="61"/>
      <c r="U57" s="61" t="s">
        <v>214</v>
      </c>
      <c r="V57" s="61" t="s">
        <v>450</v>
      </c>
      <c r="W57" s="61" t="s">
        <v>359</v>
      </c>
      <c r="X57" s="61"/>
      <c r="Y57" s="63" t="n">
        <v>0.58</v>
      </c>
      <c r="Z57" s="61" t="n">
        <v>810</v>
      </c>
      <c r="AA57" s="61" t="n">
        <v>1040</v>
      </c>
      <c r="AB57" s="61" t="n">
        <v>14</v>
      </c>
      <c r="AC57" s="61" t="n">
        <v>19</v>
      </c>
      <c r="AD57" s="61"/>
      <c r="AE57" s="62"/>
      <c r="AF57" s="62"/>
      <c r="AG57" s="63"/>
      <c r="AH57" s="61"/>
      <c r="AI57" s="61" t="s">
        <v>662</v>
      </c>
      <c r="AJ57" s="61"/>
      <c r="AK57" s="61" t="s">
        <v>370</v>
      </c>
      <c r="AL57" s="61" t="s">
        <v>663</v>
      </c>
    </row>
    <row r="58" customFormat="false" ht="15" hidden="false" customHeight="true" outlineLevel="0" collapsed="false">
      <c r="A58" s="61" t="s">
        <v>664</v>
      </c>
      <c r="B58" s="61" t="s">
        <v>330</v>
      </c>
      <c r="C58" s="61" t="s">
        <v>665</v>
      </c>
      <c r="D58" s="61" t="s">
        <v>647</v>
      </c>
      <c r="E58" s="61" t="s">
        <v>354</v>
      </c>
      <c r="F58" s="61" t="s">
        <v>221</v>
      </c>
      <c r="G58" s="61" t="s">
        <v>380</v>
      </c>
      <c r="H58" s="61" t="s">
        <v>221</v>
      </c>
      <c r="I58" s="58"/>
      <c r="J58" s="58"/>
      <c r="K58" s="58"/>
      <c r="L58" s="58"/>
      <c r="M58" s="58"/>
      <c r="N58" s="58" t="n">
        <v>46598</v>
      </c>
      <c r="O58" s="58"/>
      <c r="P58" s="61" t="s">
        <v>355</v>
      </c>
      <c r="Q58" s="58"/>
      <c r="R58" s="61"/>
      <c r="S58" s="62" t="n">
        <v>30</v>
      </c>
      <c r="T58" s="61"/>
      <c r="U58" s="61" t="s">
        <v>401</v>
      </c>
      <c r="V58" s="61" t="s">
        <v>450</v>
      </c>
      <c r="W58" s="61" t="s">
        <v>359</v>
      </c>
      <c r="X58" s="61"/>
      <c r="Y58" s="63" t="n">
        <v>0.98</v>
      </c>
      <c r="Z58" s="61" t="n">
        <v>749</v>
      </c>
      <c r="AA58" s="61" t="n">
        <v>967</v>
      </c>
      <c r="AB58" s="61" t="n">
        <v>15</v>
      </c>
      <c r="AC58" s="61" t="n">
        <v>20</v>
      </c>
      <c r="AD58" s="61"/>
      <c r="AE58" s="62"/>
      <c r="AF58" s="62"/>
      <c r="AG58" s="63"/>
      <c r="AH58" s="61"/>
      <c r="AI58" s="61" t="s">
        <v>666</v>
      </c>
      <c r="AJ58" s="61"/>
      <c r="AK58" s="61" t="s">
        <v>370</v>
      </c>
      <c r="AL58" s="61" t="s">
        <v>667</v>
      </c>
    </row>
    <row r="59" customFormat="false" ht="15" hidden="false" customHeight="true" outlineLevel="0" collapsed="false">
      <c r="A59" s="61" t="s">
        <v>668</v>
      </c>
      <c r="B59" s="61" t="s">
        <v>330</v>
      </c>
      <c r="C59" s="61" t="s">
        <v>669</v>
      </c>
      <c r="D59" s="61" t="s">
        <v>670</v>
      </c>
      <c r="E59" s="61" t="s">
        <v>354</v>
      </c>
      <c r="F59" s="61" t="s">
        <v>221</v>
      </c>
      <c r="G59" s="61" t="s">
        <v>399</v>
      </c>
      <c r="H59" s="61" t="s">
        <v>355</v>
      </c>
      <c r="I59" s="58"/>
      <c r="J59" s="58"/>
      <c r="K59" s="58"/>
      <c r="L59" s="58"/>
      <c r="M59" s="58"/>
      <c r="N59" s="58"/>
      <c r="O59" s="58" t="n">
        <v>46611</v>
      </c>
      <c r="P59" s="61" t="s">
        <v>355</v>
      </c>
      <c r="Q59" s="58"/>
      <c r="R59" s="61"/>
      <c r="S59" s="62"/>
      <c r="T59" s="61"/>
      <c r="U59" s="61" t="s">
        <v>401</v>
      </c>
      <c r="V59" s="61"/>
      <c r="W59" s="61" t="s">
        <v>359</v>
      </c>
      <c r="X59" s="61"/>
      <c r="Y59" s="63" t="n">
        <v>0.96</v>
      </c>
      <c r="Z59" s="61" t="n">
        <v>800</v>
      </c>
      <c r="AA59" s="61" t="n">
        <v>1030</v>
      </c>
      <c r="AB59" s="61" t="n">
        <v>15</v>
      </c>
      <c r="AC59" s="61" t="n">
        <v>20</v>
      </c>
      <c r="AD59" s="61"/>
      <c r="AE59" s="62"/>
      <c r="AF59" s="62"/>
      <c r="AG59" s="63"/>
      <c r="AH59" s="61"/>
      <c r="AI59" s="61" t="s">
        <v>671</v>
      </c>
      <c r="AJ59" s="61"/>
      <c r="AK59" s="61" t="s">
        <v>370</v>
      </c>
      <c r="AL59" s="61" t="s">
        <v>672</v>
      </c>
    </row>
    <row r="60" customFormat="false" ht="15" hidden="false" customHeight="true" outlineLevel="0" collapsed="false">
      <c r="A60" s="61" t="s">
        <v>673</v>
      </c>
      <c r="B60" s="61" t="s">
        <v>330</v>
      </c>
      <c r="C60" s="61" t="s">
        <v>674</v>
      </c>
      <c r="D60" s="61" t="s">
        <v>654</v>
      </c>
      <c r="E60" s="61" t="s">
        <v>354</v>
      </c>
      <c r="F60" s="61" t="s">
        <v>221</v>
      </c>
      <c r="G60" s="61" t="s">
        <v>399</v>
      </c>
      <c r="H60" s="61" t="s">
        <v>355</v>
      </c>
      <c r="I60" s="58"/>
      <c r="J60" s="58"/>
      <c r="K60" s="58"/>
      <c r="L60" s="58"/>
      <c r="M60" s="58"/>
      <c r="N60" s="58"/>
      <c r="O60" s="58"/>
      <c r="P60" s="61" t="s">
        <v>221</v>
      </c>
      <c r="Q60" s="58"/>
      <c r="R60" s="61"/>
      <c r="S60" s="62" t="n">
        <v>25</v>
      </c>
      <c r="T60" s="61"/>
      <c r="U60" s="61" t="s">
        <v>214</v>
      </c>
      <c r="V60" s="61" t="s">
        <v>375</v>
      </c>
      <c r="W60" s="61" t="s">
        <v>359</v>
      </c>
      <c r="X60" s="61"/>
      <c r="Y60" s="63"/>
      <c r="Z60" s="61"/>
      <c r="AA60" s="61"/>
      <c r="AB60" s="61"/>
      <c r="AC60" s="61"/>
      <c r="AD60" s="61"/>
      <c r="AE60" s="62"/>
      <c r="AF60" s="62"/>
      <c r="AG60" s="63"/>
      <c r="AH60" s="61"/>
      <c r="AI60" s="61" t="s">
        <v>675</v>
      </c>
      <c r="AJ60" s="61"/>
      <c r="AK60" s="61" t="s">
        <v>370</v>
      </c>
      <c r="AL60" s="61" t="s">
        <v>676</v>
      </c>
    </row>
    <row r="61" customFormat="false" ht="15" hidden="false" customHeight="true" outlineLevel="0" collapsed="false">
      <c r="A61" s="61" t="s">
        <v>677</v>
      </c>
      <c r="B61" s="61" t="s">
        <v>330</v>
      </c>
      <c r="C61" s="61" t="s">
        <v>678</v>
      </c>
      <c r="D61" s="61" t="s">
        <v>654</v>
      </c>
      <c r="E61" s="61" t="s">
        <v>354</v>
      </c>
      <c r="F61" s="61" t="s">
        <v>221</v>
      </c>
      <c r="G61" s="61" t="s">
        <v>399</v>
      </c>
      <c r="H61" s="61" t="s">
        <v>355</v>
      </c>
      <c r="I61" s="58"/>
      <c r="J61" s="58"/>
      <c r="K61" s="58"/>
      <c r="L61" s="58"/>
      <c r="M61" s="58"/>
      <c r="N61" s="58"/>
      <c r="O61" s="58"/>
      <c r="P61" s="61" t="s">
        <v>355</v>
      </c>
      <c r="Q61" s="58"/>
      <c r="R61" s="61"/>
      <c r="S61" s="62" t="n">
        <v>20</v>
      </c>
      <c r="T61" s="61" t="s">
        <v>679</v>
      </c>
      <c r="U61" s="61" t="s">
        <v>214</v>
      </c>
      <c r="V61" s="61" t="s">
        <v>375</v>
      </c>
      <c r="W61" s="61" t="s">
        <v>359</v>
      </c>
      <c r="X61" s="61"/>
      <c r="Y61" s="63" t="n">
        <v>0.45</v>
      </c>
      <c r="Z61" s="61" t="n">
        <v>920</v>
      </c>
      <c r="AA61" s="61" t="n">
        <v>1140</v>
      </c>
      <c r="AB61" s="61" t="n">
        <v>15</v>
      </c>
      <c r="AC61" s="61" t="n">
        <v>19</v>
      </c>
      <c r="AD61" s="61"/>
      <c r="AE61" s="62"/>
      <c r="AF61" s="62"/>
      <c r="AG61" s="63"/>
      <c r="AH61" s="61"/>
      <c r="AI61" s="61" t="s">
        <v>680</v>
      </c>
      <c r="AJ61" s="61"/>
      <c r="AK61" s="61" t="s">
        <v>370</v>
      </c>
      <c r="AL61" s="61" t="s">
        <v>681</v>
      </c>
    </row>
    <row r="62" customFormat="false" ht="15" hidden="false" customHeight="true" outlineLevel="0" collapsed="false">
      <c r="A62" s="61" t="s">
        <v>682</v>
      </c>
      <c r="B62" s="61" t="s">
        <v>330</v>
      </c>
      <c r="C62" s="61" t="s">
        <v>683</v>
      </c>
      <c r="D62" s="61" t="s">
        <v>684</v>
      </c>
      <c r="E62" s="61" t="s">
        <v>354</v>
      </c>
      <c r="F62" s="61" t="s">
        <v>221</v>
      </c>
      <c r="G62" s="61" t="s">
        <v>685</v>
      </c>
      <c r="H62" s="61" t="s">
        <v>355</v>
      </c>
      <c r="I62" s="58"/>
      <c r="J62" s="58"/>
      <c r="K62" s="58"/>
      <c r="L62" s="58"/>
      <c r="M62" s="58"/>
      <c r="N62" s="58"/>
      <c r="O62" s="58"/>
      <c r="P62" s="61" t="s">
        <v>221</v>
      </c>
      <c r="Q62" s="58"/>
      <c r="R62" s="61"/>
      <c r="S62" s="62" t="n">
        <v>25</v>
      </c>
      <c r="T62" s="61"/>
      <c r="U62" s="61" t="s">
        <v>214</v>
      </c>
      <c r="V62" s="61" t="s">
        <v>450</v>
      </c>
      <c r="W62" s="61" t="s">
        <v>359</v>
      </c>
      <c r="X62" s="61"/>
      <c r="Y62" s="63" t="n">
        <v>0.701</v>
      </c>
      <c r="Z62" s="61"/>
      <c r="AA62" s="61"/>
      <c r="AB62" s="61"/>
      <c r="AC62" s="61"/>
      <c r="AD62" s="61" t="n">
        <v>3.22</v>
      </c>
      <c r="AE62" s="62" t="n">
        <v>14586</v>
      </c>
      <c r="AF62" s="62" t="n">
        <v>15005</v>
      </c>
      <c r="AG62" s="63" t="n">
        <v>0.36</v>
      </c>
      <c r="AH62" s="61"/>
      <c r="AI62" s="61" t="s">
        <v>686</v>
      </c>
      <c r="AJ62" s="61"/>
      <c r="AK62" s="61" t="s">
        <v>370</v>
      </c>
      <c r="AL62" s="61" t="s">
        <v>687</v>
      </c>
    </row>
    <row r="63" customFormat="false" ht="15" hidden="false" customHeight="true" outlineLevel="0" collapsed="false">
      <c r="A63" s="61" t="s">
        <v>688</v>
      </c>
      <c r="B63" s="61" t="s">
        <v>330</v>
      </c>
      <c r="C63" s="61" t="s">
        <v>683</v>
      </c>
      <c r="D63" s="61" t="s">
        <v>684</v>
      </c>
      <c r="E63" s="61" t="s">
        <v>491</v>
      </c>
      <c r="F63" s="61" t="s">
        <v>221</v>
      </c>
      <c r="G63" s="61" t="s">
        <v>380</v>
      </c>
      <c r="H63" s="61" t="s">
        <v>221</v>
      </c>
      <c r="I63" s="58"/>
      <c r="J63" s="58"/>
      <c r="K63" s="58" t="n">
        <v>46327</v>
      </c>
      <c r="L63" s="58" t="n">
        <v>46419</v>
      </c>
      <c r="M63" s="58"/>
      <c r="N63" s="58" t="n">
        <v>46583</v>
      </c>
      <c r="O63" s="58" t="n">
        <v>46327</v>
      </c>
      <c r="P63" s="61" t="s">
        <v>355</v>
      </c>
      <c r="Q63" s="58" t="n">
        <v>46327</v>
      </c>
      <c r="R63" s="61" t="s">
        <v>689</v>
      </c>
      <c r="S63" s="62"/>
      <c r="T63" s="61"/>
      <c r="U63" s="61" t="s">
        <v>401</v>
      </c>
      <c r="V63" s="61" t="s">
        <v>690</v>
      </c>
      <c r="W63" s="61" t="s">
        <v>359</v>
      </c>
      <c r="X63" s="61"/>
      <c r="Y63" s="63" t="n">
        <v>0.374</v>
      </c>
      <c r="Z63" s="61" t="n">
        <v>1140</v>
      </c>
      <c r="AA63" s="61" t="n">
        <v>1510</v>
      </c>
      <c r="AB63" s="61" t="n">
        <v>19</v>
      </c>
      <c r="AC63" s="61" t="n">
        <v>24</v>
      </c>
      <c r="AD63" s="61" t="n">
        <v>3.1</v>
      </c>
      <c r="AE63" s="62" t="n">
        <v>18595</v>
      </c>
      <c r="AF63" s="62" t="n">
        <v>27647</v>
      </c>
      <c r="AG63" s="63" t="n">
        <v>0.45</v>
      </c>
      <c r="AH63" s="61"/>
      <c r="AI63" s="61" t="s">
        <v>691</v>
      </c>
      <c r="AJ63" s="61"/>
      <c r="AK63" s="61" t="s">
        <v>370</v>
      </c>
      <c r="AL63" s="61" t="s">
        <v>692</v>
      </c>
    </row>
    <row r="64" customFormat="false" ht="15" hidden="false" customHeight="true" outlineLevel="0" collapsed="false">
      <c r="A64" s="61" t="s">
        <v>693</v>
      </c>
      <c r="B64" s="61" t="s">
        <v>330</v>
      </c>
      <c r="C64" s="61" t="s">
        <v>694</v>
      </c>
      <c r="D64" s="61" t="s">
        <v>695</v>
      </c>
      <c r="E64" s="61" t="s">
        <v>354</v>
      </c>
      <c r="F64" s="61" t="s">
        <v>221</v>
      </c>
      <c r="G64" s="61" t="s">
        <v>696</v>
      </c>
      <c r="H64" s="61" t="s">
        <v>355</v>
      </c>
      <c r="I64" s="58"/>
      <c r="J64" s="58"/>
      <c r="K64" s="58"/>
      <c r="L64" s="58"/>
      <c r="M64" s="58"/>
      <c r="N64" s="58"/>
      <c r="O64" s="58"/>
      <c r="P64" s="61" t="s">
        <v>221</v>
      </c>
      <c r="Q64" s="58"/>
      <c r="R64" s="61"/>
      <c r="S64" s="62" t="n">
        <v>40</v>
      </c>
      <c r="T64" s="61" t="s">
        <v>697</v>
      </c>
      <c r="U64" s="61" t="s">
        <v>401</v>
      </c>
      <c r="V64" s="61" t="s">
        <v>450</v>
      </c>
      <c r="W64" s="61" t="s">
        <v>359</v>
      </c>
      <c r="X64" s="61"/>
      <c r="Y64" s="63" t="n">
        <v>0.793</v>
      </c>
      <c r="Z64" s="61" t="n">
        <v>860</v>
      </c>
      <c r="AA64" s="61" t="n">
        <v>1080</v>
      </c>
      <c r="AB64" s="61" t="n">
        <v>16</v>
      </c>
      <c r="AC64" s="61" t="n">
        <v>21</v>
      </c>
      <c r="AD64" s="61" t="n">
        <v>3.3</v>
      </c>
      <c r="AE64" s="62" t="n">
        <v>14448</v>
      </c>
      <c r="AF64" s="62" t="n">
        <v>12120</v>
      </c>
      <c r="AG64" s="63" t="n">
        <v>0.34</v>
      </c>
      <c r="AH64" s="61"/>
      <c r="AI64" s="61" t="s">
        <v>698</v>
      </c>
      <c r="AJ64" s="61"/>
      <c r="AK64" s="61" t="s">
        <v>370</v>
      </c>
      <c r="AL64" s="61" t="s">
        <v>699</v>
      </c>
    </row>
    <row r="65" customFormat="false" ht="15" hidden="false" customHeight="true" outlineLevel="0" collapsed="false">
      <c r="A65" s="61" t="s">
        <v>700</v>
      </c>
      <c r="B65" s="61" t="s">
        <v>330</v>
      </c>
      <c r="C65" s="61" t="s">
        <v>701</v>
      </c>
      <c r="D65" s="61" t="s">
        <v>695</v>
      </c>
      <c r="E65" s="61" t="s">
        <v>354</v>
      </c>
      <c r="F65" s="61" t="s">
        <v>221</v>
      </c>
      <c r="G65" s="61" t="s">
        <v>702</v>
      </c>
      <c r="H65" s="61" t="s">
        <v>355</v>
      </c>
      <c r="I65" s="58"/>
      <c r="J65" s="58"/>
      <c r="K65" s="58"/>
      <c r="L65" s="58"/>
      <c r="M65" s="58"/>
      <c r="N65" s="58" t="n">
        <v>46583</v>
      </c>
      <c r="O65" s="58"/>
      <c r="P65" s="61" t="s">
        <v>355</v>
      </c>
      <c r="Q65" s="58"/>
      <c r="R65" s="61"/>
      <c r="S65" s="62" t="n">
        <v>42</v>
      </c>
      <c r="T65" s="61" t="s">
        <v>703</v>
      </c>
      <c r="U65" s="61" t="s">
        <v>214</v>
      </c>
      <c r="V65" s="61" t="s">
        <v>450</v>
      </c>
      <c r="W65" s="61" t="s">
        <v>359</v>
      </c>
      <c r="X65" s="61"/>
      <c r="Y65" s="63" t="n">
        <v>0.969</v>
      </c>
      <c r="Z65" s="61" t="n">
        <v>800</v>
      </c>
      <c r="AA65" s="61" t="n">
        <v>1000</v>
      </c>
      <c r="AB65" s="61" t="n">
        <v>15</v>
      </c>
      <c r="AC65" s="61" t="n">
        <v>19</v>
      </c>
      <c r="AD65" s="61" t="n">
        <v>3</v>
      </c>
      <c r="AE65" s="62" t="n">
        <v>13584</v>
      </c>
      <c r="AF65" s="62" t="n">
        <v>16437</v>
      </c>
      <c r="AG65" s="63" t="n">
        <v>0.12</v>
      </c>
      <c r="AH65" s="61"/>
      <c r="AI65" s="61" t="s">
        <v>704</v>
      </c>
      <c r="AJ65" s="61"/>
      <c r="AK65" s="61" t="s">
        <v>370</v>
      </c>
      <c r="AL65" s="61" t="s">
        <v>705</v>
      </c>
    </row>
    <row r="66" customFormat="false" ht="15" hidden="false" customHeight="true" outlineLevel="0" collapsed="false">
      <c r="A66" s="61" t="s">
        <v>706</v>
      </c>
      <c r="B66" s="61" t="s">
        <v>330</v>
      </c>
      <c r="C66" s="61" t="s">
        <v>707</v>
      </c>
      <c r="D66" s="61" t="s">
        <v>628</v>
      </c>
      <c r="E66" s="61" t="s">
        <v>354</v>
      </c>
      <c r="F66" s="61" t="s">
        <v>221</v>
      </c>
      <c r="G66" s="61" t="s">
        <v>399</v>
      </c>
      <c r="H66" s="61" t="s">
        <v>355</v>
      </c>
      <c r="I66" s="58"/>
      <c r="J66" s="58"/>
      <c r="K66" s="58"/>
      <c r="L66" s="58"/>
      <c r="M66" s="58"/>
      <c r="N66" s="58"/>
      <c r="O66" s="58"/>
      <c r="P66" s="61" t="s">
        <v>355</v>
      </c>
      <c r="Q66" s="58"/>
      <c r="R66" s="61"/>
      <c r="S66" s="62" t="n">
        <v>25</v>
      </c>
      <c r="T66" s="61"/>
      <c r="U66" s="61" t="s">
        <v>401</v>
      </c>
      <c r="V66" s="61" t="s">
        <v>690</v>
      </c>
      <c r="W66" s="61" t="s">
        <v>359</v>
      </c>
      <c r="X66" s="61"/>
      <c r="Y66" s="63" t="n">
        <v>0.878</v>
      </c>
      <c r="Z66" s="61" t="n">
        <v>823</v>
      </c>
      <c r="AA66" s="61" t="n">
        <v>1030</v>
      </c>
      <c r="AB66" s="61" t="n">
        <v>16</v>
      </c>
      <c r="AC66" s="61" t="n">
        <v>22</v>
      </c>
      <c r="AD66" s="61" t="n">
        <v>2.9</v>
      </c>
      <c r="AE66" s="62" t="n">
        <v>9124</v>
      </c>
      <c r="AF66" s="62" t="n">
        <v>12804</v>
      </c>
      <c r="AG66" s="63" t="n">
        <v>0.33</v>
      </c>
      <c r="AH66" s="61"/>
      <c r="AI66" s="61" t="s">
        <v>708</v>
      </c>
      <c r="AJ66" s="61"/>
      <c r="AK66" s="61" t="s">
        <v>432</v>
      </c>
      <c r="AL66" s="61" t="s">
        <v>709</v>
      </c>
    </row>
    <row r="67" customFormat="false" ht="15" hidden="false" customHeight="true" outlineLevel="0" collapsed="false">
      <c r="A67" s="61" t="s">
        <v>710</v>
      </c>
      <c r="B67" s="61" t="s">
        <v>330</v>
      </c>
      <c r="C67" s="61" t="s">
        <v>711</v>
      </c>
      <c r="D67" s="61" t="s">
        <v>628</v>
      </c>
      <c r="E67" s="61" t="s">
        <v>354</v>
      </c>
      <c r="F67" s="61" t="s">
        <v>221</v>
      </c>
      <c r="G67" s="61" t="s">
        <v>399</v>
      </c>
      <c r="H67" s="61" t="s">
        <v>355</v>
      </c>
      <c r="I67" s="58"/>
      <c r="J67" s="58"/>
      <c r="K67" s="58"/>
      <c r="L67" s="58"/>
      <c r="M67" s="58"/>
      <c r="N67" s="58"/>
      <c r="O67" s="58"/>
      <c r="P67" s="61" t="s">
        <v>355</v>
      </c>
      <c r="Q67" s="58"/>
      <c r="R67" s="61"/>
      <c r="S67" s="62"/>
      <c r="T67" s="61"/>
      <c r="U67" s="61" t="s">
        <v>401</v>
      </c>
      <c r="V67" s="61" t="s">
        <v>690</v>
      </c>
      <c r="W67" s="61" t="s">
        <v>359</v>
      </c>
      <c r="X67" s="61"/>
      <c r="Y67" s="63" t="n">
        <v>0.886</v>
      </c>
      <c r="Z67" s="61" t="n">
        <v>840</v>
      </c>
      <c r="AA67" s="61" t="n">
        <v>1070</v>
      </c>
      <c r="AB67" s="61" t="n">
        <v>14</v>
      </c>
      <c r="AC67" s="61" t="n">
        <v>20</v>
      </c>
      <c r="AD67" s="61" t="n">
        <v>2.85</v>
      </c>
      <c r="AE67" s="62" t="n">
        <v>17840</v>
      </c>
      <c r="AF67" s="62" t="n">
        <v>13220</v>
      </c>
      <c r="AG67" s="63" t="n">
        <v>0.4</v>
      </c>
      <c r="AH67" s="61"/>
      <c r="AI67" s="61" t="s">
        <v>712</v>
      </c>
      <c r="AJ67" s="61"/>
      <c r="AK67" s="61" t="s">
        <v>432</v>
      </c>
      <c r="AL67" s="61" t="s">
        <v>713</v>
      </c>
    </row>
    <row r="68" customFormat="false" ht="15" hidden="false" customHeight="true" outlineLevel="0" collapsed="false">
      <c r="A68" s="61" t="s">
        <v>714</v>
      </c>
      <c r="B68" s="61" t="s">
        <v>330</v>
      </c>
      <c r="C68" s="61" t="s">
        <v>715</v>
      </c>
      <c r="D68" s="61" t="s">
        <v>628</v>
      </c>
      <c r="E68" s="61" t="s">
        <v>491</v>
      </c>
      <c r="F68" s="61" t="s">
        <v>221</v>
      </c>
      <c r="G68" s="61" t="s">
        <v>399</v>
      </c>
      <c r="H68" s="61" t="s">
        <v>355</v>
      </c>
      <c r="I68" s="58"/>
      <c r="J68" s="58"/>
      <c r="K68" s="58"/>
      <c r="L68" s="58"/>
      <c r="M68" s="58"/>
      <c r="N68" s="58"/>
      <c r="O68" s="58"/>
      <c r="P68" s="61" t="s">
        <v>355</v>
      </c>
      <c r="Q68" s="58"/>
      <c r="R68" s="61"/>
      <c r="S68" s="62" t="n">
        <v>25</v>
      </c>
      <c r="T68" s="61"/>
      <c r="U68" s="61" t="s">
        <v>401</v>
      </c>
      <c r="V68" s="61" t="s">
        <v>690</v>
      </c>
      <c r="W68" s="61" t="s">
        <v>359</v>
      </c>
      <c r="X68" s="61"/>
      <c r="Y68" s="63" t="n">
        <v>0.98</v>
      </c>
      <c r="Z68" s="61" t="n">
        <v>850</v>
      </c>
      <c r="AA68" s="61" t="n">
        <v>885</v>
      </c>
      <c r="AB68" s="61"/>
      <c r="AC68" s="61"/>
      <c r="AD68" s="61" t="n">
        <v>2.71</v>
      </c>
      <c r="AE68" s="62" t="n">
        <v>20207</v>
      </c>
      <c r="AF68" s="62" t="n">
        <v>17272</v>
      </c>
      <c r="AG68" s="63" t="n">
        <v>0.29</v>
      </c>
      <c r="AH68" s="61"/>
      <c r="AI68" s="61" t="s">
        <v>716</v>
      </c>
      <c r="AJ68" s="61"/>
      <c r="AK68" s="61" t="s">
        <v>432</v>
      </c>
      <c r="AL68" s="61" t="s">
        <v>717</v>
      </c>
    </row>
    <row r="69" customFormat="false" ht="15" hidden="false" customHeight="true" outlineLevel="0" collapsed="false">
      <c r="A69" s="61" t="s">
        <v>718</v>
      </c>
      <c r="B69" s="61" t="s">
        <v>330</v>
      </c>
      <c r="C69" s="61" t="s">
        <v>719</v>
      </c>
      <c r="D69" s="61" t="s">
        <v>720</v>
      </c>
      <c r="E69" s="61" t="s">
        <v>354</v>
      </c>
      <c r="F69" s="61" t="s">
        <v>221</v>
      </c>
      <c r="G69" s="61" t="s">
        <v>399</v>
      </c>
      <c r="H69" s="61" t="s">
        <v>355</v>
      </c>
      <c r="I69" s="58"/>
      <c r="J69" s="58"/>
      <c r="K69" s="58"/>
      <c r="L69" s="58"/>
      <c r="M69" s="58"/>
      <c r="N69" s="58"/>
      <c r="O69" s="58"/>
      <c r="P69" s="61" t="s">
        <v>355</v>
      </c>
      <c r="Q69" s="58"/>
      <c r="R69" s="61"/>
      <c r="S69" s="62" t="n">
        <v>35</v>
      </c>
      <c r="T69" s="61"/>
      <c r="U69" s="61" t="s">
        <v>401</v>
      </c>
      <c r="V69" s="61" t="s">
        <v>690</v>
      </c>
      <c r="W69" s="61" t="s">
        <v>359</v>
      </c>
      <c r="X69" s="61"/>
      <c r="Y69" s="63" t="n">
        <v>0.822</v>
      </c>
      <c r="Z69" s="61" t="n">
        <v>840</v>
      </c>
      <c r="AA69" s="61" t="n">
        <v>1070</v>
      </c>
      <c r="AB69" s="61" t="n">
        <v>16</v>
      </c>
      <c r="AC69" s="61" t="n">
        <v>21</v>
      </c>
      <c r="AD69" s="61" t="n">
        <v>3.1</v>
      </c>
      <c r="AE69" s="62" t="n">
        <v>15476</v>
      </c>
      <c r="AF69" s="62" t="n">
        <v>9585</v>
      </c>
      <c r="AG69" s="63" t="n">
        <v>0.28</v>
      </c>
      <c r="AH69" s="61"/>
      <c r="AI69" s="61" t="s">
        <v>721</v>
      </c>
      <c r="AJ69" s="61"/>
      <c r="AK69" s="61" t="s">
        <v>432</v>
      </c>
      <c r="AL69" s="61" t="s">
        <v>722</v>
      </c>
    </row>
    <row r="70" customFormat="false" ht="15" hidden="false" customHeight="true" outlineLevel="0" collapsed="false">
      <c r="A70" s="61" t="s">
        <v>723</v>
      </c>
      <c r="B70" s="61" t="s">
        <v>330</v>
      </c>
      <c r="C70" s="61" t="s">
        <v>724</v>
      </c>
      <c r="D70" s="61" t="s">
        <v>720</v>
      </c>
      <c r="E70" s="61" t="s">
        <v>354</v>
      </c>
      <c r="F70" s="61" t="s">
        <v>221</v>
      </c>
      <c r="G70" s="61" t="s">
        <v>399</v>
      </c>
      <c r="H70" s="61" t="s">
        <v>355</v>
      </c>
      <c r="I70" s="58"/>
      <c r="J70" s="58"/>
      <c r="K70" s="58"/>
      <c r="L70" s="58"/>
      <c r="M70" s="58"/>
      <c r="N70" s="58"/>
      <c r="O70" s="58"/>
      <c r="P70" s="61" t="s">
        <v>355</v>
      </c>
      <c r="Q70" s="58"/>
      <c r="R70" s="61"/>
      <c r="S70" s="62" t="n">
        <v>40</v>
      </c>
      <c r="T70" s="61"/>
      <c r="U70" s="61" t="s">
        <v>401</v>
      </c>
      <c r="V70" s="61" t="s">
        <v>690</v>
      </c>
      <c r="W70" s="61" t="s">
        <v>359</v>
      </c>
      <c r="X70" s="61"/>
      <c r="Y70" s="63" t="n">
        <v>0.724</v>
      </c>
      <c r="Z70" s="61" t="n">
        <v>796</v>
      </c>
      <c r="AA70" s="61" t="n">
        <v>1083</v>
      </c>
      <c r="AB70" s="61"/>
      <c r="AC70" s="61"/>
      <c r="AD70" s="61" t="n">
        <v>3.12</v>
      </c>
      <c r="AE70" s="62" t="n">
        <v>17287</v>
      </c>
      <c r="AF70" s="62" t="n">
        <v>17071</v>
      </c>
      <c r="AG70" s="63" t="n">
        <v>0.41</v>
      </c>
      <c r="AH70" s="61"/>
      <c r="AI70" s="61" t="s">
        <v>725</v>
      </c>
      <c r="AJ70" s="61"/>
      <c r="AK70" s="61" t="s">
        <v>432</v>
      </c>
      <c r="AL70" s="61" t="s">
        <v>726</v>
      </c>
    </row>
    <row r="71" customFormat="false" ht="15" hidden="false" customHeight="true" outlineLevel="0" collapsed="false">
      <c r="A71" s="61" t="s">
        <v>727</v>
      </c>
      <c r="B71" s="61" t="s">
        <v>330</v>
      </c>
      <c r="C71" s="61" t="s">
        <v>719</v>
      </c>
      <c r="D71" s="61" t="s">
        <v>720</v>
      </c>
      <c r="E71" s="61" t="s">
        <v>354</v>
      </c>
      <c r="F71" s="61" t="s">
        <v>221</v>
      </c>
      <c r="G71" s="61" t="s">
        <v>399</v>
      </c>
      <c r="H71" s="61" t="s">
        <v>355</v>
      </c>
      <c r="I71" s="58"/>
      <c r="J71" s="58"/>
      <c r="K71" s="58"/>
      <c r="L71" s="58"/>
      <c r="M71" s="58"/>
      <c r="N71" s="58"/>
      <c r="O71" s="58"/>
      <c r="P71" s="61" t="s">
        <v>355</v>
      </c>
      <c r="Q71" s="58"/>
      <c r="R71" s="61"/>
      <c r="S71" s="62" t="n">
        <v>50</v>
      </c>
      <c r="T71" s="61"/>
      <c r="U71" s="61" t="s">
        <v>401</v>
      </c>
      <c r="V71" s="61" t="s">
        <v>690</v>
      </c>
      <c r="W71" s="61" t="s">
        <v>359</v>
      </c>
      <c r="X71" s="61"/>
      <c r="Y71" s="63" t="n">
        <v>0.458</v>
      </c>
      <c r="Z71" s="61" t="n">
        <v>880</v>
      </c>
      <c r="AA71" s="61" t="n">
        <v>1020</v>
      </c>
      <c r="AB71" s="61"/>
      <c r="AC71" s="61"/>
      <c r="AD71" s="61" t="n">
        <v>2.62</v>
      </c>
      <c r="AE71" s="62" t="n">
        <v>9831</v>
      </c>
      <c r="AF71" s="62" t="n">
        <v>7714</v>
      </c>
      <c r="AG71" s="63" t="n">
        <v>0.15</v>
      </c>
      <c r="AH71" s="61"/>
      <c r="AI71" s="61" t="s">
        <v>728</v>
      </c>
      <c r="AJ71" s="61"/>
      <c r="AK71" s="61" t="s">
        <v>432</v>
      </c>
      <c r="AL71" s="61" t="s">
        <v>729</v>
      </c>
    </row>
    <row r="72" customFormat="false" ht="15" hidden="false" customHeight="true" outlineLevel="0" collapsed="false">
      <c r="A72" s="61" t="s">
        <v>730</v>
      </c>
      <c r="B72" s="61" t="s">
        <v>330</v>
      </c>
      <c r="C72" s="61" t="s">
        <v>731</v>
      </c>
      <c r="D72" s="61" t="s">
        <v>720</v>
      </c>
      <c r="E72" s="61" t="s">
        <v>354</v>
      </c>
      <c r="F72" s="61" t="s">
        <v>221</v>
      </c>
      <c r="G72" s="61" t="s">
        <v>399</v>
      </c>
      <c r="H72" s="61" t="s">
        <v>355</v>
      </c>
      <c r="I72" s="58"/>
      <c r="J72" s="58"/>
      <c r="K72" s="58"/>
      <c r="L72" s="58"/>
      <c r="M72" s="58"/>
      <c r="N72" s="58"/>
      <c r="O72" s="58"/>
      <c r="P72" s="61" t="s">
        <v>355</v>
      </c>
      <c r="Q72" s="58"/>
      <c r="R72" s="61"/>
      <c r="S72" s="62" t="n">
        <v>35</v>
      </c>
      <c r="T72" s="61"/>
      <c r="U72" s="61" t="s">
        <v>540</v>
      </c>
      <c r="V72" s="61" t="s">
        <v>690</v>
      </c>
      <c r="W72" s="61" t="s">
        <v>359</v>
      </c>
      <c r="X72" s="61"/>
      <c r="Y72" s="63" t="n">
        <v>0.964</v>
      </c>
      <c r="Z72" s="61" t="n">
        <v>840</v>
      </c>
      <c r="AA72" s="61" t="n">
        <v>1010</v>
      </c>
      <c r="AB72" s="61" t="n">
        <v>16</v>
      </c>
      <c r="AC72" s="61" t="n">
        <v>19</v>
      </c>
      <c r="AD72" s="61" t="n">
        <v>3.07</v>
      </c>
      <c r="AE72" s="62" t="n">
        <v>13311</v>
      </c>
      <c r="AF72" s="62" t="n">
        <v>9914</v>
      </c>
      <c r="AG72" s="63" t="n">
        <v>0.31</v>
      </c>
      <c r="AH72" s="61"/>
      <c r="AI72" s="61" t="s">
        <v>732</v>
      </c>
      <c r="AJ72" s="61"/>
      <c r="AK72" s="61" t="s">
        <v>432</v>
      </c>
      <c r="AL72" s="61" t="s">
        <v>733</v>
      </c>
    </row>
    <row r="73" customFormat="false" ht="15" hidden="false" customHeight="true" outlineLevel="0" collapsed="false">
      <c r="A73" s="61" t="s">
        <v>734</v>
      </c>
      <c r="B73" s="61" t="s">
        <v>330</v>
      </c>
      <c r="C73" s="61" t="s">
        <v>735</v>
      </c>
      <c r="D73" s="61" t="s">
        <v>736</v>
      </c>
      <c r="E73" s="61" t="s">
        <v>354</v>
      </c>
      <c r="F73" s="61" t="s">
        <v>221</v>
      </c>
      <c r="G73" s="61" t="s">
        <v>399</v>
      </c>
      <c r="H73" s="61" t="s">
        <v>355</v>
      </c>
      <c r="I73" s="58"/>
      <c r="J73" s="58"/>
      <c r="K73" s="58"/>
      <c r="L73" s="58"/>
      <c r="M73" s="58"/>
      <c r="N73" s="58"/>
      <c r="O73" s="58"/>
      <c r="P73" s="61" t="s">
        <v>355</v>
      </c>
      <c r="Q73" s="58"/>
      <c r="R73" s="61"/>
      <c r="S73" s="62" t="n">
        <v>35</v>
      </c>
      <c r="T73" s="61"/>
      <c r="U73" s="61" t="s">
        <v>401</v>
      </c>
      <c r="V73" s="61" t="s">
        <v>690</v>
      </c>
      <c r="W73" s="61" t="s">
        <v>359</v>
      </c>
      <c r="X73" s="61"/>
      <c r="Y73" s="63" t="n">
        <v>0.466</v>
      </c>
      <c r="Z73" s="61" t="n">
        <v>800</v>
      </c>
      <c r="AA73" s="61" t="n">
        <v>1020</v>
      </c>
      <c r="AB73" s="61" t="n">
        <v>20</v>
      </c>
      <c r="AC73" s="61" t="n">
        <v>24</v>
      </c>
      <c r="AD73" s="61" t="n">
        <v>3.09</v>
      </c>
      <c r="AE73" s="62" t="n">
        <v>13953</v>
      </c>
      <c r="AF73" s="62" t="n">
        <v>11135</v>
      </c>
      <c r="AG73" s="63" t="n">
        <v>0.35</v>
      </c>
      <c r="AH73" s="61"/>
      <c r="AI73" s="61" t="s">
        <v>737</v>
      </c>
      <c r="AJ73" s="61"/>
      <c r="AK73" s="61" t="s">
        <v>432</v>
      </c>
      <c r="AL73" s="61" t="s">
        <v>738</v>
      </c>
    </row>
    <row r="74" customFormat="false" ht="15" hidden="false" customHeight="true" outlineLevel="0" collapsed="false">
      <c r="A74" s="61" t="s">
        <v>739</v>
      </c>
      <c r="B74" s="61" t="s">
        <v>330</v>
      </c>
      <c r="C74" s="61" t="s">
        <v>740</v>
      </c>
      <c r="D74" s="61" t="s">
        <v>642</v>
      </c>
      <c r="E74" s="61" t="s">
        <v>354</v>
      </c>
      <c r="F74" s="61" t="s">
        <v>221</v>
      </c>
      <c r="G74" s="61" t="s">
        <v>399</v>
      </c>
      <c r="H74" s="61" t="s">
        <v>355</v>
      </c>
      <c r="I74" s="58"/>
      <c r="J74" s="58"/>
      <c r="K74" s="58"/>
      <c r="L74" s="58"/>
      <c r="M74" s="58"/>
      <c r="N74" s="58"/>
      <c r="O74" s="58"/>
      <c r="P74" s="61" t="s">
        <v>355</v>
      </c>
      <c r="Q74" s="58"/>
      <c r="R74" s="61"/>
      <c r="S74" s="62" t="n">
        <v>50</v>
      </c>
      <c r="T74" s="61"/>
      <c r="U74" s="61" t="s">
        <v>401</v>
      </c>
      <c r="V74" s="61" t="s">
        <v>690</v>
      </c>
      <c r="W74" s="61" t="s">
        <v>359</v>
      </c>
      <c r="X74" s="61"/>
      <c r="Y74" s="63" t="n">
        <v>0.783</v>
      </c>
      <c r="Z74" s="61" t="n">
        <v>830</v>
      </c>
      <c r="AA74" s="61" t="n">
        <v>1020</v>
      </c>
      <c r="AB74" s="61" t="n">
        <v>15</v>
      </c>
      <c r="AC74" s="61" t="n">
        <v>20</v>
      </c>
      <c r="AD74" s="61" t="n">
        <v>3.01</v>
      </c>
      <c r="AE74" s="62" t="n">
        <v>12989</v>
      </c>
      <c r="AF74" s="62" t="n">
        <v>11463</v>
      </c>
      <c r="AG74" s="63" t="n">
        <v>0.41</v>
      </c>
      <c r="AH74" s="61"/>
      <c r="AI74" s="61" t="s">
        <v>741</v>
      </c>
      <c r="AJ74" s="61"/>
      <c r="AK74" s="61" t="s">
        <v>432</v>
      </c>
      <c r="AL74" s="61" t="s">
        <v>742</v>
      </c>
    </row>
    <row r="75" customFormat="false" ht="15" hidden="false" customHeight="true" outlineLevel="0" collapsed="false">
      <c r="A75" s="61" t="s">
        <v>743</v>
      </c>
      <c r="B75" s="61" t="s">
        <v>330</v>
      </c>
      <c r="C75" s="61" t="s">
        <v>744</v>
      </c>
      <c r="D75" s="61" t="s">
        <v>642</v>
      </c>
      <c r="E75" s="61" t="s">
        <v>354</v>
      </c>
      <c r="F75" s="61" t="s">
        <v>221</v>
      </c>
      <c r="G75" s="61" t="s">
        <v>399</v>
      </c>
      <c r="H75" s="61" t="s">
        <v>355</v>
      </c>
      <c r="I75" s="58"/>
      <c r="J75" s="58"/>
      <c r="K75" s="58"/>
      <c r="L75" s="58"/>
      <c r="M75" s="58"/>
      <c r="N75" s="58"/>
      <c r="O75" s="58"/>
      <c r="P75" s="61" t="s">
        <v>355</v>
      </c>
      <c r="Q75" s="58"/>
      <c r="R75" s="61"/>
      <c r="S75" s="62" t="n">
        <v>50</v>
      </c>
      <c r="T75" s="61"/>
      <c r="U75" s="61" t="s">
        <v>401</v>
      </c>
      <c r="V75" s="61" t="s">
        <v>690</v>
      </c>
      <c r="W75" s="61" t="s">
        <v>359</v>
      </c>
      <c r="X75" s="61"/>
      <c r="Y75" s="63" t="n">
        <v>0.87</v>
      </c>
      <c r="Z75" s="61" t="n">
        <v>980</v>
      </c>
      <c r="AA75" s="61" t="n">
        <v>1100</v>
      </c>
      <c r="AB75" s="61" t="n">
        <v>17</v>
      </c>
      <c r="AC75" s="61" t="n">
        <v>18</v>
      </c>
      <c r="AD75" s="61" t="n">
        <v>3.27</v>
      </c>
      <c r="AE75" s="62" t="n">
        <v>14475</v>
      </c>
      <c r="AF75" s="62" t="n">
        <v>13032</v>
      </c>
      <c r="AG75" s="63" t="n">
        <v>0.38</v>
      </c>
      <c r="AH75" s="61"/>
      <c r="AI75" s="61" t="s">
        <v>745</v>
      </c>
      <c r="AJ75" s="61"/>
      <c r="AK75" s="61" t="s">
        <v>432</v>
      </c>
      <c r="AL75" s="61" t="s">
        <v>746</v>
      </c>
    </row>
    <row r="76" customFormat="false" ht="15" hidden="false" customHeight="true" outlineLevel="0" collapsed="false">
      <c r="A76" s="61" t="s">
        <v>747</v>
      </c>
      <c r="B76" s="61" t="s">
        <v>330</v>
      </c>
      <c r="C76" s="61" t="s">
        <v>748</v>
      </c>
      <c r="D76" s="61" t="s">
        <v>642</v>
      </c>
      <c r="E76" s="61" t="s">
        <v>354</v>
      </c>
      <c r="F76" s="61" t="s">
        <v>221</v>
      </c>
      <c r="G76" s="61" t="s">
        <v>399</v>
      </c>
      <c r="H76" s="61" t="s">
        <v>355</v>
      </c>
      <c r="I76" s="58"/>
      <c r="J76" s="58"/>
      <c r="K76" s="58"/>
      <c r="L76" s="58"/>
      <c r="M76" s="58"/>
      <c r="N76" s="58"/>
      <c r="O76" s="58"/>
      <c r="P76" s="61" t="s">
        <v>355</v>
      </c>
      <c r="Q76" s="58"/>
      <c r="R76" s="61"/>
      <c r="S76" s="62" t="n">
        <v>50</v>
      </c>
      <c r="T76" s="61"/>
      <c r="U76" s="61" t="s">
        <v>401</v>
      </c>
      <c r="V76" s="61" t="s">
        <v>690</v>
      </c>
      <c r="W76" s="61" t="s">
        <v>359</v>
      </c>
      <c r="X76" s="61"/>
      <c r="Y76" s="63" t="n">
        <v>0.821</v>
      </c>
      <c r="Z76" s="61" t="n">
        <v>890</v>
      </c>
      <c r="AA76" s="61" t="n">
        <v>1090</v>
      </c>
      <c r="AB76" s="61" t="n">
        <v>15</v>
      </c>
      <c r="AC76" s="61" t="n">
        <v>19</v>
      </c>
      <c r="AD76" s="61" t="n">
        <v>3.11</v>
      </c>
      <c r="AE76" s="62" t="n">
        <v>7811</v>
      </c>
      <c r="AF76" s="62" t="n">
        <v>6233</v>
      </c>
      <c r="AG76" s="63" t="n">
        <v>0.31</v>
      </c>
      <c r="AH76" s="61"/>
      <c r="AI76" s="61" t="s">
        <v>749</v>
      </c>
      <c r="AJ76" s="61"/>
      <c r="AK76" s="61" t="s">
        <v>432</v>
      </c>
      <c r="AL76" s="61" t="s">
        <v>750</v>
      </c>
    </row>
    <row r="77" customFormat="false" ht="15" hidden="false" customHeight="true" outlineLevel="0" collapsed="false">
      <c r="A77" s="61" t="s">
        <v>751</v>
      </c>
      <c r="B77" s="61" t="s">
        <v>330</v>
      </c>
      <c r="C77" s="61" t="s">
        <v>752</v>
      </c>
      <c r="D77" s="61" t="s">
        <v>642</v>
      </c>
      <c r="E77" s="61" t="s">
        <v>354</v>
      </c>
      <c r="F77" s="61" t="s">
        <v>221</v>
      </c>
      <c r="G77" s="61" t="s">
        <v>753</v>
      </c>
      <c r="H77" s="61" t="s">
        <v>221</v>
      </c>
      <c r="I77" s="58"/>
      <c r="J77" s="58"/>
      <c r="K77" s="58"/>
      <c r="L77" s="58"/>
      <c r="M77" s="58"/>
      <c r="N77" s="58"/>
      <c r="O77" s="58" t="n">
        <v>46568</v>
      </c>
      <c r="P77" s="61" t="s">
        <v>221</v>
      </c>
      <c r="Q77" s="58"/>
      <c r="R77" s="61"/>
      <c r="S77" s="62" t="n">
        <v>30</v>
      </c>
      <c r="T77" s="61" t="s">
        <v>754</v>
      </c>
      <c r="U77" s="61" t="s">
        <v>401</v>
      </c>
      <c r="V77" s="61" t="s">
        <v>755</v>
      </c>
      <c r="W77" s="61" t="s">
        <v>359</v>
      </c>
      <c r="X77" s="61"/>
      <c r="Y77" s="63" t="n">
        <v>0.64</v>
      </c>
      <c r="Z77" s="61" t="n">
        <v>920</v>
      </c>
      <c r="AA77" s="61" t="n">
        <v>1080</v>
      </c>
      <c r="AB77" s="61" t="n">
        <v>16</v>
      </c>
      <c r="AC77" s="61" t="n">
        <v>22</v>
      </c>
      <c r="AD77" s="61"/>
      <c r="AE77" s="62"/>
      <c r="AF77" s="62"/>
      <c r="AG77" s="63" t="n">
        <v>0.44</v>
      </c>
      <c r="AH77" s="61"/>
      <c r="AI77" s="61" t="s">
        <v>756</v>
      </c>
      <c r="AJ77" s="61"/>
      <c r="AK77" s="61" t="s">
        <v>370</v>
      </c>
      <c r="AL77" s="61" t="s">
        <v>757</v>
      </c>
    </row>
    <row r="78" customFormat="false" ht="15" hidden="false" customHeight="true" outlineLevel="0" collapsed="false">
      <c r="A78" s="61" t="s">
        <v>758</v>
      </c>
      <c r="B78" s="61" t="s">
        <v>330</v>
      </c>
      <c r="C78" s="61" t="s">
        <v>759</v>
      </c>
      <c r="D78" s="61" t="s">
        <v>642</v>
      </c>
      <c r="E78" s="61" t="s">
        <v>491</v>
      </c>
      <c r="F78" s="61" t="s">
        <v>221</v>
      </c>
      <c r="G78" s="61" t="s">
        <v>399</v>
      </c>
      <c r="H78" s="61" t="s">
        <v>355</v>
      </c>
      <c r="I78" s="58"/>
      <c r="J78" s="58"/>
      <c r="K78" s="58"/>
      <c r="L78" s="58"/>
      <c r="M78" s="58"/>
      <c r="N78" s="58"/>
      <c r="O78" s="58"/>
      <c r="P78" s="61" t="s">
        <v>221</v>
      </c>
      <c r="Q78" s="58" t="n">
        <v>46370</v>
      </c>
      <c r="R78" s="61" t="s">
        <v>760</v>
      </c>
      <c r="S78" s="62" t="n">
        <v>25</v>
      </c>
      <c r="T78" s="61" t="s">
        <v>761</v>
      </c>
      <c r="U78" s="61" t="s">
        <v>401</v>
      </c>
      <c r="V78" s="61" t="s">
        <v>755</v>
      </c>
      <c r="W78" s="61" t="s">
        <v>359</v>
      </c>
      <c r="X78" s="61"/>
      <c r="Y78" s="63" t="n">
        <v>0.58</v>
      </c>
      <c r="Z78" s="61" t="n">
        <v>800</v>
      </c>
      <c r="AA78" s="61" t="n">
        <v>980</v>
      </c>
      <c r="AB78" s="61" t="n">
        <v>13</v>
      </c>
      <c r="AC78" s="61" t="n">
        <v>18</v>
      </c>
      <c r="AD78" s="61"/>
      <c r="AE78" s="62"/>
      <c r="AF78" s="62"/>
      <c r="AG78" s="63"/>
      <c r="AH78" s="61" t="n">
        <v>0</v>
      </c>
      <c r="AI78" s="61" t="s">
        <v>762</v>
      </c>
      <c r="AJ78" s="61"/>
      <c r="AK78" s="61" t="s">
        <v>362</v>
      </c>
      <c r="AL78" s="61" t="s">
        <v>763</v>
      </c>
    </row>
    <row r="79" customFormat="false" ht="15" hidden="false" customHeight="true" outlineLevel="0" collapsed="false">
      <c r="A79" s="61" t="s">
        <v>764</v>
      </c>
      <c r="B79" s="61" t="s">
        <v>330</v>
      </c>
      <c r="C79" s="61" t="s">
        <v>765</v>
      </c>
      <c r="D79" s="61" t="s">
        <v>642</v>
      </c>
      <c r="E79" s="61" t="s">
        <v>491</v>
      </c>
      <c r="F79" s="61" t="s">
        <v>221</v>
      </c>
      <c r="G79" s="61" t="s">
        <v>380</v>
      </c>
      <c r="H79" s="61" t="s">
        <v>221</v>
      </c>
      <c r="I79" s="58"/>
      <c r="J79" s="58"/>
      <c r="K79" s="58"/>
      <c r="L79" s="58"/>
      <c r="M79" s="58"/>
      <c r="N79" s="58"/>
      <c r="O79" s="58"/>
      <c r="P79" s="61" t="s">
        <v>221</v>
      </c>
      <c r="Q79" s="58"/>
      <c r="R79" s="61"/>
      <c r="S79" s="62" t="n">
        <v>25</v>
      </c>
      <c r="T79" s="61" t="s">
        <v>766</v>
      </c>
      <c r="U79" s="61" t="s">
        <v>401</v>
      </c>
      <c r="V79" s="61" t="s">
        <v>755</v>
      </c>
      <c r="W79" s="61" t="s">
        <v>359</v>
      </c>
      <c r="X79" s="61"/>
      <c r="Y79" s="63" t="n">
        <v>0.8</v>
      </c>
      <c r="Z79" s="61"/>
      <c r="AA79" s="61"/>
      <c r="AB79" s="61"/>
      <c r="AC79" s="61"/>
      <c r="AD79" s="61"/>
      <c r="AE79" s="62"/>
      <c r="AF79" s="62"/>
      <c r="AG79" s="63"/>
      <c r="AH79" s="61"/>
      <c r="AI79" s="61" t="s">
        <v>767</v>
      </c>
      <c r="AJ79" s="61"/>
      <c r="AK79" s="61" t="s">
        <v>432</v>
      </c>
      <c r="AL79" s="61" t="s">
        <v>768</v>
      </c>
    </row>
    <row r="80" customFormat="false" ht="15" hidden="false" customHeight="true" outlineLevel="0" collapsed="false">
      <c r="A80" s="61" t="s">
        <v>769</v>
      </c>
      <c r="B80" s="61" t="s">
        <v>330</v>
      </c>
      <c r="C80" s="61" t="s">
        <v>641</v>
      </c>
      <c r="D80" s="61" t="s">
        <v>642</v>
      </c>
      <c r="E80" s="61" t="s">
        <v>491</v>
      </c>
      <c r="F80" s="61" t="s">
        <v>221</v>
      </c>
      <c r="G80" s="61" t="s">
        <v>399</v>
      </c>
      <c r="H80" s="61" t="s">
        <v>355</v>
      </c>
      <c r="I80" s="58"/>
      <c r="J80" s="58"/>
      <c r="K80" s="58"/>
      <c r="L80" s="58"/>
      <c r="M80" s="58"/>
      <c r="N80" s="58"/>
      <c r="O80" s="58"/>
      <c r="P80" s="61" t="s">
        <v>221</v>
      </c>
      <c r="Q80" s="58"/>
      <c r="R80" s="61"/>
      <c r="S80" s="62" t="n">
        <v>0</v>
      </c>
      <c r="T80" s="61"/>
      <c r="U80" s="61" t="s">
        <v>401</v>
      </c>
      <c r="V80" s="61" t="s">
        <v>770</v>
      </c>
      <c r="W80" s="61" t="s">
        <v>359</v>
      </c>
      <c r="X80" s="61"/>
      <c r="Y80" s="63" t="n">
        <v>0.51</v>
      </c>
      <c r="Z80" s="61" t="n">
        <v>820</v>
      </c>
      <c r="AA80" s="61" t="n">
        <v>1060</v>
      </c>
      <c r="AB80" s="61" t="n">
        <v>14</v>
      </c>
      <c r="AC80" s="61" t="n">
        <v>20</v>
      </c>
      <c r="AD80" s="61"/>
      <c r="AE80" s="62"/>
      <c r="AF80" s="62"/>
      <c r="AG80" s="63"/>
      <c r="AH80" s="61" t="n">
        <v>1</v>
      </c>
      <c r="AI80" s="61" t="s">
        <v>771</v>
      </c>
      <c r="AJ80" s="61" t="s">
        <v>771</v>
      </c>
      <c r="AK80" s="61" t="s">
        <v>370</v>
      </c>
      <c r="AL80" s="61" t="s">
        <v>772</v>
      </c>
    </row>
    <row r="81" customFormat="false" ht="15" hidden="false" customHeight="true" outlineLevel="0" collapsed="false">
      <c r="A81" s="61" t="s">
        <v>773</v>
      </c>
      <c r="B81" s="61" t="s">
        <v>330</v>
      </c>
      <c r="C81" s="61" t="s">
        <v>774</v>
      </c>
      <c r="D81" s="61" t="s">
        <v>775</v>
      </c>
      <c r="E81" s="61" t="s">
        <v>491</v>
      </c>
      <c r="F81" s="61" t="s">
        <v>221</v>
      </c>
      <c r="G81" s="61" t="s">
        <v>399</v>
      </c>
      <c r="H81" s="61" t="s">
        <v>355</v>
      </c>
      <c r="I81" s="58"/>
      <c r="J81" s="58"/>
      <c r="K81" s="58"/>
      <c r="L81" s="58"/>
      <c r="M81" s="58"/>
      <c r="N81" s="58"/>
      <c r="O81" s="58"/>
      <c r="P81" s="61" t="s">
        <v>221</v>
      </c>
      <c r="Q81" s="58"/>
      <c r="R81" s="61"/>
      <c r="S81" s="62" t="n">
        <v>60</v>
      </c>
      <c r="T81" s="61"/>
      <c r="U81" s="61" t="s">
        <v>401</v>
      </c>
      <c r="V81" s="61" t="s">
        <v>755</v>
      </c>
      <c r="W81" s="61" t="s">
        <v>359</v>
      </c>
      <c r="X81" s="61"/>
      <c r="Y81" s="63" t="n">
        <v>0.65</v>
      </c>
      <c r="Z81" s="61" t="n">
        <v>840</v>
      </c>
      <c r="AA81" s="61" t="n">
        <v>1040</v>
      </c>
      <c r="AB81" s="61" t="n">
        <v>16</v>
      </c>
      <c r="AC81" s="61" t="n">
        <v>18</v>
      </c>
      <c r="AD81" s="61"/>
      <c r="AE81" s="62"/>
      <c r="AF81" s="62"/>
      <c r="AG81" s="63"/>
      <c r="AH81" s="61"/>
      <c r="AI81" s="61" t="s">
        <v>776</v>
      </c>
      <c r="AJ81" s="61"/>
      <c r="AK81" s="61" t="s">
        <v>432</v>
      </c>
      <c r="AL81" s="61" t="s">
        <v>777</v>
      </c>
    </row>
    <row r="82" customFormat="false" ht="15" hidden="false" customHeight="true" outlineLevel="0" collapsed="false">
      <c r="A82" s="61" t="s">
        <v>778</v>
      </c>
      <c r="B82" s="61" t="s">
        <v>330</v>
      </c>
      <c r="C82" s="61" t="s">
        <v>774</v>
      </c>
      <c r="D82" s="61" t="s">
        <v>775</v>
      </c>
      <c r="E82" s="61" t="s">
        <v>354</v>
      </c>
      <c r="F82" s="61" t="s">
        <v>221</v>
      </c>
      <c r="G82" s="61" t="s">
        <v>399</v>
      </c>
      <c r="H82" s="61" t="s">
        <v>355</v>
      </c>
      <c r="I82" s="58"/>
      <c r="J82" s="58"/>
      <c r="K82" s="58"/>
      <c r="L82" s="58"/>
      <c r="M82" s="58"/>
      <c r="N82" s="58"/>
      <c r="O82" s="58" t="n">
        <v>46357</v>
      </c>
      <c r="P82" s="61" t="s">
        <v>221</v>
      </c>
      <c r="Q82" s="58"/>
      <c r="R82" s="61"/>
      <c r="S82" s="62" t="n">
        <v>25</v>
      </c>
      <c r="T82" s="61"/>
      <c r="U82" s="61" t="s">
        <v>401</v>
      </c>
      <c r="V82" s="61" t="s">
        <v>755</v>
      </c>
      <c r="W82" s="61" t="s">
        <v>359</v>
      </c>
      <c r="X82" s="61"/>
      <c r="Y82" s="63" t="n">
        <v>0.83</v>
      </c>
      <c r="Z82" s="61" t="n">
        <v>800</v>
      </c>
      <c r="AA82" s="61" t="n">
        <v>1050</v>
      </c>
      <c r="AB82" s="61" t="n">
        <v>15</v>
      </c>
      <c r="AC82" s="61" t="n">
        <v>19</v>
      </c>
      <c r="AD82" s="61"/>
      <c r="AE82" s="62"/>
      <c r="AF82" s="62"/>
      <c r="AG82" s="63"/>
      <c r="AH82" s="61"/>
      <c r="AI82" s="61" t="s">
        <v>779</v>
      </c>
      <c r="AJ82" s="61"/>
      <c r="AK82" s="61" t="s">
        <v>370</v>
      </c>
      <c r="AL82" s="61" t="s">
        <v>780</v>
      </c>
    </row>
    <row r="83" customFormat="false" ht="15" hidden="false" customHeight="true" outlineLevel="0" collapsed="false">
      <c r="A83" s="61" t="s">
        <v>781</v>
      </c>
      <c r="B83" s="61" t="s">
        <v>330</v>
      </c>
      <c r="C83" s="61" t="s">
        <v>782</v>
      </c>
      <c r="D83" s="61" t="s">
        <v>775</v>
      </c>
      <c r="E83" s="61" t="s">
        <v>491</v>
      </c>
      <c r="F83" s="61" t="s">
        <v>221</v>
      </c>
      <c r="G83" s="61" t="s">
        <v>399</v>
      </c>
      <c r="H83" s="61" t="s">
        <v>355</v>
      </c>
      <c r="I83" s="58"/>
      <c r="J83" s="58"/>
      <c r="K83" s="58"/>
      <c r="L83" s="58"/>
      <c r="M83" s="58"/>
      <c r="N83" s="58"/>
      <c r="O83" s="58"/>
      <c r="P83" s="61" t="s">
        <v>221</v>
      </c>
      <c r="Q83" s="58"/>
      <c r="R83" s="61"/>
      <c r="S83" s="62" t="n">
        <v>25</v>
      </c>
      <c r="T83" s="61" t="s">
        <v>783</v>
      </c>
      <c r="U83" s="61" t="s">
        <v>401</v>
      </c>
      <c r="V83" s="61" t="s">
        <v>755</v>
      </c>
      <c r="W83" s="61" t="s">
        <v>359</v>
      </c>
      <c r="X83" s="61"/>
      <c r="Y83" s="63" t="n">
        <v>0.96</v>
      </c>
      <c r="Z83" s="61" t="n">
        <v>820</v>
      </c>
      <c r="AA83" s="61" t="n">
        <v>1010</v>
      </c>
      <c r="AB83" s="61" t="n">
        <v>14</v>
      </c>
      <c r="AC83" s="61" t="n">
        <v>19</v>
      </c>
      <c r="AD83" s="61"/>
      <c r="AE83" s="62"/>
      <c r="AF83" s="62"/>
      <c r="AG83" s="63"/>
      <c r="AH83" s="61"/>
      <c r="AI83" s="61" t="s">
        <v>784</v>
      </c>
      <c r="AJ83" s="61"/>
      <c r="AK83" s="61" t="s">
        <v>370</v>
      </c>
      <c r="AL83" s="61" t="s">
        <v>785</v>
      </c>
    </row>
    <row r="84" customFormat="false" ht="15" hidden="false" customHeight="true" outlineLevel="0" collapsed="false">
      <c r="A84" s="61" t="s">
        <v>786</v>
      </c>
      <c r="B84" s="61" t="s">
        <v>330</v>
      </c>
      <c r="C84" s="61" t="s">
        <v>782</v>
      </c>
      <c r="D84" s="61" t="s">
        <v>775</v>
      </c>
      <c r="E84" s="61" t="s">
        <v>491</v>
      </c>
      <c r="F84" s="61" t="s">
        <v>221</v>
      </c>
      <c r="G84" s="61" t="s">
        <v>399</v>
      </c>
      <c r="H84" s="61" t="s">
        <v>355</v>
      </c>
      <c r="I84" s="58"/>
      <c r="J84" s="58"/>
      <c r="K84" s="58"/>
      <c r="L84" s="58"/>
      <c r="M84" s="58"/>
      <c r="N84" s="58"/>
      <c r="O84" s="58"/>
      <c r="P84" s="61" t="s">
        <v>221</v>
      </c>
      <c r="Q84" s="58"/>
      <c r="R84" s="61"/>
      <c r="S84" s="62" t="n">
        <v>0</v>
      </c>
      <c r="T84" s="61"/>
      <c r="U84" s="61" t="s">
        <v>401</v>
      </c>
      <c r="V84" s="61" t="s">
        <v>755</v>
      </c>
      <c r="W84" s="61" t="s">
        <v>359</v>
      </c>
      <c r="X84" s="61"/>
      <c r="Y84" s="63" t="n">
        <v>0.73</v>
      </c>
      <c r="Z84" s="61"/>
      <c r="AA84" s="61"/>
      <c r="AB84" s="61"/>
      <c r="AC84" s="61"/>
      <c r="AD84" s="61"/>
      <c r="AE84" s="62"/>
      <c r="AF84" s="62"/>
      <c r="AG84" s="63"/>
      <c r="AH84" s="61"/>
      <c r="AI84" s="61" t="s">
        <v>787</v>
      </c>
      <c r="AJ84" s="61"/>
      <c r="AK84" s="61" t="s">
        <v>432</v>
      </c>
      <c r="AL84" s="61" t="s">
        <v>788</v>
      </c>
    </row>
    <row r="85" customFormat="false" ht="15" hidden="false" customHeight="true" outlineLevel="0" collapsed="false">
      <c r="A85" s="61" t="s">
        <v>789</v>
      </c>
      <c r="B85" s="61" t="s">
        <v>330</v>
      </c>
      <c r="C85" s="61" t="s">
        <v>790</v>
      </c>
      <c r="D85" s="61" t="s">
        <v>636</v>
      </c>
      <c r="E85" s="61" t="s">
        <v>491</v>
      </c>
      <c r="F85" s="61" t="s">
        <v>221</v>
      </c>
      <c r="G85" s="61" t="s">
        <v>399</v>
      </c>
      <c r="H85" s="61" t="s">
        <v>355</v>
      </c>
      <c r="I85" s="58"/>
      <c r="J85" s="58"/>
      <c r="K85" s="58"/>
      <c r="L85" s="58"/>
      <c r="M85" s="58"/>
      <c r="N85" s="58" t="n">
        <v>46600</v>
      </c>
      <c r="O85" s="58" t="n">
        <v>46508</v>
      </c>
      <c r="P85" s="61" t="s">
        <v>355</v>
      </c>
      <c r="Q85" s="58"/>
      <c r="R85" s="61"/>
      <c r="S85" s="62" t="n">
        <v>0</v>
      </c>
      <c r="T85" s="61"/>
      <c r="U85" s="61" t="s">
        <v>401</v>
      </c>
      <c r="V85" s="61" t="s">
        <v>755</v>
      </c>
      <c r="W85" s="61" t="s">
        <v>359</v>
      </c>
      <c r="X85" s="61"/>
      <c r="Y85" s="63" t="n">
        <v>0.88</v>
      </c>
      <c r="Z85" s="61" t="n">
        <v>830</v>
      </c>
      <c r="AA85" s="61" t="n">
        <v>990</v>
      </c>
      <c r="AB85" s="61" t="n">
        <v>15</v>
      </c>
      <c r="AC85" s="61" t="n">
        <v>18</v>
      </c>
      <c r="AD85" s="61"/>
      <c r="AE85" s="62"/>
      <c r="AF85" s="62"/>
      <c r="AG85" s="63"/>
      <c r="AH85" s="61" t="n">
        <v>0</v>
      </c>
      <c r="AI85" s="61" t="s">
        <v>791</v>
      </c>
      <c r="AJ85" s="61"/>
      <c r="AK85" s="61" t="s">
        <v>362</v>
      </c>
      <c r="AL85" s="61" t="s">
        <v>792</v>
      </c>
    </row>
    <row r="86" customFormat="false" ht="15" hidden="false" customHeight="true" outlineLevel="0" collapsed="false">
      <c r="A86" s="61" t="s">
        <v>793</v>
      </c>
      <c r="B86" s="61" t="s">
        <v>330</v>
      </c>
      <c r="C86" s="61" t="s">
        <v>794</v>
      </c>
      <c r="D86" s="61" t="s">
        <v>636</v>
      </c>
      <c r="E86" s="61" t="s">
        <v>491</v>
      </c>
      <c r="F86" s="61" t="s">
        <v>221</v>
      </c>
      <c r="G86" s="61" t="s">
        <v>399</v>
      </c>
      <c r="H86" s="61" t="s">
        <v>355</v>
      </c>
      <c r="I86" s="58"/>
      <c r="J86" s="58"/>
      <c r="K86" s="58"/>
      <c r="L86" s="58"/>
      <c r="M86" s="58"/>
      <c r="N86" s="58" t="n">
        <v>46508</v>
      </c>
      <c r="O86" s="58"/>
      <c r="P86" s="61" t="s">
        <v>221</v>
      </c>
      <c r="Q86" s="58"/>
      <c r="R86" s="61"/>
      <c r="S86" s="62" t="n">
        <v>25</v>
      </c>
      <c r="T86" s="61"/>
      <c r="U86" s="61" t="s">
        <v>214</v>
      </c>
      <c r="V86" s="61" t="s">
        <v>755</v>
      </c>
      <c r="W86" s="61" t="s">
        <v>359</v>
      </c>
      <c r="X86" s="61"/>
      <c r="Y86" s="63" t="n">
        <v>0.85</v>
      </c>
      <c r="Z86" s="61" t="n">
        <v>820</v>
      </c>
      <c r="AA86" s="61" t="n">
        <v>990</v>
      </c>
      <c r="AB86" s="61" t="n">
        <v>14</v>
      </c>
      <c r="AC86" s="61" t="n">
        <v>18</v>
      </c>
      <c r="AD86" s="61"/>
      <c r="AE86" s="62"/>
      <c r="AF86" s="62"/>
      <c r="AG86" s="63"/>
      <c r="AH86" s="61"/>
      <c r="AI86" s="61" t="s">
        <v>795</v>
      </c>
      <c r="AJ86" s="61"/>
      <c r="AK86" s="61" t="s">
        <v>370</v>
      </c>
      <c r="AL86" s="61" t="s">
        <v>796</v>
      </c>
    </row>
    <row r="87" customFormat="false" ht="15" hidden="false" customHeight="true" outlineLevel="0" collapsed="false">
      <c r="A87" s="61" t="s">
        <v>797</v>
      </c>
      <c r="B87" s="61" t="s">
        <v>330</v>
      </c>
      <c r="C87" s="61" t="s">
        <v>798</v>
      </c>
      <c r="D87" s="61" t="s">
        <v>636</v>
      </c>
      <c r="E87" s="61" t="s">
        <v>491</v>
      </c>
      <c r="F87" s="61" t="s">
        <v>221</v>
      </c>
      <c r="G87" s="61" t="s">
        <v>799</v>
      </c>
      <c r="H87" s="61" t="s">
        <v>221</v>
      </c>
      <c r="I87" s="58"/>
      <c r="J87" s="58"/>
      <c r="K87" s="58"/>
      <c r="L87" s="58"/>
      <c r="M87" s="58"/>
      <c r="N87" s="58"/>
      <c r="O87" s="58"/>
      <c r="P87" s="61" t="s">
        <v>221</v>
      </c>
      <c r="Q87" s="58"/>
      <c r="R87" s="61"/>
      <c r="S87" s="62" t="n">
        <v>0</v>
      </c>
      <c r="T87" s="61" t="s">
        <v>800</v>
      </c>
      <c r="U87" s="61" t="s">
        <v>408</v>
      </c>
      <c r="V87" s="61" t="s">
        <v>755</v>
      </c>
      <c r="W87" s="61" t="s">
        <v>359</v>
      </c>
      <c r="X87" s="61"/>
      <c r="Y87" s="63" t="n">
        <v>0.85</v>
      </c>
      <c r="Z87" s="61"/>
      <c r="AA87" s="61"/>
      <c r="AB87" s="61"/>
      <c r="AC87" s="61"/>
      <c r="AD87" s="61"/>
      <c r="AE87" s="62"/>
      <c r="AF87" s="62"/>
      <c r="AG87" s="63"/>
      <c r="AH87" s="61"/>
      <c r="AI87" s="61" t="s">
        <v>801</v>
      </c>
      <c r="AJ87" s="61"/>
      <c r="AK87" s="61" t="s">
        <v>370</v>
      </c>
      <c r="AL87" s="61" t="s">
        <v>802</v>
      </c>
    </row>
    <row r="88" customFormat="false" ht="15" hidden="false" customHeight="true" outlineLevel="0" collapsed="false">
      <c r="A88" s="61" t="s">
        <v>803</v>
      </c>
      <c r="B88" s="61" t="s">
        <v>330</v>
      </c>
      <c r="C88" s="61" t="s">
        <v>653</v>
      </c>
      <c r="D88" s="61" t="s">
        <v>654</v>
      </c>
      <c r="E88" s="61" t="s">
        <v>491</v>
      </c>
      <c r="F88" s="61" t="s">
        <v>221</v>
      </c>
      <c r="G88" s="61" t="s">
        <v>380</v>
      </c>
      <c r="H88" s="61" t="s">
        <v>221</v>
      </c>
      <c r="I88" s="58"/>
      <c r="J88" s="58"/>
      <c r="K88" s="58"/>
      <c r="L88" s="58"/>
      <c r="M88" s="58"/>
      <c r="N88" s="58"/>
      <c r="O88" s="58"/>
      <c r="P88" s="61" t="s">
        <v>221</v>
      </c>
      <c r="Q88" s="58"/>
      <c r="R88" s="61"/>
      <c r="S88" s="62" t="n">
        <v>40</v>
      </c>
      <c r="T88" s="61"/>
      <c r="U88" s="61" t="s">
        <v>401</v>
      </c>
      <c r="V88" s="61" t="s">
        <v>755</v>
      </c>
      <c r="W88" s="61" t="s">
        <v>359</v>
      </c>
      <c r="X88" s="61"/>
      <c r="Y88" s="63" t="n">
        <v>0.74</v>
      </c>
      <c r="Z88" s="61" t="n">
        <v>970</v>
      </c>
      <c r="AA88" s="61" t="n">
        <v>1200</v>
      </c>
      <c r="AB88" s="61" t="n">
        <v>18</v>
      </c>
      <c r="AC88" s="61" t="n">
        <v>22</v>
      </c>
      <c r="AD88" s="61"/>
      <c r="AE88" s="62"/>
      <c r="AF88" s="62"/>
      <c r="AG88" s="63"/>
      <c r="AH88" s="61"/>
      <c r="AI88" s="61" t="s">
        <v>804</v>
      </c>
      <c r="AJ88" s="61"/>
      <c r="AK88" s="61" t="s">
        <v>432</v>
      </c>
      <c r="AL88" s="61" t="s">
        <v>805</v>
      </c>
    </row>
    <row r="89" customFormat="false" ht="15" hidden="false" customHeight="true" outlineLevel="0" collapsed="false">
      <c r="A89" s="61" t="s">
        <v>806</v>
      </c>
      <c r="B89" s="61" t="s">
        <v>330</v>
      </c>
      <c r="C89" s="61" t="s">
        <v>807</v>
      </c>
      <c r="D89" s="61" t="s">
        <v>808</v>
      </c>
      <c r="E89" s="61" t="s">
        <v>354</v>
      </c>
      <c r="F89" s="61" t="s">
        <v>221</v>
      </c>
      <c r="G89" s="61" t="s">
        <v>380</v>
      </c>
      <c r="H89" s="61" t="s">
        <v>221</v>
      </c>
      <c r="I89" s="58"/>
      <c r="J89" s="58"/>
      <c r="K89" s="58"/>
      <c r="L89" s="58"/>
      <c r="M89" s="58"/>
      <c r="N89" s="58"/>
      <c r="O89" s="58"/>
      <c r="P89" s="61" t="s">
        <v>355</v>
      </c>
      <c r="Q89" s="58"/>
      <c r="R89" s="61"/>
      <c r="S89" s="62" t="n">
        <v>0</v>
      </c>
      <c r="T89" s="61"/>
      <c r="U89" s="61" t="s">
        <v>401</v>
      </c>
      <c r="V89" s="61" t="s">
        <v>755</v>
      </c>
      <c r="W89" s="61" t="s">
        <v>359</v>
      </c>
      <c r="X89" s="61"/>
      <c r="Y89" s="63"/>
      <c r="Z89" s="61"/>
      <c r="AA89" s="61"/>
      <c r="AB89" s="61"/>
      <c r="AC89" s="61"/>
      <c r="AD89" s="61"/>
      <c r="AE89" s="62"/>
      <c r="AF89" s="62"/>
      <c r="AG89" s="63"/>
      <c r="AH89" s="61"/>
      <c r="AI89" s="61" t="s">
        <v>809</v>
      </c>
      <c r="AJ89" s="61"/>
      <c r="AK89" s="61" t="s">
        <v>370</v>
      </c>
      <c r="AL89" s="61" t="s">
        <v>810</v>
      </c>
    </row>
    <row r="90" customFormat="false" ht="15" hidden="false" customHeight="true" outlineLevel="0" collapsed="false">
      <c r="A90" s="61" t="s">
        <v>811</v>
      </c>
      <c r="B90" s="61" t="s">
        <v>330</v>
      </c>
      <c r="C90" s="61" t="s">
        <v>812</v>
      </c>
      <c r="D90" s="61" t="s">
        <v>813</v>
      </c>
      <c r="E90" s="61" t="s">
        <v>354</v>
      </c>
      <c r="F90" s="61" t="s">
        <v>221</v>
      </c>
      <c r="G90" s="61" t="s">
        <v>380</v>
      </c>
      <c r="H90" s="61" t="s">
        <v>221</v>
      </c>
      <c r="I90" s="58"/>
      <c r="J90" s="58"/>
      <c r="K90" s="58"/>
      <c r="L90" s="58"/>
      <c r="M90" s="58"/>
      <c r="N90" s="58"/>
      <c r="O90" s="58"/>
      <c r="P90" s="61" t="s">
        <v>221</v>
      </c>
      <c r="Q90" s="58"/>
      <c r="R90" s="61"/>
      <c r="S90" s="62" t="n">
        <v>0</v>
      </c>
      <c r="T90" s="61" t="s">
        <v>522</v>
      </c>
      <c r="U90" s="61" t="s">
        <v>401</v>
      </c>
      <c r="V90" s="61" t="s">
        <v>755</v>
      </c>
      <c r="W90" s="61" t="s">
        <v>359</v>
      </c>
      <c r="X90" s="61"/>
      <c r="Y90" s="63" t="n">
        <v>0.96</v>
      </c>
      <c r="Z90" s="61" t="n">
        <v>820</v>
      </c>
      <c r="AA90" s="61" t="n">
        <v>1010</v>
      </c>
      <c r="AB90" s="61" t="n">
        <v>14</v>
      </c>
      <c r="AC90" s="61" t="n">
        <v>17</v>
      </c>
      <c r="AD90" s="61"/>
      <c r="AE90" s="62"/>
      <c r="AF90" s="62"/>
      <c r="AG90" s="63"/>
      <c r="AH90" s="61"/>
      <c r="AI90" s="61" t="s">
        <v>814</v>
      </c>
      <c r="AJ90" s="61"/>
      <c r="AK90" s="61" t="s">
        <v>370</v>
      </c>
      <c r="AL90" s="61" t="s">
        <v>815</v>
      </c>
    </row>
    <row r="91" customFormat="false" ht="15" hidden="false" customHeight="true" outlineLevel="0" collapsed="false">
      <c r="A91" s="61" t="s">
        <v>816</v>
      </c>
      <c r="B91" s="61" t="s">
        <v>330</v>
      </c>
      <c r="C91" s="61" t="s">
        <v>817</v>
      </c>
      <c r="D91" s="61" t="s">
        <v>670</v>
      </c>
      <c r="E91" s="61" t="s">
        <v>354</v>
      </c>
      <c r="F91" s="61" t="s">
        <v>221</v>
      </c>
      <c r="G91" s="61" t="s">
        <v>399</v>
      </c>
      <c r="H91" s="61" t="s">
        <v>355</v>
      </c>
      <c r="I91" s="58"/>
      <c r="J91" s="58"/>
      <c r="K91" s="58"/>
      <c r="L91" s="58"/>
      <c r="M91" s="58"/>
      <c r="N91" s="58"/>
      <c r="O91" s="58"/>
      <c r="P91" s="61" t="s">
        <v>221</v>
      </c>
      <c r="Q91" s="58"/>
      <c r="R91" s="61"/>
      <c r="S91" s="62" t="n">
        <v>30</v>
      </c>
      <c r="T91" s="61"/>
      <c r="U91" s="61" t="s">
        <v>214</v>
      </c>
      <c r="V91" s="61" t="s">
        <v>755</v>
      </c>
      <c r="W91" s="61" t="s">
        <v>359</v>
      </c>
      <c r="X91" s="61"/>
      <c r="Y91" s="63" t="n">
        <v>0.45</v>
      </c>
      <c r="Z91" s="61" t="n">
        <v>670</v>
      </c>
      <c r="AA91" s="61" t="n">
        <v>1000</v>
      </c>
      <c r="AB91" s="61" t="n">
        <v>15</v>
      </c>
      <c r="AC91" s="61" t="n">
        <v>19</v>
      </c>
      <c r="AD91" s="61"/>
      <c r="AE91" s="62"/>
      <c r="AF91" s="62"/>
      <c r="AG91" s="63"/>
      <c r="AH91" s="61"/>
      <c r="AI91" s="61" t="s">
        <v>818</v>
      </c>
      <c r="AJ91" s="61"/>
      <c r="AK91" s="61" t="s">
        <v>432</v>
      </c>
      <c r="AL91" s="61" t="s">
        <v>819</v>
      </c>
    </row>
    <row r="92" customFormat="false" ht="15" hidden="false" customHeight="true" outlineLevel="0" collapsed="false">
      <c r="A92" s="61" t="s">
        <v>820</v>
      </c>
      <c r="B92" s="61" t="s">
        <v>330</v>
      </c>
      <c r="C92" s="61" t="s">
        <v>821</v>
      </c>
      <c r="D92" s="61" t="s">
        <v>670</v>
      </c>
      <c r="E92" s="61" t="s">
        <v>354</v>
      </c>
      <c r="F92" s="61" t="s">
        <v>221</v>
      </c>
      <c r="G92" s="61" t="s">
        <v>399</v>
      </c>
      <c r="H92" s="61" t="s">
        <v>355</v>
      </c>
      <c r="I92" s="58"/>
      <c r="J92" s="58"/>
      <c r="K92" s="58"/>
      <c r="L92" s="58"/>
      <c r="M92" s="58"/>
      <c r="N92" s="58"/>
      <c r="O92" s="58"/>
      <c r="P92" s="61" t="s">
        <v>355</v>
      </c>
      <c r="Q92" s="58"/>
      <c r="R92" s="61"/>
      <c r="S92" s="62"/>
      <c r="T92" s="61"/>
      <c r="U92" s="61"/>
      <c r="V92" s="61"/>
      <c r="W92" s="61"/>
      <c r="X92" s="61"/>
      <c r="Y92" s="63"/>
      <c r="Z92" s="61"/>
      <c r="AA92" s="61"/>
      <c r="AB92" s="61"/>
      <c r="AC92" s="61"/>
      <c r="AD92" s="61"/>
      <c r="AE92" s="62"/>
      <c r="AF92" s="62"/>
      <c r="AG92" s="63"/>
      <c r="AH92" s="61"/>
      <c r="AI92" s="61" t="s">
        <v>822</v>
      </c>
      <c r="AJ92" s="61"/>
      <c r="AK92" s="61" t="s">
        <v>432</v>
      </c>
      <c r="AL92" s="61" t="s">
        <v>823</v>
      </c>
    </row>
    <row r="93" customFormat="false" ht="15" hidden="false" customHeight="true" outlineLevel="0" collapsed="false">
      <c r="A93" s="61" t="s">
        <v>824</v>
      </c>
      <c r="B93" s="61" t="s">
        <v>330</v>
      </c>
      <c r="C93" s="61" t="s">
        <v>825</v>
      </c>
      <c r="D93" s="61" t="s">
        <v>670</v>
      </c>
      <c r="E93" s="61" t="s">
        <v>491</v>
      </c>
      <c r="F93" s="61" t="s">
        <v>221</v>
      </c>
      <c r="G93" s="61" t="s">
        <v>399</v>
      </c>
      <c r="H93" s="61" t="s">
        <v>355</v>
      </c>
      <c r="I93" s="58"/>
      <c r="J93" s="58"/>
      <c r="K93" s="58"/>
      <c r="L93" s="58"/>
      <c r="M93" s="58"/>
      <c r="N93" s="58"/>
      <c r="O93" s="58"/>
      <c r="P93" s="61" t="s">
        <v>355</v>
      </c>
      <c r="Q93" s="58"/>
      <c r="R93" s="61"/>
      <c r="S93" s="62" t="n">
        <v>25</v>
      </c>
      <c r="T93" s="61"/>
      <c r="U93" s="61" t="s">
        <v>214</v>
      </c>
      <c r="V93" s="61" t="s">
        <v>450</v>
      </c>
      <c r="W93" s="61"/>
      <c r="X93" s="61"/>
      <c r="Y93" s="63"/>
      <c r="Z93" s="61"/>
      <c r="AA93" s="61"/>
      <c r="AB93" s="61"/>
      <c r="AC93" s="61"/>
      <c r="AD93" s="61"/>
      <c r="AE93" s="62"/>
      <c r="AF93" s="62"/>
      <c r="AG93" s="63"/>
      <c r="AH93" s="61"/>
      <c r="AI93" s="61" t="s">
        <v>826</v>
      </c>
      <c r="AJ93" s="61"/>
      <c r="AK93" s="61" t="s">
        <v>827</v>
      </c>
      <c r="AL93" s="61" t="s">
        <v>828</v>
      </c>
    </row>
    <row r="94" customFormat="false" ht="15" hidden="false" customHeight="true" outlineLevel="0" collapsed="false">
      <c r="A94" s="61" t="s">
        <v>829</v>
      </c>
      <c r="B94" s="61" t="s">
        <v>330</v>
      </c>
      <c r="C94" s="61" t="s">
        <v>830</v>
      </c>
      <c r="D94" s="61" t="s">
        <v>831</v>
      </c>
      <c r="E94" s="61" t="s">
        <v>491</v>
      </c>
      <c r="F94" s="61" t="s">
        <v>221</v>
      </c>
      <c r="G94" s="61" t="s">
        <v>399</v>
      </c>
      <c r="H94" s="61" t="s">
        <v>355</v>
      </c>
      <c r="I94" s="58"/>
      <c r="J94" s="58"/>
      <c r="K94" s="58"/>
      <c r="L94" s="58"/>
      <c r="M94" s="58"/>
      <c r="N94" s="58"/>
      <c r="O94" s="58"/>
      <c r="P94" s="61" t="s">
        <v>355</v>
      </c>
      <c r="Q94" s="58"/>
      <c r="R94" s="61"/>
      <c r="S94" s="62"/>
      <c r="T94" s="61"/>
      <c r="U94" s="61" t="s">
        <v>401</v>
      </c>
      <c r="V94" s="61" t="s">
        <v>450</v>
      </c>
      <c r="W94" s="61"/>
      <c r="X94" s="61"/>
      <c r="Y94" s="63"/>
      <c r="Z94" s="61"/>
      <c r="AA94" s="61"/>
      <c r="AB94" s="61"/>
      <c r="AC94" s="61"/>
      <c r="AD94" s="61"/>
      <c r="AE94" s="62"/>
      <c r="AF94" s="62"/>
      <c r="AG94" s="63"/>
      <c r="AH94" s="61"/>
      <c r="AI94" s="61" t="s">
        <v>832</v>
      </c>
      <c r="AJ94" s="61"/>
      <c r="AK94" s="61" t="s">
        <v>827</v>
      </c>
      <c r="AL94" s="61" t="s">
        <v>833</v>
      </c>
    </row>
    <row r="95" customFormat="false" ht="15" hidden="false" customHeight="true" outlineLevel="0" collapsed="false">
      <c r="A95" s="61" t="s">
        <v>834</v>
      </c>
      <c r="B95" s="61" t="s">
        <v>330</v>
      </c>
      <c r="C95" s="61" t="s">
        <v>618</v>
      </c>
      <c r="D95" s="61" t="s">
        <v>619</v>
      </c>
      <c r="E95" s="61" t="s">
        <v>354</v>
      </c>
      <c r="F95" s="61" t="s">
        <v>221</v>
      </c>
      <c r="G95" s="61" t="s">
        <v>399</v>
      </c>
      <c r="H95" s="61" t="s">
        <v>355</v>
      </c>
      <c r="I95" s="58"/>
      <c r="J95" s="58"/>
      <c r="K95" s="58"/>
      <c r="L95" s="58"/>
      <c r="M95" s="58"/>
      <c r="N95" s="58" t="n">
        <v>46600</v>
      </c>
      <c r="O95" s="58"/>
      <c r="P95" s="61" t="s">
        <v>355</v>
      </c>
      <c r="Q95" s="58"/>
      <c r="R95" s="61"/>
      <c r="S95" s="62"/>
      <c r="T95" s="61"/>
      <c r="U95" s="61"/>
      <c r="V95" s="61"/>
      <c r="W95" s="61"/>
      <c r="X95" s="61"/>
      <c r="Y95" s="63"/>
      <c r="Z95" s="61"/>
      <c r="AA95" s="61"/>
      <c r="AB95" s="61"/>
      <c r="AC95" s="61"/>
      <c r="AD95" s="61"/>
      <c r="AE95" s="62"/>
      <c r="AF95" s="62"/>
      <c r="AG95" s="63"/>
      <c r="AH95" s="61"/>
      <c r="AI95" s="61" t="s">
        <v>835</v>
      </c>
      <c r="AJ95" s="61"/>
      <c r="AK95" s="61" t="s">
        <v>827</v>
      </c>
      <c r="AL95" s="61" t="s">
        <v>836</v>
      </c>
    </row>
    <row r="96" customFormat="false" ht="15" hidden="false" customHeight="true" outlineLevel="0" collapsed="false">
      <c r="A96" s="61" t="s">
        <v>837</v>
      </c>
      <c r="B96" s="61" t="s">
        <v>330</v>
      </c>
      <c r="C96" s="61" t="s">
        <v>838</v>
      </c>
      <c r="D96" s="61" t="s">
        <v>647</v>
      </c>
      <c r="E96" s="61" t="s">
        <v>491</v>
      </c>
      <c r="F96" s="61" t="s">
        <v>221</v>
      </c>
      <c r="G96" s="61"/>
      <c r="H96" s="61"/>
      <c r="I96" s="58"/>
      <c r="J96" s="58"/>
      <c r="K96" s="58"/>
      <c r="L96" s="58"/>
      <c r="M96" s="58"/>
      <c r="N96" s="58"/>
      <c r="O96" s="58"/>
      <c r="P96" s="61" t="s">
        <v>355</v>
      </c>
      <c r="Q96" s="58"/>
      <c r="R96" s="61"/>
      <c r="S96" s="62"/>
      <c r="T96" s="61"/>
      <c r="U96" s="61"/>
      <c r="V96" s="61"/>
      <c r="W96" s="61"/>
      <c r="X96" s="61"/>
      <c r="Y96" s="63"/>
      <c r="Z96" s="61"/>
      <c r="AA96" s="61"/>
      <c r="AB96" s="61"/>
      <c r="AC96" s="61"/>
      <c r="AD96" s="61"/>
      <c r="AE96" s="62"/>
      <c r="AF96" s="62"/>
      <c r="AG96" s="63"/>
      <c r="AH96" s="61"/>
      <c r="AI96" s="61"/>
      <c r="AJ96" s="61"/>
      <c r="AK96" s="61" t="s">
        <v>432</v>
      </c>
      <c r="AL96" s="61" t="s">
        <v>839</v>
      </c>
    </row>
    <row r="97" customFormat="false" ht="15" hidden="false" customHeight="true" outlineLevel="0" collapsed="false">
      <c r="A97" s="61" t="s">
        <v>840</v>
      </c>
      <c r="B97" s="61" t="s">
        <v>330</v>
      </c>
      <c r="C97" s="61" t="s">
        <v>841</v>
      </c>
      <c r="D97" s="61" t="s">
        <v>647</v>
      </c>
      <c r="E97" s="61" t="s">
        <v>491</v>
      </c>
      <c r="F97" s="61" t="s">
        <v>221</v>
      </c>
      <c r="G97" s="61"/>
      <c r="H97" s="61"/>
      <c r="I97" s="58"/>
      <c r="J97" s="58"/>
      <c r="K97" s="58"/>
      <c r="L97" s="58"/>
      <c r="M97" s="58"/>
      <c r="N97" s="58"/>
      <c r="O97" s="58"/>
      <c r="P97" s="61" t="s">
        <v>355</v>
      </c>
      <c r="Q97" s="58"/>
      <c r="R97" s="61"/>
      <c r="S97" s="62"/>
      <c r="T97" s="61"/>
      <c r="U97" s="61"/>
      <c r="V97" s="61"/>
      <c r="W97" s="61"/>
      <c r="X97" s="61"/>
      <c r="Y97" s="63"/>
      <c r="Z97" s="61"/>
      <c r="AA97" s="61"/>
      <c r="AB97" s="61"/>
      <c r="AC97" s="61"/>
      <c r="AD97" s="61"/>
      <c r="AE97" s="62"/>
      <c r="AF97" s="62"/>
      <c r="AG97" s="63"/>
      <c r="AH97" s="61"/>
      <c r="AI97" s="61"/>
      <c r="AJ97" s="61"/>
      <c r="AK97" s="61" t="s">
        <v>432</v>
      </c>
      <c r="AL97" s="61" t="s">
        <v>839</v>
      </c>
    </row>
    <row r="98" customFormat="false" ht="15" hidden="false" customHeight="true" outlineLevel="0" collapsed="false">
      <c r="A98" s="61" t="s">
        <v>842</v>
      </c>
      <c r="B98" s="61" t="s">
        <v>330</v>
      </c>
      <c r="C98" s="61" t="s">
        <v>843</v>
      </c>
      <c r="D98" s="61" t="s">
        <v>647</v>
      </c>
      <c r="E98" s="61" t="s">
        <v>491</v>
      </c>
      <c r="F98" s="61" t="s">
        <v>221</v>
      </c>
      <c r="G98" s="61"/>
      <c r="H98" s="61"/>
      <c r="I98" s="58"/>
      <c r="J98" s="58"/>
      <c r="K98" s="58"/>
      <c r="L98" s="58"/>
      <c r="M98" s="58"/>
      <c r="N98" s="58"/>
      <c r="O98" s="58"/>
      <c r="P98" s="61" t="s">
        <v>355</v>
      </c>
      <c r="Q98" s="58"/>
      <c r="R98" s="61"/>
      <c r="S98" s="62"/>
      <c r="T98" s="61"/>
      <c r="U98" s="61"/>
      <c r="V98" s="61"/>
      <c r="W98" s="61"/>
      <c r="X98" s="61"/>
      <c r="Y98" s="63"/>
      <c r="Z98" s="61"/>
      <c r="AA98" s="61"/>
      <c r="AB98" s="61"/>
      <c r="AC98" s="61"/>
      <c r="AD98" s="61"/>
      <c r="AE98" s="62"/>
      <c r="AF98" s="62"/>
      <c r="AG98" s="63"/>
      <c r="AH98" s="61"/>
      <c r="AI98" s="61"/>
      <c r="AJ98" s="61"/>
      <c r="AK98" s="61" t="s">
        <v>432</v>
      </c>
      <c r="AL98" s="61" t="s">
        <v>839</v>
      </c>
    </row>
    <row r="99" customFormat="false" ht="15" hidden="false" customHeight="true" outlineLevel="0" collapsed="false">
      <c r="A99" s="61" t="s">
        <v>844</v>
      </c>
      <c r="B99" s="61" t="s">
        <v>330</v>
      </c>
      <c r="C99" s="61" t="s">
        <v>845</v>
      </c>
      <c r="D99" s="61" t="s">
        <v>647</v>
      </c>
      <c r="E99" s="61" t="s">
        <v>491</v>
      </c>
      <c r="F99" s="61" t="s">
        <v>221</v>
      </c>
      <c r="G99" s="61"/>
      <c r="H99" s="61"/>
      <c r="I99" s="58"/>
      <c r="J99" s="58"/>
      <c r="K99" s="58"/>
      <c r="L99" s="58"/>
      <c r="M99" s="58"/>
      <c r="N99" s="58"/>
      <c r="O99" s="58"/>
      <c r="P99" s="61" t="s">
        <v>355</v>
      </c>
      <c r="Q99" s="58"/>
      <c r="R99" s="61"/>
      <c r="S99" s="62"/>
      <c r="T99" s="61"/>
      <c r="U99" s="61"/>
      <c r="V99" s="61"/>
      <c r="W99" s="61"/>
      <c r="X99" s="61"/>
      <c r="Y99" s="63"/>
      <c r="Z99" s="61"/>
      <c r="AA99" s="61"/>
      <c r="AB99" s="61"/>
      <c r="AC99" s="61"/>
      <c r="AD99" s="61"/>
      <c r="AE99" s="62"/>
      <c r="AF99" s="62"/>
      <c r="AG99" s="63"/>
      <c r="AH99" s="61"/>
      <c r="AI99" s="61"/>
      <c r="AJ99" s="61"/>
      <c r="AK99" s="61" t="s">
        <v>432</v>
      </c>
      <c r="AL99" s="61" t="s">
        <v>846</v>
      </c>
    </row>
    <row r="100" customFormat="false" ht="15" hidden="false" customHeight="true" outlineLevel="0" collapsed="false">
      <c r="A100" s="61" t="s">
        <v>847</v>
      </c>
      <c r="B100" s="61" t="s">
        <v>330</v>
      </c>
      <c r="C100" s="61" t="s">
        <v>848</v>
      </c>
      <c r="D100" s="61" t="s">
        <v>849</v>
      </c>
      <c r="E100" s="61" t="s">
        <v>354</v>
      </c>
      <c r="F100" s="61" t="s">
        <v>221</v>
      </c>
      <c r="G100" s="61"/>
      <c r="H100" s="61"/>
      <c r="I100" s="58"/>
      <c r="J100" s="58"/>
      <c r="K100" s="58"/>
      <c r="L100" s="58"/>
      <c r="M100" s="58"/>
      <c r="N100" s="58"/>
      <c r="O100" s="58"/>
      <c r="P100" s="61" t="s">
        <v>355</v>
      </c>
      <c r="Q100" s="58"/>
      <c r="R100" s="61"/>
      <c r="S100" s="62"/>
      <c r="T100" s="61"/>
      <c r="U100" s="61"/>
      <c r="V100" s="61"/>
      <c r="W100" s="61"/>
      <c r="X100" s="61"/>
      <c r="Y100" s="63"/>
      <c r="Z100" s="61"/>
      <c r="AA100" s="61"/>
      <c r="AB100" s="61"/>
      <c r="AC100" s="61"/>
      <c r="AD100" s="61"/>
      <c r="AE100" s="62"/>
      <c r="AF100" s="62"/>
      <c r="AG100" s="63"/>
      <c r="AH100" s="61"/>
      <c r="AI100" s="61"/>
      <c r="AJ100" s="61"/>
      <c r="AK100" s="61" t="s">
        <v>432</v>
      </c>
      <c r="AL100" s="61" t="s">
        <v>846</v>
      </c>
    </row>
    <row r="101" customFormat="false" ht="15" hidden="false" customHeight="true" outlineLevel="0" collapsed="false">
      <c r="A101" s="61" t="s">
        <v>850</v>
      </c>
      <c r="B101" s="61" t="s">
        <v>851</v>
      </c>
      <c r="C101" s="61" t="s">
        <v>852</v>
      </c>
      <c r="D101" s="61" t="s">
        <v>853</v>
      </c>
      <c r="E101" s="61" t="s">
        <v>491</v>
      </c>
      <c r="F101" s="61" t="s">
        <v>355</v>
      </c>
      <c r="G101" s="61" t="s">
        <v>854</v>
      </c>
      <c r="H101" s="61" t="s">
        <v>221</v>
      </c>
      <c r="I101" s="58"/>
      <c r="J101" s="58"/>
      <c r="K101" s="58"/>
      <c r="L101" s="58"/>
      <c r="M101" s="58" t="n">
        <v>46327</v>
      </c>
      <c r="N101" s="58" t="n">
        <v>46388</v>
      </c>
      <c r="O101" s="58"/>
      <c r="P101" s="61" t="s">
        <v>355</v>
      </c>
      <c r="Q101" s="58"/>
      <c r="R101" s="61" t="s">
        <v>855</v>
      </c>
      <c r="S101" s="62" t="n">
        <v>95</v>
      </c>
      <c r="T101" s="61" t="s">
        <v>856</v>
      </c>
      <c r="U101" s="61" t="s">
        <v>214</v>
      </c>
      <c r="V101" s="61" t="s">
        <v>857</v>
      </c>
      <c r="W101" s="61"/>
      <c r="X101" s="61" t="s">
        <v>858</v>
      </c>
      <c r="Y101" s="63" t="n">
        <v>0.0365</v>
      </c>
      <c r="Z101" s="61"/>
      <c r="AA101" s="61"/>
      <c r="AB101" s="61"/>
      <c r="AC101" s="61"/>
      <c r="AD101" s="61"/>
      <c r="AE101" s="62"/>
      <c r="AF101" s="62"/>
      <c r="AG101" s="63" t="n">
        <v>0.98</v>
      </c>
      <c r="AH101" s="61" t="n">
        <v>5</v>
      </c>
      <c r="AI101" s="61" t="s">
        <v>859</v>
      </c>
      <c r="AJ101" s="61" t="s">
        <v>860</v>
      </c>
      <c r="AK101" s="61" t="s">
        <v>370</v>
      </c>
      <c r="AL101" s="61" t="s">
        <v>861</v>
      </c>
    </row>
    <row r="102" customFormat="false" ht="15" hidden="false" customHeight="true" outlineLevel="0" collapsed="false">
      <c r="A102" s="61" t="s">
        <v>862</v>
      </c>
      <c r="B102" s="61" t="s">
        <v>851</v>
      </c>
      <c r="C102" s="61" t="s">
        <v>863</v>
      </c>
      <c r="D102" s="61" t="s">
        <v>864</v>
      </c>
      <c r="E102" s="61" t="s">
        <v>491</v>
      </c>
      <c r="F102" s="61" t="s">
        <v>355</v>
      </c>
      <c r="G102" s="61" t="s">
        <v>865</v>
      </c>
      <c r="H102" s="61" t="s">
        <v>221</v>
      </c>
      <c r="I102" s="58"/>
      <c r="J102" s="58"/>
      <c r="K102" s="58"/>
      <c r="L102" s="58"/>
      <c r="M102" s="58" t="n">
        <v>46327</v>
      </c>
      <c r="N102" s="58" t="n">
        <v>46389</v>
      </c>
      <c r="O102" s="58"/>
      <c r="P102" s="61" t="s">
        <v>355</v>
      </c>
      <c r="Q102" s="58"/>
      <c r="R102" s="61" t="s">
        <v>855</v>
      </c>
      <c r="S102" s="62" t="n">
        <v>80</v>
      </c>
      <c r="T102" s="61" t="s">
        <v>866</v>
      </c>
      <c r="U102" s="61" t="s">
        <v>214</v>
      </c>
      <c r="V102" s="61" t="s">
        <v>867</v>
      </c>
      <c r="W102" s="61" t="s">
        <v>868</v>
      </c>
      <c r="X102" s="61"/>
      <c r="Y102" s="63"/>
      <c r="Z102" s="61"/>
      <c r="AA102" s="61"/>
      <c r="AB102" s="61"/>
      <c r="AC102" s="61"/>
      <c r="AD102" s="61"/>
      <c r="AE102" s="62"/>
      <c r="AF102" s="62"/>
      <c r="AG102" s="63"/>
      <c r="AH102" s="61" t="n">
        <v>4</v>
      </c>
      <c r="AI102" s="61" t="s">
        <v>869</v>
      </c>
      <c r="AJ102" s="61" t="s">
        <v>870</v>
      </c>
      <c r="AK102" s="61" t="s">
        <v>362</v>
      </c>
      <c r="AL102" s="61" t="s">
        <v>871</v>
      </c>
    </row>
    <row r="103" customFormat="false" ht="15" hidden="false" customHeight="true" outlineLevel="0" collapsed="false">
      <c r="A103" s="61" t="s">
        <v>872</v>
      </c>
      <c r="B103" s="61" t="s">
        <v>851</v>
      </c>
      <c r="C103" s="61" t="s">
        <v>873</v>
      </c>
      <c r="D103" s="61" t="s">
        <v>874</v>
      </c>
      <c r="E103" s="61" t="s">
        <v>491</v>
      </c>
      <c r="F103" s="61" t="s">
        <v>355</v>
      </c>
      <c r="G103" s="61" t="s">
        <v>865</v>
      </c>
      <c r="H103" s="61" t="s">
        <v>221</v>
      </c>
      <c r="I103" s="58"/>
      <c r="J103" s="58"/>
      <c r="K103" s="58"/>
      <c r="L103" s="58"/>
      <c r="M103" s="58" t="n">
        <v>46327</v>
      </c>
      <c r="N103" s="58" t="n">
        <v>46388</v>
      </c>
      <c r="O103" s="58"/>
      <c r="P103" s="61" t="s">
        <v>355</v>
      </c>
      <c r="Q103" s="58"/>
      <c r="R103" s="61" t="s">
        <v>855</v>
      </c>
      <c r="S103" s="62"/>
      <c r="T103" s="61" t="s">
        <v>875</v>
      </c>
      <c r="U103" s="61" t="s">
        <v>401</v>
      </c>
      <c r="V103" s="61" t="s">
        <v>876</v>
      </c>
      <c r="W103" s="61"/>
      <c r="X103" s="61" t="s">
        <v>877</v>
      </c>
      <c r="Y103" s="63"/>
      <c r="Z103" s="61"/>
      <c r="AA103" s="61"/>
      <c r="AB103" s="61"/>
      <c r="AC103" s="61"/>
      <c r="AD103" s="61"/>
      <c r="AE103" s="62"/>
      <c r="AF103" s="62"/>
      <c r="AG103" s="63"/>
      <c r="AH103" s="61" t="n">
        <v>5</v>
      </c>
      <c r="AI103" s="61" t="s">
        <v>878</v>
      </c>
      <c r="AJ103" s="61" t="s">
        <v>879</v>
      </c>
      <c r="AK103" s="61" t="s">
        <v>370</v>
      </c>
      <c r="AL103" s="61" t="s">
        <v>880</v>
      </c>
    </row>
    <row r="104" customFormat="false" ht="15" hidden="false" customHeight="true" outlineLevel="0" collapsed="false">
      <c r="A104" s="61" t="s">
        <v>881</v>
      </c>
      <c r="B104" s="61" t="s">
        <v>851</v>
      </c>
      <c r="C104" s="61" t="s">
        <v>882</v>
      </c>
      <c r="D104" s="61" t="s">
        <v>883</v>
      </c>
      <c r="E104" s="61" t="s">
        <v>491</v>
      </c>
      <c r="F104" s="61" t="s">
        <v>355</v>
      </c>
      <c r="G104" s="61" t="s">
        <v>865</v>
      </c>
      <c r="H104" s="61" t="s">
        <v>221</v>
      </c>
      <c r="I104" s="58" t="n">
        <v>46327</v>
      </c>
      <c r="J104" s="58"/>
      <c r="K104" s="58"/>
      <c r="L104" s="58"/>
      <c r="M104" s="58"/>
      <c r="N104" s="58" t="n">
        <v>46388</v>
      </c>
      <c r="O104" s="58"/>
      <c r="P104" s="61" t="s">
        <v>355</v>
      </c>
      <c r="Q104" s="58"/>
      <c r="R104" s="61" t="s">
        <v>855</v>
      </c>
      <c r="S104" s="62" t="n">
        <v>85</v>
      </c>
      <c r="T104" s="61" t="s">
        <v>884</v>
      </c>
      <c r="U104" s="61" t="s">
        <v>401</v>
      </c>
      <c r="V104" s="61" t="s">
        <v>885</v>
      </c>
      <c r="W104" s="61"/>
      <c r="X104" s="61" t="s">
        <v>886</v>
      </c>
      <c r="Y104" s="63"/>
      <c r="Z104" s="61"/>
      <c r="AA104" s="61"/>
      <c r="AB104" s="61"/>
      <c r="AC104" s="61"/>
      <c r="AD104" s="61"/>
      <c r="AE104" s="62"/>
      <c r="AF104" s="62"/>
      <c r="AG104" s="63"/>
      <c r="AH104" s="61" t="n">
        <v>5</v>
      </c>
      <c r="AI104" s="61" t="s">
        <v>887</v>
      </c>
      <c r="AJ104" s="61" t="s">
        <v>888</v>
      </c>
      <c r="AK104" s="61" t="s">
        <v>370</v>
      </c>
      <c r="AL104" s="61" t="s">
        <v>889</v>
      </c>
    </row>
    <row r="105" customFormat="false" ht="15" hidden="false" customHeight="true" outlineLevel="0" collapsed="false">
      <c r="A105" s="61" t="s">
        <v>890</v>
      </c>
      <c r="B105" s="61" t="s">
        <v>851</v>
      </c>
      <c r="C105" s="61" t="s">
        <v>891</v>
      </c>
      <c r="D105" s="61" t="s">
        <v>808</v>
      </c>
      <c r="E105" s="61" t="s">
        <v>491</v>
      </c>
      <c r="F105" s="61" t="s">
        <v>355</v>
      </c>
      <c r="G105" s="61" t="s">
        <v>865</v>
      </c>
      <c r="H105" s="61" t="s">
        <v>221</v>
      </c>
      <c r="I105" s="58" t="n">
        <v>46327</v>
      </c>
      <c r="J105" s="58"/>
      <c r="K105" s="58"/>
      <c r="L105" s="58"/>
      <c r="M105" s="58"/>
      <c r="N105" s="58" t="n">
        <v>46392</v>
      </c>
      <c r="O105" s="58"/>
      <c r="P105" s="61" t="s">
        <v>355</v>
      </c>
      <c r="Q105" s="58"/>
      <c r="R105" s="61" t="s">
        <v>855</v>
      </c>
      <c r="S105" s="62" t="n">
        <v>75</v>
      </c>
      <c r="T105" s="61" t="s">
        <v>892</v>
      </c>
      <c r="U105" s="61" t="s">
        <v>214</v>
      </c>
      <c r="V105" s="61" t="s">
        <v>893</v>
      </c>
      <c r="W105" s="61" t="s">
        <v>214</v>
      </c>
      <c r="X105" s="61"/>
      <c r="Y105" s="63"/>
      <c r="Z105" s="61"/>
      <c r="AA105" s="61"/>
      <c r="AB105" s="61"/>
      <c r="AC105" s="61"/>
      <c r="AD105" s="61"/>
      <c r="AE105" s="62"/>
      <c r="AF105" s="62"/>
      <c r="AG105" s="63"/>
      <c r="AH105" s="61" t="n">
        <v>5</v>
      </c>
      <c r="AI105" s="61" t="s">
        <v>894</v>
      </c>
      <c r="AJ105" s="61" t="s">
        <v>895</v>
      </c>
      <c r="AK105" s="61" t="s">
        <v>362</v>
      </c>
      <c r="AL105" s="61" t="s">
        <v>896</v>
      </c>
    </row>
    <row r="106" customFormat="false" ht="15" hidden="false" customHeight="true" outlineLevel="0" collapsed="false">
      <c r="A106" s="61" t="s">
        <v>897</v>
      </c>
      <c r="B106" s="61" t="s">
        <v>851</v>
      </c>
      <c r="C106" s="61" t="s">
        <v>898</v>
      </c>
      <c r="D106" s="61" t="s">
        <v>899</v>
      </c>
      <c r="E106" s="61" t="s">
        <v>491</v>
      </c>
      <c r="F106" s="61" t="s">
        <v>355</v>
      </c>
      <c r="G106" s="61" t="s">
        <v>865</v>
      </c>
      <c r="H106" s="61" t="s">
        <v>221</v>
      </c>
      <c r="I106" s="58" t="n">
        <v>46327</v>
      </c>
      <c r="J106" s="58"/>
      <c r="K106" s="58"/>
      <c r="L106" s="58"/>
      <c r="M106" s="58"/>
      <c r="N106" s="58" t="n">
        <v>46392</v>
      </c>
      <c r="O106" s="58"/>
      <c r="P106" s="61" t="s">
        <v>355</v>
      </c>
      <c r="Q106" s="58"/>
      <c r="R106" s="61" t="s">
        <v>855</v>
      </c>
      <c r="S106" s="62" t="n">
        <v>80</v>
      </c>
      <c r="T106" s="61" t="s">
        <v>900</v>
      </c>
      <c r="U106" s="61" t="s">
        <v>214</v>
      </c>
      <c r="V106" s="61" t="s">
        <v>901</v>
      </c>
      <c r="W106" s="61"/>
      <c r="X106" s="61"/>
      <c r="Y106" s="63"/>
      <c r="Z106" s="61"/>
      <c r="AA106" s="61"/>
      <c r="AB106" s="61"/>
      <c r="AC106" s="61"/>
      <c r="AD106" s="61"/>
      <c r="AE106" s="62"/>
      <c r="AF106" s="62"/>
      <c r="AG106" s="63"/>
      <c r="AH106" s="61" t="n">
        <v>4</v>
      </c>
      <c r="AI106" s="61" t="s">
        <v>902</v>
      </c>
      <c r="AJ106" s="61" t="s">
        <v>903</v>
      </c>
      <c r="AK106" s="61" t="s">
        <v>370</v>
      </c>
      <c r="AL106" s="61" t="s">
        <v>904</v>
      </c>
    </row>
    <row r="107" customFormat="false" ht="15" hidden="false" customHeight="true" outlineLevel="0" collapsed="false">
      <c r="A107" s="61" t="s">
        <v>905</v>
      </c>
      <c r="B107" s="61" t="s">
        <v>851</v>
      </c>
      <c r="C107" s="61" t="s">
        <v>906</v>
      </c>
      <c r="D107" s="61" t="s">
        <v>907</v>
      </c>
      <c r="E107" s="61" t="s">
        <v>491</v>
      </c>
      <c r="F107" s="61" t="s">
        <v>355</v>
      </c>
      <c r="G107" s="61" t="s">
        <v>492</v>
      </c>
      <c r="H107" s="61" t="s">
        <v>221</v>
      </c>
      <c r="I107" s="58" t="n">
        <v>46327</v>
      </c>
      <c r="J107" s="58"/>
      <c r="K107" s="58"/>
      <c r="L107" s="58"/>
      <c r="M107" s="58"/>
      <c r="N107" s="58" t="n">
        <v>46388</v>
      </c>
      <c r="O107" s="58"/>
      <c r="P107" s="61" t="s">
        <v>355</v>
      </c>
      <c r="Q107" s="58"/>
      <c r="R107" s="61" t="s">
        <v>908</v>
      </c>
      <c r="S107" s="62" t="n">
        <v>80</v>
      </c>
      <c r="T107" s="61" t="s">
        <v>909</v>
      </c>
      <c r="U107" s="61" t="s">
        <v>214</v>
      </c>
      <c r="V107" s="61" t="s">
        <v>910</v>
      </c>
      <c r="W107" s="61" t="s">
        <v>214</v>
      </c>
      <c r="X107" s="61" t="s">
        <v>911</v>
      </c>
      <c r="Y107" s="63" t="n">
        <v>0.054</v>
      </c>
      <c r="Z107" s="61" t="n">
        <v>1500</v>
      </c>
      <c r="AA107" s="61" t="n">
        <v>1570</v>
      </c>
      <c r="AB107" s="61" t="n">
        <v>33</v>
      </c>
      <c r="AC107" s="61" t="n">
        <v>35</v>
      </c>
      <c r="AD107" s="61"/>
      <c r="AE107" s="62" t="n">
        <v>22476</v>
      </c>
      <c r="AF107" s="62" t="n">
        <v>45</v>
      </c>
      <c r="AG107" s="63" t="n">
        <v>0.95</v>
      </c>
      <c r="AH107" s="61" t="n">
        <v>3</v>
      </c>
      <c r="AI107" s="61" t="s">
        <v>912</v>
      </c>
      <c r="AJ107" s="61" t="s">
        <v>913</v>
      </c>
      <c r="AK107" s="61" t="s">
        <v>370</v>
      </c>
      <c r="AL107" s="61" t="s">
        <v>914</v>
      </c>
    </row>
    <row r="108" customFormat="false" ht="15" hidden="false" customHeight="true" outlineLevel="0" collapsed="false">
      <c r="A108" s="61" t="s">
        <v>915</v>
      </c>
      <c r="B108" s="61" t="s">
        <v>851</v>
      </c>
      <c r="C108" s="61" t="s">
        <v>916</v>
      </c>
      <c r="D108" s="61" t="s">
        <v>883</v>
      </c>
      <c r="E108" s="61" t="s">
        <v>491</v>
      </c>
      <c r="F108" s="61" t="s">
        <v>355</v>
      </c>
      <c r="G108" s="61" t="s">
        <v>492</v>
      </c>
      <c r="H108" s="61" t="s">
        <v>221</v>
      </c>
      <c r="I108" s="58" t="n">
        <v>46327</v>
      </c>
      <c r="J108" s="58"/>
      <c r="K108" s="58"/>
      <c r="L108" s="58"/>
      <c r="M108" s="58"/>
      <c r="N108" s="58" t="n">
        <v>46389</v>
      </c>
      <c r="O108" s="58"/>
      <c r="P108" s="61" t="s">
        <v>355</v>
      </c>
      <c r="Q108" s="58"/>
      <c r="R108" s="61" t="s">
        <v>908</v>
      </c>
      <c r="S108" s="62" t="n">
        <v>85</v>
      </c>
      <c r="T108" s="61" t="s">
        <v>917</v>
      </c>
      <c r="U108" s="61" t="s">
        <v>214</v>
      </c>
      <c r="V108" s="61" t="s">
        <v>918</v>
      </c>
      <c r="W108" s="61" t="s">
        <v>868</v>
      </c>
      <c r="X108" s="61"/>
      <c r="Y108" s="63" t="n">
        <v>0.088</v>
      </c>
      <c r="Z108" s="61" t="n">
        <v>1500</v>
      </c>
      <c r="AA108" s="61" t="n">
        <v>1570</v>
      </c>
      <c r="AB108" s="61" t="n">
        <v>33</v>
      </c>
      <c r="AC108" s="61" t="n">
        <v>35</v>
      </c>
      <c r="AD108" s="61"/>
      <c r="AE108" s="62" t="n">
        <v>29482</v>
      </c>
      <c r="AF108" s="62" t="n">
        <v>1986</v>
      </c>
      <c r="AG108" s="63" t="n">
        <v>0.93</v>
      </c>
      <c r="AH108" s="61" t="n">
        <v>2</v>
      </c>
      <c r="AI108" s="61" t="s">
        <v>919</v>
      </c>
      <c r="AJ108" s="61" t="s">
        <v>920</v>
      </c>
      <c r="AK108" s="61" t="s">
        <v>370</v>
      </c>
      <c r="AL108" s="61" t="s">
        <v>921</v>
      </c>
    </row>
    <row r="109" customFormat="false" ht="15" hidden="false" customHeight="true" outlineLevel="0" collapsed="false">
      <c r="A109" s="61" t="s">
        <v>922</v>
      </c>
      <c r="B109" s="61" t="s">
        <v>923</v>
      </c>
      <c r="C109" s="61" t="s">
        <v>924</v>
      </c>
      <c r="D109" s="61" t="s">
        <v>925</v>
      </c>
      <c r="E109" s="61" t="s">
        <v>491</v>
      </c>
      <c r="F109" s="61" t="s">
        <v>355</v>
      </c>
      <c r="G109" s="61" t="s">
        <v>492</v>
      </c>
      <c r="H109" s="61" t="s">
        <v>221</v>
      </c>
      <c r="I109" s="58"/>
      <c r="J109" s="58"/>
      <c r="K109" s="58"/>
      <c r="L109" s="58"/>
      <c r="M109" s="58" t="n">
        <v>46310</v>
      </c>
      <c r="N109" s="58" t="n">
        <v>46392</v>
      </c>
      <c r="O109" s="58"/>
      <c r="P109" s="61" t="s">
        <v>355</v>
      </c>
      <c r="Q109" s="58"/>
      <c r="R109" s="61" t="s">
        <v>908</v>
      </c>
      <c r="S109" s="62" t="n">
        <v>100</v>
      </c>
      <c r="T109" s="61" t="s">
        <v>926</v>
      </c>
      <c r="U109" s="61" t="s">
        <v>214</v>
      </c>
      <c r="V109" s="61" t="s">
        <v>927</v>
      </c>
      <c r="W109" s="61"/>
      <c r="X109" s="61" t="s">
        <v>928</v>
      </c>
      <c r="Y109" s="63" t="n">
        <v>0.036</v>
      </c>
      <c r="Z109" s="61" t="n">
        <v>1510</v>
      </c>
      <c r="AA109" s="61" t="n">
        <v>1580</v>
      </c>
      <c r="AB109" s="61" t="n">
        <v>34</v>
      </c>
      <c r="AC109" s="61" t="n">
        <v>35</v>
      </c>
      <c r="AD109" s="61"/>
      <c r="AE109" s="62" t="n">
        <v>28479</v>
      </c>
      <c r="AF109" s="62" t="n">
        <v>0</v>
      </c>
      <c r="AG109" s="63" t="n">
        <v>0.96</v>
      </c>
      <c r="AH109" s="61" t="n">
        <v>4</v>
      </c>
      <c r="AI109" s="61" t="s">
        <v>929</v>
      </c>
      <c r="AJ109" s="61" t="s">
        <v>930</v>
      </c>
      <c r="AK109" s="61" t="s">
        <v>370</v>
      </c>
      <c r="AL109" s="61" t="s">
        <v>931</v>
      </c>
    </row>
    <row r="110" customFormat="false" ht="15" hidden="false" customHeight="true" outlineLevel="0" collapsed="false">
      <c r="A110" s="61" t="s">
        <v>932</v>
      </c>
      <c r="B110" s="61" t="s">
        <v>923</v>
      </c>
      <c r="C110" s="61" t="s">
        <v>852</v>
      </c>
      <c r="D110" s="61" t="s">
        <v>853</v>
      </c>
      <c r="E110" s="61" t="s">
        <v>491</v>
      </c>
      <c r="F110" s="61" t="s">
        <v>355</v>
      </c>
      <c r="G110" s="61" t="s">
        <v>933</v>
      </c>
      <c r="H110" s="61" t="s">
        <v>355</v>
      </c>
      <c r="I110" s="58"/>
      <c r="J110" s="58"/>
      <c r="K110" s="58" t="n">
        <v>46327</v>
      </c>
      <c r="L110" s="58"/>
      <c r="M110" s="58"/>
      <c r="N110" s="58" t="n">
        <v>46391</v>
      </c>
      <c r="O110" s="58"/>
      <c r="P110" s="61" t="s">
        <v>355</v>
      </c>
      <c r="Q110" s="58"/>
      <c r="R110" s="61" t="s">
        <v>908</v>
      </c>
      <c r="S110" s="62" t="n">
        <v>75</v>
      </c>
      <c r="T110" s="61" t="s">
        <v>926</v>
      </c>
      <c r="U110" s="61" t="s">
        <v>214</v>
      </c>
      <c r="V110" s="61" t="s">
        <v>934</v>
      </c>
      <c r="W110" s="61" t="s">
        <v>214</v>
      </c>
      <c r="X110" s="61" t="s">
        <v>935</v>
      </c>
      <c r="Y110" s="63" t="n">
        <v>0.045</v>
      </c>
      <c r="Z110" s="61" t="n">
        <v>1520</v>
      </c>
      <c r="AA110" s="61" t="n">
        <v>1580</v>
      </c>
      <c r="AB110" s="61" t="n">
        <v>34</v>
      </c>
      <c r="AC110" s="61" t="n">
        <v>36</v>
      </c>
      <c r="AD110" s="61"/>
      <c r="AE110" s="62" t="n">
        <v>23218</v>
      </c>
      <c r="AF110" s="62" t="n">
        <v>0</v>
      </c>
      <c r="AG110" s="63" t="n">
        <v>0.93</v>
      </c>
      <c r="AH110" s="61" t="n">
        <v>5</v>
      </c>
      <c r="AI110" s="61" t="s">
        <v>936</v>
      </c>
      <c r="AJ110" s="61" t="s">
        <v>937</v>
      </c>
      <c r="AK110" s="61" t="s">
        <v>370</v>
      </c>
      <c r="AL110" s="61" t="s">
        <v>938</v>
      </c>
    </row>
    <row r="111" customFormat="false" ht="15" hidden="false" customHeight="true" outlineLevel="0" collapsed="false">
      <c r="A111" s="61" t="s">
        <v>939</v>
      </c>
      <c r="B111" s="61" t="s">
        <v>923</v>
      </c>
      <c r="C111" s="61" t="s">
        <v>744</v>
      </c>
      <c r="D111" s="61" t="s">
        <v>642</v>
      </c>
      <c r="E111" s="61" t="s">
        <v>491</v>
      </c>
      <c r="F111" s="61" t="s">
        <v>355</v>
      </c>
      <c r="G111" s="61" t="s">
        <v>492</v>
      </c>
      <c r="H111" s="61" t="s">
        <v>221</v>
      </c>
      <c r="I111" s="58" t="n">
        <v>46328</v>
      </c>
      <c r="J111" s="58"/>
      <c r="K111" s="58"/>
      <c r="L111" s="58"/>
      <c r="M111" s="58"/>
      <c r="N111" s="58" t="n">
        <v>46391</v>
      </c>
      <c r="O111" s="58"/>
      <c r="P111" s="61" t="s">
        <v>355</v>
      </c>
      <c r="Q111" s="58"/>
      <c r="R111" s="61" t="s">
        <v>940</v>
      </c>
      <c r="S111" s="62" t="n">
        <v>85</v>
      </c>
      <c r="T111" s="61" t="s">
        <v>941</v>
      </c>
      <c r="U111" s="61" t="s">
        <v>401</v>
      </c>
      <c r="V111" s="61" t="s">
        <v>942</v>
      </c>
      <c r="W111" s="61" t="s">
        <v>214</v>
      </c>
      <c r="X111" s="61" t="s">
        <v>943</v>
      </c>
      <c r="Y111" s="63" t="n">
        <v>0.057</v>
      </c>
      <c r="Z111" s="61" t="n">
        <v>1500</v>
      </c>
      <c r="AA111" s="61" t="n">
        <v>1570</v>
      </c>
      <c r="AB111" s="61" t="n">
        <v>34</v>
      </c>
      <c r="AC111" s="61" t="n">
        <v>35</v>
      </c>
      <c r="AD111" s="61"/>
      <c r="AE111" s="62" t="n">
        <v>24394</v>
      </c>
      <c r="AF111" s="62" t="n">
        <v>816</v>
      </c>
      <c r="AG111" s="63" t="n">
        <v>0.94</v>
      </c>
      <c r="AH111" s="61" t="n">
        <v>2</v>
      </c>
      <c r="AI111" s="61" t="s">
        <v>944</v>
      </c>
      <c r="AJ111" s="61" t="s">
        <v>944</v>
      </c>
      <c r="AK111" s="61" t="s">
        <v>362</v>
      </c>
      <c r="AL111" s="61" t="s">
        <v>945</v>
      </c>
    </row>
    <row r="112" customFormat="false" ht="15" hidden="false" customHeight="true" outlineLevel="0" collapsed="false">
      <c r="A112" s="61" t="s">
        <v>946</v>
      </c>
      <c r="B112" s="61" t="s">
        <v>923</v>
      </c>
      <c r="C112" s="61" t="s">
        <v>683</v>
      </c>
      <c r="D112" s="61" t="s">
        <v>684</v>
      </c>
      <c r="E112" s="61" t="s">
        <v>491</v>
      </c>
      <c r="F112" s="61" t="s">
        <v>355</v>
      </c>
      <c r="G112" s="61" t="s">
        <v>492</v>
      </c>
      <c r="H112" s="61" t="s">
        <v>221</v>
      </c>
      <c r="I112" s="58" t="n">
        <v>46327</v>
      </c>
      <c r="J112" s="58" t="n">
        <v>46388</v>
      </c>
      <c r="K112" s="58"/>
      <c r="L112" s="58"/>
      <c r="M112" s="58"/>
      <c r="N112" s="58" t="n">
        <v>46388</v>
      </c>
      <c r="O112" s="58"/>
      <c r="P112" s="61" t="s">
        <v>355</v>
      </c>
      <c r="Q112" s="58"/>
      <c r="R112" s="61"/>
      <c r="S112" s="62"/>
      <c r="T112" s="61"/>
      <c r="U112" s="61"/>
      <c r="V112" s="61"/>
      <c r="W112" s="61"/>
      <c r="X112" s="61"/>
      <c r="Y112" s="63" t="n">
        <v>0.063</v>
      </c>
      <c r="Z112" s="61" t="n">
        <v>1510</v>
      </c>
      <c r="AA112" s="61" t="n">
        <v>1560</v>
      </c>
      <c r="AB112" s="61" t="n">
        <v>34</v>
      </c>
      <c r="AC112" s="61" t="n">
        <v>35</v>
      </c>
      <c r="AD112" s="61"/>
      <c r="AE112" s="62" t="n">
        <v>28527</v>
      </c>
      <c r="AF112" s="62" t="n">
        <v>3867</v>
      </c>
      <c r="AG112" s="63" t="n">
        <v>0.92</v>
      </c>
      <c r="AH112" s="61"/>
      <c r="AI112" s="61"/>
      <c r="AJ112" s="61"/>
      <c r="AK112" s="61" t="s">
        <v>589</v>
      </c>
      <c r="AL112" s="61" t="s">
        <v>947</v>
      </c>
    </row>
    <row r="113" customFormat="false" ht="15" hidden="false" customHeight="true" outlineLevel="0" collapsed="false">
      <c r="A113" s="61" t="s">
        <v>948</v>
      </c>
      <c r="B113" s="61" t="s">
        <v>923</v>
      </c>
      <c r="C113" s="61" t="s">
        <v>701</v>
      </c>
      <c r="D113" s="61" t="s">
        <v>695</v>
      </c>
      <c r="E113" s="61" t="s">
        <v>491</v>
      </c>
      <c r="F113" s="61" t="s">
        <v>355</v>
      </c>
      <c r="G113" s="61" t="s">
        <v>492</v>
      </c>
      <c r="H113" s="61" t="s">
        <v>221</v>
      </c>
      <c r="I113" s="58" t="n">
        <v>46327</v>
      </c>
      <c r="J113" s="58"/>
      <c r="K113" s="58"/>
      <c r="L113" s="58"/>
      <c r="M113" s="58"/>
      <c r="N113" s="58" t="n">
        <v>46391</v>
      </c>
      <c r="O113" s="58"/>
      <c r="P113" s="61" t="s">
        <v>355</v>
      </c>
      <c r="Q113" s="58"/>
      <c r="R113" s="61"/>
      <c r="S113" s="62"/>
      <c r="T113" s="61"/>
      <c r="U113" s="61"/>
      <c r="V113" s="61"/>
      <c r="W113" s="61"/>
      <c r="X113" s="61"/>
      <c r="Y113" s="63" t="n">
        <v>0.08</v>
      </c>
      <c r="Z113" s="61" t="n">
        <v>1510</v>
      </c>
      <c r="AA113" s="61" t="n">
        <v>1570</v>
      </c>
      <c r="AB113" s="61" t="n">
        <v>34</v>
      </c>
      <c r="AC113" s="61" t="n">
        <v>35</v>
      </c>
      <c r="AD113" s="61"/>
      <c r="AE113" s="62" t="n">
        <v>28693</v>
      </c>
      <c r="AF113" s="62" t="n">
        <v>7088</v>
      </c>
      <c r="AG113" s="63" t="n">
        <v>0.92</v>
      </c>
      <c r="AH113" s="61"/>
      <c r="AI113" s="61"/>
      <c r="AJ113" s="61"/>
      <c r="AK113" s="61" t="s">
        <v>589</v>
      </c>
      <c r="AL113" s="61" t="s">
        <v>947</v>
      </c>
    </row>
    <row r="114" customFormat="false" ht="15" hidden="false" customHeight="true" outlineLevel="0" collapsed="false">
      <c r="A114" s="61" t="s">
        <v>949</v>
      </c>
      <c r="B114" s="61" t="s">
        <v>923</v>
      </c>
      <c r="C114" s="61" t="s">
        <v>950</v>
      </c>
      <c r="D114" s="61" t="s">
        <v>951</v>
      </c>
      <c r="E114" s="61" t="s">
        <v>491</v>
      </c>
      <c r="F114" s="61" t="s">
        <v>355</v>
      </c>
      <c r="G114" s="61" t="s">
        <v>492</v>
      </c>
      <c r="H114" s="61" t="s">
        <v>221</v>
      </c>
      <c r="I114" s="58" t="n">
        <v>46327</v>
      </c>
      <c r="J114" s="58"/>
      <c r="K114" s="58"/>
      <c r="L114" s="58"/>
      <c r="M114" s="58"/>
      <c r="N114" s="58" t="n">
        <v>46389</v>
      </c>
      <c r="O114" s="58"/>
      <c r="P114" s="61" t="s">
        <v>355</v>
      </c>
      <c r="Q114" s="58"/>
      <c r="R114" s="61"/>
      <c r="S114" s="62"/>
      <c r="T114" s="61"/>
      <c r="U114" s="61"/>
      <c r="V114" s="61"/>
      <c r="W114" s="61"/>
      <c r="X114" s="61"/>
      <c r="Y114" s="63" t="n">
        <v>0.077</v>
      </c>
      <c r="Z114" s="61" t="n">
        <v>1510</v>
      </c>
      <c r="AA114" s="61" t="n">
        <v>1570</v>
      </c>
      <c r="AB114" s="61" t="n">
        <v>33</v>
      </c>
      <c r="AC114" s="61" t="n">
        <v>35</v>
      </c>
      <c r="AD114" s="61"/>
      <c r="AE114" s="62" t="n">
        <v>29826</v>
      </c>
      <c r="AF114" s="62" t="n">
        <v>1961</v>
      </c>
      <c r="AG114" s="63" t="n">
        <v>0.94</v>
      </c>
      <c r="AH114" s="61"/>
      <c r="AI114" s="61"/>
      <c r="AJ114" s="61"/>
      <c r="AK114" s="61" t="s">
        <v>589</v>
      </c>
      <c r="AL114" s="61" t="s">
        <v>947</v>
      </c>
    </row>
    <row r="115" customFormat="false" ht="15" hidden="false" customHeight="true" outlineLevel="0" collapsed="false">
      <c r="A115" s="61" t="s">
        <v>952</v>
      </c>
      <c r="B115" s="61" t="s">
        <v>923</v>
      </c>
      <c r="C115" s="61" t="s">
        <v>953</v>
      </c>
      <c r="D115" s="61" t="s">
        <v>951</v>
      </c>
      <c r="E115" s="61" t="s">
        <v>491</v>
      </c>
      <c r="F115" s="61" t="s">
        <v>355</v>
      </c>
      <c r="G115" s="61" t="s">
        <v>492</v>
      </c>
      <c r="H115" s="61" t="s">
        <v>221</v>
      </c>
      <c r="I115" s="58" t="n">
        <v>46327</v>
      </c>
      <c r="J115" s="58" t="n">
        <v>46389</v>
      </c>
      <c r="K115" s="58" t="n">
        <v>46327</v>
      </c>
      <c r="L115" s="58"/>
      <c r="M115" s="58"/>
      <c r="N115" s="58" t="n">
        <v>46389</v>
      </c>
      <c r="O115" s="58"/>
      <c r="P115" s="61" t="s">
        <v>355</v>
      </c>
      <c r="Q115" s="58"/>
      <c r="R115" s="61"/>
      <c r="S115" s="62"/>
      <c r="T115" s="61"/>
      <c r="U115" s="61"/>
      <c r="V115" s="61"/>
      <c r="W115" s="61"/>
      <c r="X115" s="61"/>
      <c r="Y115" s="63" t="n">
        <v>0.045</v>
      </c>
      <c r="Z115" s="61" t="n">
        <v>1510</v>
      </c>
      <c r="AA115" s="61" t="n">
        <v>1580</v>
      </c>
      <c r="AB115" s="61" t="n">
        <v>34</v>
      </c>
      <c r="AC115" s="61" t="n">
        <v>35</v>
      </c>
      <c r="AD115" s="61"/>
      <c r="AE115" s="62" t="n">
        <v>31375</v>
      </c>
      <c r="AF115" s="62" t="n">
        <v>0</v>
      </c>
      <c r="AG115" s="63" t="n">
        <v>0.92</v>
      </c>
      <c r="AH115" s="61"/>
      <c r="AI115" s="61"/>
      <c r="AJ115" s="61"/>
      <c r="AK115" s="61" t="s">
        <v>589</v>
      </c>
      <c r="AL115" s="61" t="s">
        <v>954</v>
      </c>
    </row>
    <row r="116" customFormat="false" ht="15" hidden="false" customHeight="true" outlineLevel="0" collapsed="false">
      <c r="A116" s="61" t="s">
        <v>955</v>
      </c>
      <c r="B116" s="61" t="s">
        <v>923</v>
      </c>
      <c r="C116" s="61" t="s">
        <v>719</v>
      </c>
      <c r="D116" s="61" t="s">
        <v>720</v>
      </c>
      <c r="E116" s="61" t="s">
        <v>491</v>
      </c>
      <c r="F116" s="61" t="s">
        <v>355</v>
      </c>
      <c r="G116" s="61" t="s">
        <v>492</v>
      </c>
      <c r="H116" s="61" t="s">
        <v>221</v>
      </c>
      <c r="I116" s="58" t="n">
        <v>46327</v>
      </c>
      <c r="J116" s="58" t="n">
        <v>46389</v>
      </c>
      <c r="K116" s="58"/>
      <c r="L116" s="58"/>
      <c r="M116" s="58"/>
      <c r="N116" s="58" t="n">
        <v>46389</v>
      </c>
      <c r="O116" s="58"/>
      <c r="P116" s="61" t="s">
        <v>355</v>
      </c>
      <c r="Q116" s="58"/>
      <c r="R116" s="61"/>
      <c r="S116" s="62"/>
      <c r="T116" s="61"/>
      <c r="U116" s="61"/>
      <c r="V116" s="61"/>
      <c r="W116" s="61"/>
      <c r="X116" s="61"/>
      <c r="Y116" s="63" t="n">
        <v>0.064</v>
      </c>
      <c r="Z116" s="61" t="n">
        <v>1520</v>
      </c>
      <c r="AA116" s="61" t="n">
        <v>1570</v>
      </c>
      <c r="AB116" s="61" t="n">
        <v>34</v>
      </c>
      <c r="AC116" s="61" t="n">
        <v>36</v>
      </c>
      <c r="AD116" s="61"/>
      <c r="AE116" s="62" t="n">
        <v>28596</v>
      </c>
      <c r="AF116" s="62" t="n">
        <v>470</v>
      </c>
      <c r="AG116" s="63" t="n">
        <v>0.91</v>
      </c>
      <c r="AH116" s="61"/>
      <c r="AI116" s="61"/>
      <c r="AJ116" s="61"/>
      <c r="AK116" s="61" t="s">
        <v>589</v>
      </c>
      <c r="AL116" s="61" t="s">
        <v>947</v>
      </c>
    </row>
    <row r="117" customFormat="false" ht="15" hidden="false" customHeight="true" outlineLevel="0" collapsed="false">
      <c r="A117" s="61" t="s">
        <v>956</v>
      </c>
      <c r="B117" s="61" t="s">
        <v>923</v>
      </c>
      <c r="C117" s="61" t="s">
        <v>957</v>
      </c>
      <c r="D117" s="61" t="s">
        <v>958</v>
      </c>
      <c r="E117" s="61" t="s">
        <v>491</v>
      </c>
      <c r="F117" s="61" t="s">
        <v>355</v>
      </c>
      <c r="G117" s="61" t="s">
        <v>492</v>
      </c>
      <c r="H117" s="61" t="s">
        <v>221</v>
      </c>
      <c r="I117" s="58" t="n">
        <v>46327</v>
      </c>
      <c r="J117" s="58" t="n">
        <v>46389</v>
      </c>
      <c r="K117" s="58"/>
      <c r="L117" s="58"/>
      <c r="M117" s="58"/>
      <c r="N117" s="58" t="n">
        <v>46389</v>
      </c>
      <c r="O117" s="58"/>
      <c r="P117" s="61" t="s">
        <v>355</v>
      </c>
      <c r="Q117" s="58"/>
      <c r="R117" s="61"/>
      <c r="S117" s="62"/>
      <c r="T117" s="61"/>
      <c r="U117" s="61"/>
      <c r="V117" s="61"/>
      <c r="W117" s="61"/>
      <c r="X117" s="61"/>
      <c r="Y117" s="63" t="n">
        <v>0.121</v>
      </c>
      <c r="Z117" s="61" t="n">
        <v>1500</v>
      </c>
      <c r="AA117" s="61" t="n">
        <v>1570</v>
      </c>
      <c r="AB117" s="61" t="n">
        <v>33</v>
      </c>
      <c r="AC117" s="61" t="n">
        <v>35</v>
      </c>
      <c r="AD117" s="61"/>
      <c r="AE117" s="62" t="n">
        <v>24888</v>
      </c>
      <c r="AF117" s="62" t="n">
        <v>1906</v>
      </c>
      <c r="AG117" s="63" t="n">
        <v>0.93</v>
      </c>
      <c r="AH117" s="61"/>
      <c r="AI117" s="61"/>
      <c r="AJ117" s="61"/>
      <c r="AK117" s="61" t="s">
        <v>589</v>
      </c>
      <c r="AL117" s="61" t="s">
        <v>947</v>
      </c>
    </row>
    <row r="118" customFormat="false" ht="15" hidden="false" customHeight="true" outlineLevel="0" collapsed="false">
      <c r="A118" s="61" t="s">
        <v>959</v>
      </c>
      <c r="B118" s="61" t="s">
        <v>923</v>
      </c>
      <c r="C118" s="61" t="s">
        <v>960</v>
      </c>
      <c r="D118" s="61" t="s">
        <v>961</v>
      </c>
      <c r="E118" s="61" t="s">
        <v>491</v>
      </c>
      <c r="F118" s="61" t="s">
        <v>355</v>
      </c>
      <c r="G118" s="61" t="s">
        <v>492</v>
      </c>
      <c r="H118" s="61" t="s">
        <v>221</v>
      </c>
      <c r="I118" s="58"/>
      <c r="J118" s="58"/>
      <c r="K118" s="58"/>
      <c r="L118" s="58"/>
      <c r="M118" s="58" t="n">
        <v>46327</v>
      </c>
      <c r="N118" s="58" t="n">
        <v>46388</v>
      </c>
      <c r="O118" s="58"/>
      <c r="P118" s="61" t="s">
        <v>355</v>
      </c>
      <c r="Q118" s="58"/>
      <c r="R118" s="61"/>
      <c r="S118" s="62"/>
      <c r="T118" s="61"/>
      <c r="U118" s="61"/>
      <c r="V118" s="61"/>
      <c r="W118" s="61"/>
      <c r="X118" s="61"/>
      <c r="Y118" s="63" t="n">
        <v>0.113</v>
      </c>
      <c r="Z118" s="61" t="n">
        <v>1455</v>
      </c>
      <c r="AA118" s="61" t="n">
        <v>1560</v>
      </c>
      <c r="AB118" s="61" t="n">
        <v>33</v>
      </c>
      <c r="AC118" s="61" t="n">
        <v>35</v>
      </c>
      <c r="AD118" s="61"/>
      <c r="AE118" s="62" t="n">
        <v>32127</v>
      </c>
      <c r="AF118" s="62" t="n">
        <v>7943</v>
      </c>
      <c r="AG118" s="63" t="n">
        <v>0.96</v>
      </c>
      <c r="AH118" s="61"/>
      <c r="AI118" s="61"/>
      <c r="AJ118" s="61"/>
      <c r="AK118" s="61" t="s">
        <v>589</v>
      </c>
      <c r="AL118" s="61" t="s">
        <v>962</v>
      </c>
    </row>
    <row r="119" customFormat="false" ht="15" hidden="false" customHeight="true" outlineLevel="0" collapsed="false">
      <c r="A119" s="61" t="s">
        <v>963</v>
      </c>
      <c r="B119" s="61" t="s">
        <v>923</v>
      </c>
      <c r="C119" s="61" t="s">
        <v>618</v>
      </c>
      <c r="D119" s="61" t="s">
        <v>619</v>
      </c>
      <c r="E119" s="61" t="s">
        <v>491</v>
      </c>
      <c r="F119" s="61" t="s">
        <v>355</v>
      </c>
      <c r="G119" s="61" t="s">
        <v>964</v>
      </c>
      <c r="H119" s="61" t="s">
        <v>355</v>
      </c>
      <c r="I119" s="58"/>
      <c r="J119" s="58"/>
      <c r="K119" s="58" t="n">
        <v>46327</v>
      </c>
      <c r="L119" s="58"/>
      <c r="M119" s="58"/>
      <c r="N119" s="58" t="n">
        <v>46397</v>
      </c>
      <c r="O119" s="58"/>
      <c r="P119" s="61" t="s">
        <v>355</v>
      </c>
      <c r="Q119" s="58"/>
      <c r="R119" s="61"/>
      <c r="S119" s="62"/>
      <c r="T119" s="61"/>
      <c r="U119" s="61"/>
      <c r="V119" s="61"/>
      <c r="W119" s="61"/>
      <c r="X119" s="61"/>
      <c r="Y119" s="63" t="n">
        <v>0.129</v>
      </c>
      <c r="Z119" s="61" t="n">
        <v>1390</v>
      </c>
      <c r="AA119" s="61" t="n">
        <v>1550</v>
      </c>
      <c r="AB119" s="61" t="n">
        <v>31</v>
      </c>
      <c r="AC119" s="61" t="n">
        <v>35</v>
      </c>
      <c r="AD119" s="61"/>
      <c r="AE119" s="62" t="n">
        <v>43529</v>
      </c>
      <c r="AF119" s="62" t="n">
        <v>5640</v>
      </c>
      <c r="AG119" s="63" t="n">
        <v>0.94</v>
      </c>
      <c r="AH119" s="61"/>
      <c r="AI119" s="61"/>
      <c r="AJ119" s="61"/>
      <c r="AK119" s="61" t="s">
        <v>589</v>
      </c>
      <c r="AL119" s="61" t="s">
        <v>965</v>
      </c>
    </row>
    <row r="120" customFormat="false" ht="15" hidden="false" customHeight="true" outlineLevel="0" collapsed="false">
      <c r="A120" s="61" t="s">
        <v>966</v>
      </c>
      <c r="B120" s="61" t="s">
        <v>923</v>
      </c>
      <c r="C120" s="61" t="s">
        <v>967</v>
      </c>
      <c r="D120" s="61" t="s">
        <v>853</v>
      </c>
      <c r="E120" s="61" t="s">
        <v>491</v>
      </c>
      <c r="F120" s="61" t="s">
        <v>355</v>
      </c>
      <c r="G120" s="61" t="s">
        <v>492</v>
      </c>
      <c r="H120" s="61" t="s">
        <v>221</v>
      </c>
      <c r="I120" s="58" t="n">
        <v>46327</v>
      </c>
      <c r="J120" s="58" t="n">
        <v>46391</v>
      </c>
      <c r="K120" s="58"/>
      <c r="L120" s="58"/>
      <c r="M120" s="58"/>
      <c r="N120" s="58" t="n">
        <v>46391</v>
      </c>
      <c r="O120" s="58"/>
      <c r="P120" s="61" t="s">
        <v>355</v>
      </c>
      <c r="Q120" s="58"/>
      <c r="R120" s="61"/>
      <c r="S120" s="62"/>
      <c r="T120" s="61"/>
      <c r="U120" s="61"/>
      <c r="V120" s="61"/>
      <c r="W120" s="61"/>
      <c r="X120" s="61"/>
      <c r="Y120" s="63" t="n">
        <v>0.115</v>
      </c>
      <c r="Z120" s="61" t="n">
        <v>1470</v>
      </c>
      <c r="AA120" s="61" t="n">
        <v>1560</v>
      </c>
      <c r="AB120" s="61" t="n">
        <v>33</v>
      </c>
      <c r="AC120" s="61" t="n">
        <v>35</v>
      </c>
      <c r="AD120" s="61"/>
      <c r="AE120" s="62" t="n">
        <v>36126</v>
      </c>
      <c r="AF120" s="62" t="n">
        <v>12594</v>
      </c>
      <c r="AG120" s="63" t="n">
        <v>0.9</v>
      </c>
      <c r="AH120" s="61"/>
      <c r="AI120" s="61"/>
      <c r="AJ120" s="61"/>
      <c r="AK120" s="61" t="s">
        <v>589</v>
      </c>
      <c r="AL120" s="61" t="s">
        <v>962</v>
      </c>
    </row>
    <row r="121" customFormat="false" ht="15" hidden="false" customHeight="true" outlineLevel="0" collapsed="false">
      <c r="A121" s="61" t="s">
        <v>968</v>
      </c>
      <c r="B121" s="61" t="s">
        <v>923</v>
      </c>
      <c r="C121" s="61" t="s">
        <v>740</v>
      </c>
      <c r="D121" s="61" t="s">
        <v>642</v>
      </c>
      <c r="E121" s="61" t="s">
        <v>491</v>
      </c>
      <c r="F121" s="61" t="s">
        <v>355</v>
      </c>
      <c r="G121" s="61" t="s">
        <v>292</v>
      </c>
      <c r="H121" s="61" t="s">
        <v>221</v>
      </c>
      <c r="I121" s="58" t="n">
        <v>46341</v>
      </c>
      <c r="J121" s="58" t="n">
        <v>46388</v>
      </c>
      <c r="K121" s="58"/>
      <c r="L121" s="58"/>
      <c r="M121" s="58"/>
      <c r="N121" s="58" t="n">
        <v>46388</v>
      </c>
      <c r="O121" s="58"/>
      <c r="P121" s="61" t="s">
        <v>355</v>
      </c>
      <c r="Q121" s="58"/>
      <c r="R121" s="61"/>
      <c r="S121" s="62"/>
      <c r="T121" s="61"/>
      <c r="U121" s="61"/>
      <c r="V121" s="61"/>
      <c r="W121" s="61"/>
      <c r="X121" s="61"/>
      <c r="Y121" s="63" t="n">
        <v>0.217</v>
      </c>
      <c r="Z121" s="61" t="n">
        <v>1410</v>
      </c>
      <c r="AA121" s="61" t="n">
        <v>1520</v>
      </c>
      <c r="AB121" s="61" t="n">
        <v>32</v>
      </c>
      <c r="AC121" s="61" t="n">
        <v>34</v>
      </c>
      <c r="AD121" s="61"/>
      <c r="AE121" s="62" t="n">
        <v>27222</v>
      </c>
      <c r="AF121" s="62" t="n">
        <v>7279</v>
      </c>
      <c r="AG121" s="63" t="n">
        <v>0.88</v>
      </c>
      <c r="AH121" s="61"/>
      <c r="AI121" s="61"/>
      <c r="AJ121" s="61"/>
      <c r="AK121" s="61" t="s">
        <v>589</v>
      </c>
      <c r="AL121" s="61" t="s">
        <v>962</v>
      </c>
    </row>
    <row r="122" customFormat="false" ht="15" hidden="false" customHeight="true" outlineLevel="0" collapsed="false">
      <c r="A122" s="61" t="s">
        <v>969</v>
      </c>
      <c r="B122" s="61" t="s">
        <v>923</v>
      </c>
      <c r="C122" s="61" t="s">
        <v>970</v>
      </c>
      <c r="D122" s="61" t="s">
        <v>642</v>
      </c>
      <c r="E122" s="61" t="s">
        <v>491</v>
      </c>
      <c r="F122" s="61" t="s">
        <v>355</v>
      </c>
      <c r="G122" s="61" t="s">
        <v>865</v>
      </c>
      <c r="H122" s="61" t="s">
        <v>221</v>
      </c>
      <c r="I122" s="58" t="n">
        <v>46341</v>
      </c>
      <c r="J122" s="58" t="n">
        <v>46391</v>
      </c>
      <c r="K122" s="58"/>
      <c r="L122" s="58"/>
      <c r="M122" s="58"/>
      <c r="N122" s="58" t="n">
        <v>46398</v>
      </c>
      <c r="O122" s="58"/>
      <c r="P122" s="61" t="s">
        <v>355</v>
      </c>
      <c r="Q122" s="58"/>
      <c r="R122" s="61"/>
      <c r="S122" s="62" t="n">
        <v>0</v>
      </c>
      <c r="T122" s="61" t="s">
        <v>971</v>
      </c>
      <c r="U122" s="61" t="s">
        <v>401</v>
      </c>
      <c r="V122" s="61" t="s">
        <v>972</v>
      </c>
      <c r="W122" s="61" t="s">
        <v>214</v>
      </c>
      <c r="X122" s="61"/>
      <c r="Y122" s="63" t="n">
        <v>0.1337</v>
      </c>
      <c r="Z122" s="61" t="n">
        <v>1400</v>
      </c>
      <c r="AA122" s="61" t="n">
        <v>1530</v>
      </c>
      <c r="AB122" s="61" t="n">
        <v>31</v>
      </c>
      <c r="AC122" s="61" t="n">
        <v>34</v>
      </c>
      <c r="AD122" s="61"/>
      <c r="AE122" s="62" t="n">
        <v>32120</v>
      </c>
      <c r="AF122" s="62" t="n">
        <v>6645</v>
      </c>
      <c r="AG122" s="63" t="n">
        <v>0.91</v>
      </c>
      <c r="AH122" s="61" t="n">
        <v>2</v>
      </c>
      <c r="AI122" s="61" t="s">
        <v>973</v>
      </c>
      <c r="AJ122" s="61" t="s">
        <v>973</v>
      </c>
      <c r="AK122" s="61" t="s">
        <v>370</v>
      </c>
      <c r="AL122" s="61" t="s">
        <v>974</v>
      </c>
    </row>
    <row r="123" customFormat="false" ht="15" hidden="false" customHeight="true" outlineLevel="0" collapsed="false">
      <c r="A123" s="61" t="s">
        <v>975</v>
      </c>
      <c r="B123" s="61" t="s">
        <v>923</v>
      </c>
      <c r="C123" s="61" t="s">
        <v>976</v>
      </c>
      <c r="D123" s="61" t="s">
        <v>853</v>
      </c>
      <c r="E123" s="61" t="s">
        <v>491</v>
      </c>
      <c r="F123" s="61" t="s">
        <v>355</v>
      </c>
      <c r="G123" s="61" t="s">
        <v>865</v>
      </c>
      <c r="H123" s="61" t="s">
        <v>221</v>
      </c>
      <c r="I123" s="58" t="n">
        <v>46335</v>
      </c>
      <c r="J123" s="58"/>
      <c r="K123" s="58"/>
      <c r="L123" s="58"/>
      <c r="M123" s="58"/>
      <c r="N123" s="58" t="n">
        <v>46392</v>
      </c>
      <c r="O123" s="58"/>
      <c r="P123" s="61" t="s">
        <v>355</v>
      </c>
      <c r="Q123" s="58"/>
      <c r="R123" s="61"/>
      <c r="S123" s="62" t="n">
        <v>75</v>
      </c>
      <c r="T123" s="61" t="s">
        <v>977</v>
      </c>
      <c r="U123" s="61" t="s">
        <v>401</v>
      </c>
      <c r="V123" s="61" t="s">
        <v>978</v>
      </c>
      <c r="W123" s="61"/>
      <c r="X123" s="61"/>
      <c r="Y123" s="63" t="n">
        <v>0.0901</v>
      </c>
      <c r="Z123" s="61" t="n">
        <v>1490</v>
      </c>
      <c r="AA123" s="61" t="n">
        <v>1580</v>
      </c>
      <c r="AB123" s="61" t="n">
        <v>33</v>
      </c>
      <c r="AC123" s="61" t="n">
        <v>35</v>
      </c>
      <c r="AD123" s="61"/>
      <c r="AE123" s="62" t="n">
        <v>21973</v>
      </c>
      <c r="AF123" s="62" t="n">
        <v>6079</v>
      </c>
      <c r="AG123" s="63" t="n">
        <v>0.94</v>
      </c>
      <c r="AH123" s="61" t="n">
        <v>1</v>
      </c>
      <c r="AI123" s="61" t="s">
        <v>979</v>
      </c>
      <c r="AJ123" s="61" t="s">
        <v>980</v>
      </c>
      <c r="AK123" s="61" t="s">
        <v>370</v>
      </c>
      <c r="AL123" s="61" t="s">
        <v>981</v>
      </c>
    </row>
    <row r="124" customFormat="false" ht="15" hidden="false" customHeight="true" outlineLevel="0" collapsed="false">
      <c r="A124" s="61" t="s">
        <v>982</v>
      </c>
      <c r="B124" s="61" t="s">
        <v>923</v>
      </c>
      <c r="C124" s="61" t="s">
        <v>983</v>
      </c>
      <c r="D124" s="61" t="s">
        <v>853</v>
      </c>
      <c r="E124" s="61" t="s">
        <v>491</v>
      </c>
      <c r="F124" s="61" t="s">
        <v>355</v>
      </c>
      <c r="G124" s="61" t="s">
        <v>865</v>
      </c>
      <c r="H124" s="61" t="s">
        <v>221</v>
      </c>
      <c r="I124" s="58" t="n">
        <v>46341</v>
      </c>
      <c r="J124" s="58"/>
      <c r="K124" s="58"/>
      <c r="L124" s="58"/>
      <c r="M124" s="58"/>
      <c r="N124" s="58" t="n">
        <v>46391</v>
      </c>
      <c r="O124" s="58"/>
      <c r="P124" s="61" t="s">
        <v>355</v>
      </c>
      <c r="Q124" s="58"/>
      <c r="R124" s="61"/>
      <c r="S124" s="62" t="n">
        <v>65</v>
      </c>
      <c r="T124" s="61" t="s">
        <v>984</v>
      </c>
      <c r="U124" s="61" t="s">
        <v>401</v>
      </c>
      <c r="V124" s="61" t="s">
        <v>985</v>
      </c>
      <c r="W124" s="61"/>
      <c r="X124" s="61" t="s">
        <v>986</v>
      </c>
      <c r="Y124" s="63" t="n">
        <v>0.0825</v>
      </c>
      <c r="Z124" s="61"/>
      <c r="AA124" s="61"/>
      <c r="AB124" s="61"/>
      <c r="AC124" s="61"/>
      <c r="AD124" s="61"/>
      <c r="AE124" s="62" t="n">
        <v>10643</v>
      </c>
      <c r="AF124" s="62" t="n">
        <v>2498</v>
      </c>
      <c r="AG124" s="63" t="n">
        <v>0.94</v>
      </c>
      <c r="AH124" s="61" t="n">
        <v>0</v>
      </c>
      <c r="AI124" s="61" t="s">
        <v>987</v>
      </c>
      <c r="AJ124" s="61" t="s">
        <v>987</v>
      </c>
      <c r="AK124" s="61" t="s">
        <v>362</v>
      </c>
      <c r="AL124" s="61" t="s">
        <v>988</v>
      </c>
    </row>
    <row r="125" customFormat="false" ht="15" hidden="false" customHeight="true" outlineLevel="0" collapsed="false">
      <c r="A125" s="61" t="s">
        <v>989</v>
      </c>
      <c r="B125" s="61" t="s">
        <v>923</v>
      </c>
      <c r="C125" s="61" t="s">
        <v>990</v>
      </c>
      <c r="D125" s="61" t="s">
        <v>808</v>
      </c>
      <c r="E125" s="61" t="s">
        <v>491</v>
      </c>
      <c r="F125" s="61" t="s">
        <v>355</v>
      </c>
      <c r="G125" s="61" t="s">
        <v>865</v>
      </c>
      <c r="H125" s="61" t="s">
        <v>221</v>
      </c>
      <c r="I125" s="58" t="n">
        <v>46341</v>
      </c>
      <c r="J125" s="58" t="n">
        <v>46391</v>
      </c>
      <c r="K125" s="58"/>
      <c r="L125" s="58"/>
      <c r="M125" s="58"/>
      <c r="N125" s="58" t="n">
        <v>46391</v>
      </c>
      <c r="O125" s="58"/>
      <c r="P125" s="61" t="s">
        <v>355</v>
      </c>
      <c r="Q125" s="58"/>
      <c r="R125" s="61"/>
      <c r="S125" s="62" t="n">
        <v>60</v>
      </c>
      <c r="T125" s="61" t="s">
        <v>991</v>
      </c>
      <c r="U125" s="61" t="s">
        <v>401</v>
      </c>
      <c r="V125" s="61" t="s">
        <v>992</v>
      </c>
      <c r="W125" s="61"/>
      <c r="X125" s="61" t="s">
        <v>401</v>
      </c>
      <c r="Y125" s="63" t="n">
        <v>0.0746</v>
      </c>
      <c r="Z125" s="61" t="n">
        <v>1490</v>
      </c>
      <c r="AA125" s="61" t="n">
        <v>1560</v>
      </c>
      <c r="AB125" s="61" t="n">
        <v>33</v>
      </c>
      <c r="AC125" s="61" t="n">
        <v>35</v>
      </c>
      <c r="AD125" s="61"/>
      <c r="AE125" s="62" t="n">
        <v>22281</v>
      </c>
      <c r="AF125" s="62" t="n">
        <v>5860</v>
      </c>
      <c r="AG125" s="63" t="n">
        <v>0.92</v>
      </c>
      <c r="AH125" s="61" t="n">
        <v>2</v>
      </c>
      <c r="AI125" s="61" t="s">
        <v>993</v>
      </c>
      <c r="AJ125" s="61" t="s">
        <v>994</v>
      </c>
      <c r="AK125" s="61" t="s">
        <v>362</v>
      </c>
      <c r="AL125" s="61" t="s">
        <v>995</v>
      </c>
    </row>
    <row r="126" customFormat="false" ht="15" hidden="false" customHeight="true" outlineLevel="0" collapsed="false">
      <c r="A126" s="61" t="s">
        <v>996</v>
      </c>
      <c r="B126" s="61" t="s">
        <v>923</v>
      </c>
      <c r="C126" s="61" t="s">
        <v>997</v>
      </c>
      <c r="D126" s="61" t="s">
        <v>925</v>
      </c>
      <c r="E126" s="61" t="s">
        <v>491</v>
      </c>
      <c r="F126" s="61" t="s">
        <v>355</v>
      </c>
      <c r="G126" s="61" t="s">
        <v>865</v>
      </c>
      <c r="H126" s="61" t="s">
        <v>221</v>
      </c>
      <c r="I126" s="58" t="n">
        <v>46334</v>
      </c>
      <c r="J126" s="58" t="n">
        <v>46395</v>
      </c>
      <c r="K126" s="58"/>
      <c r="L126" s="58"/>
      <c r="M126" s="58"/>
      <c r="N126" s="58" t="n">
        <v>46395</v>
      </c>
      <c r="O126" s="58"/>
      <c r="P126" s="61" t="s">
        <v>355</v>
      </c>
      <c r="Q126" s="58"/>
      <c r="R126" s="61"/>
      <c r="S126" s="62" t="n">
        <v>80</v>
      </c>
      <c r="T126" s="61" t="s">
        <v>998</v>
      </c>
      <c r="U126" s="61" t="s">
        <v>401</v>
      </c>
      <c r="V126" s="61" t="s">
        <v>999</v>
      </c>
      <c r="W126" s="61"/>
      <c r="X126" s="61"/>
      <c r="Y126" s="63" t="n">
        <v>0.0709</v>
      </c>
      <c r="Z126" s="61" t="n">
        <v>1490</v>
      </c>
      <c r="AA126" s="61" t="n">
        <v>1560</v>
      </c>
      <c r="AB126" s="61" t="n">
        <v>33</v>
      </c>
      <c r="AC126" s="61" t="n">
        <v>35</v>
      </c>
      <c r="AD126" s="61"/>
      <c r="AE126" s="62" t="n">
        <v>21645</v>
      </c>
      <c r="AF126" s="62" t="n">
        <v>6945</v>
      </c>
      <c r="AG126" s="63" t="n">
        <v>0.93</v>
      </c>
      <c r="AH126" s="61"/>
      <c r="AI126" s="61" t="s">
        <v>1000</v>
      </c>
      <c r="AJ126" s="61"/>
      <c r="AK126" s="61" t="s">
        <v>370</v>
      </c>
      <c r="AL126" s="61" t="s">
        <v>1001</v>
      </c>
    </row>
    <row r="127" customFormat="false" ht="15" hidden="false" customHeight="true" outlineLevel="0" collapsed="false">
      <c r="A127" s="61" t="s">
        <v>1002</v>
      </c>
      <c r="B127" s="61" t="s">
        <v>923</v>
      </c>
      <c r="C127" s="61" t="s">
        <v>1003</v>
      </c>
      <c r="D127" s="61" t="s">
        <v>853</v>
      </c>
      <c r="E127" s="61" t="s">
        <v>491</v>
      </c>
      <c r="F127" s="61" t="s">
        <v>355</v>
      </c>
      <c r="G127" s="61" t="s">
        <v>292</v>
      </c>
      <c r="H127" s="61" t="s">
        <v>221</v>
      </c>
      <c r="I127" s="58" t="n">
        <v>46327</v>
      </c>
      <c r="J127" s="58" t="n">
        <v>46388</v>
      </c>
      <c r="K127" s="58"/>
      <c r="L127" s="58"/>
      <c r="M127" s="58"/>
      <c r="N127" s="58" t="n">
        <v>46395</v>
      </c>
      <c r="O127" s="58"/>
      <c r="P127" s="61" t="s">
        <v>355</v>
      </c>
      <c r="Q127" s="58"/>
      <c r="R127" s="61"/>
      <c r="S127" s="62"/>
      <c r="T127" s="61"/>
      <c r="U127" s="61"/>
      <c r="V127" s="61"/>
      <c r="W127" s="61"/>
      <c r="X127" s="61"/>
      <c r="Y127" s="63" t="n">
        <v>0.1405</v>
      </c>
      <c r="Z127" s="61" t="n">
        <v>1460</v>
      </c>
      <c r="AA127" s="61" t="n">
        <v>1560</v>
      </c>
      <c r="AB127" s="61" t="n">
        <v>33</v>
      </c>
      <c r="AC127" s="61" t="n">
        <v>35</v>
      </c>
      <c r="AD127" s="61"/>
      <c r="AE127" s="62" t="n">
        <v>25867</v>
      </c>
      <c r="AF127" s="62" t="n">
        <v>8785</v>
      </c>
      <c r="AG127" s="63" t="n">
        <v>0.92</v>
      </c>
      <c r="AH127" s="61"/>
      <c r="AI127" s="61"/>
      <c r="AJ127" s="61"/>
      <c r="AK127" s="61" t="s">
        <v>589</v>
      </c>
      <c r="AL127" s="61" t="s">
        <v>1004</v>
      </c>
    </row>
    <row r="128" customFormat="false" ht="15" hidden="false" customHeight="true" outlineLevel="0" collapsed="false">
      <c r="A128" s="61" t="s">
        <v>1005</v>
      </c>
      <c r="B128" s="61" t="s">
        <v>923</v>
      </c>
      <c r="C128" s="61" t="s">
        <v>454</v>
      </c>
      <c r="D128" s="61" t="s">
        <v>1006</v>
      </c>
      <c r="E128" s="61" t="s">
        <v>491</v>
      </c>
      <c r="F128" s="61" t="s">
        <v>355</v>
      </c>
      <c r="G128" s="61" t="s">
        <v>292</v>
      </c>
      <c r="H128" s="61" t="s">
        <v>221</v>
      </c>
      <c r="I128" s="58" t="n">
        <v>46341</v>
      </c>
      <c r="J128" s="58" t="n">
        <v>46392</v>
      </c>
      <c r="K128" s="58"/>
      <c r="L128" s="58"/>
      <c r="M128" s="58"/>
      <c r="N128" s="58" t="n">
        <v>46392</v>
      </c>
      <c r="O128" s="58"/>
      <c r="P128" s="61" t="s">
        <v>355</v>
      </c>
      <c r="Q128" s="58"/>
      <c r="R128" s="61"/>
      <c r="S128" s="62"/>
      <c r="T128" s="61"/>
      <c r="U128" s="61"/>
      <c r="V128" s="61"/>
      <c r="W128" s="61"/>
      <c r="X128" s="61"/>
      <c r="Y128" s="63" t="n">
        <v>0.0713</v>
      </c>
      <c r="Z128" s="61" t="n">
        <v>1470</v>
      </c>
      <c r="AA128" s="61" t="n">
        <v>1550</v>
      </c>
      <c r="AB128" s="61" t="n">
        <v>33</v>
      </c>
      <c r="AC128" s="61" t="n">
        <v>35</v>
      </c>
      <c r="AD128" s="61"/>
      <c r="AE128" s="62" t="n">
        <v>24978</v>
      </c>
      <c r="AF128" s="62" t="n">
        <v>5626</v>
      </c>
      <c r="AG128" s="63" t="n">
        <v>0.95</v>
      </c>
      <c r="AH128" s="61"/>
      <c r="AI128" s="61"/>
      <c r="AJ128" s="61"/>
      <c r="AK128" s="61" t="s">
        <v>589</v>
      </c>
      <c r="AL128" s="61" t="s">
        <v>1004</v>
      </c>
    </row>
    <row r="129" customFormat="false" ht="15" hidden="false" customHeight="true" outlineLevel="0" collapsed="false">
      <c r="A129" s="61" t="s">
        <v>1007</v>
      </c>
      <c r="B129" s="61" t="s">
        <v>923</v>
      </c>
      <c r="C129" s="61" t="s">
        <v>1008</v>
      </c>
      <c r="D129" s="61" t="s">
        <v>808</v>
      </c>
      <c r="E129" s="61" t="s">
        <v>491</v>
      </c>
      <c r="F129" s="61" t="s">
        <v>355</v>
      </c>
      <c r="G129" s="61" t="s">
        <v>292</v>
      </c>
      <c r="H129" s="61" t="s">
        <v>221</v>
      </c>
      <c r="I129" s="58" t="n">
        <v>46327</v>
      </c>
      <c r="J129" s="58" t="n">
        <v>46390</v>
      </c>
      <c r="K129" s="58"/>
      <c r="L129" s="58"/>
      <c r="M129" s="58"/>
      <c r="N129" s="58" t="n">
        <v>46390</v>
      </c>
      <c r="O129" s="58"/>
      <c r="P129" s="61" t="s">
        <v>355</v>
      </c>
      <c r="Q129" s="58"/>
      <c r="R129" s="61"/>
      <c r="S129" s="62"/>
      <c r="T129" s="61"/>
      <c r="U129" s="61"/>
      <c r="V129" s="61"/>
      <c r="W129" s="61"/>
      <c r="X129" s="61"/>
      <c r="Y129" s="63" t="n">
        <v>0.1166</v>
      </c>
      <c r="Z129" s="61" t="n">
        <v>1500</v>
      </c>
      <c r="AA129" s="61" t="n">
        <v>1570</v>
      </c>
      <c r="AB129" s="61" t="n">
        <v>34</v>
      </c>
      <c r="AC129" s="61" t="n">
        <v>35</v>
      </c>
      <c r="AD129" s="61"/>
      <c r="AE129" s="62" t="n">
        <v>34790</v>
      </c>
      <c r="AF129" s="62" t="n">
        <v>12542</v>
      </c>
      <c r="AG129" s="63" t="n">
        <v>0.94</v>
      </c>
      <c r="AH129" s="61"/>
      <c r="AI129" s="61"/>
      <c r="AJ129" s="61"/>
      <c r="AK129" s="61" t="s">
        <v>589</v>
      </c>
      <c r="AL129" s="61" t="s">
        <v>1004</v>
      </c>
    </row>
    <row r="130" customFormat="false" ht="15" hidden="false" customHeight="true" outlineLevel="0" collapsed="false">
      <c r="A130" s="61" t="s">
        <v>1009</v>
      </c>
      <c r="B130" s="61" t="s">
        <v>923</v>
      </c>
      <c r="C130" s="61" t="s">
        <v>882</v>
      </c>
      <c r="D130" s="61" t="s">
        <v>883</v>
      </c>
      <c r="E130" s="61" t="s">
        <v>491</v>
      </c>
      <c r="F130" s="61" t="s">
        <v>355</v>
      </c>
      <c r="G130" s="61" t="s">
        <v>292</v>
      </c>
      <c r="H130" s="61" t="s">
        <v>221</v>
      </c>
      <c r="I130" s="58" t="n">
        <v>46327</v>
      </c>
      <c r="J130" s="58" t="n">
        <v>46388</v>
      </c>
      <c r="K130" s="58"/>
      <c r="L130" s="58"/>
      <c r="M130" s="58"/>
      <c r="N130" s="58" t="n">
        <v>46392</v>
      </c>
      <c r="O130" s="58"/>
      <c r="P130" s="61" t="s">
        <v>355</v>
      </c>
      <c r="Q130" s="58"/>
      <c r="R130" s="61"/>
      <c r="S130" s="62"/>
      <c r="T130" s="61"/>
      <c r="U130" s="61"/>
      <c r="V130" s="61"/>
      <c r="W130" s="61"/>
      <c r="X130" s="61"/>
      <c r="Y130" s="63" t="n">
        <v>0.0923</v>
      </c>
      <c r="Z130" s="61" t="n">
        <v>1480</v>
      </c>
      <c r="AA130" s="61" t="n">
        <v>1560</v>
      </c>
      <c r="AB130" s="61" t="n">
        <v>34</v>
      </c>
      <c r="AC130" s="61" t="n">
        <v>35</v>
      </c>
      <c r="AD130" s="61"/>
      <c r="AE130" s="62" t="n">
        <v>43938</v>
      </c>
      <c r="AF130" s="62" t="n">
        <v>25937</v>
      </c>
      <c r="AG130" s="63" t="n">
        <v>0.88</v>
      </c>
      <c r="AH130" s="61"/>
      <c r="AI130" s="61"/>
      <c r="AJ130" s="61"/>
      <c r="AK130" s="61" t="s">
        <v>589</v>
      </c>
      <c r="AL130" s="61" t="s">
        <v>1004</v>
      </c>
    </row>
    <row r="131" customFormat="false" ht="15" hidden="false" customHeight="true" outlineLevel="0" collapsed="false">
      <c r="A131" s="61" t="s">
        <v>1010</v>
      </c>
      <c r="B131" s="61" t="s">
        <v>923</v>
      </c>
      <c r="C131" s="61" t="s">
        <v>1011</v>
      </c>
      <c r="D131" s="61" t="s">
        <v>925</v>
      </c>
      <c r="E131" s="61" t="s">
        <v>491</v>
      </c>
      <c r="F131" s="61" t="s">
        <v>355</v>
      </c>
      <c r="G131" s="61" t="s">
        <v>292</v>
      </c>
      <c r="H131" s="61" t="s">
        <v>221</v>
      </c>
      <c r="I131" s="58"/>
      <c r="J131" s="58"/>
      <c r="K131" s="58" t="n">
        <v>46327</v>
      </c>
      <c r="L131" s="58"/>
      <c r="M131" s="58"/>
      <c r="N131" s="58" t="n">
        <v>46402</v>
      </c>
      <c r="O131" s="58"/>
      <c r="P131" s="61" t="s">
        <v>355</v>
      </c>
      <c r="Q131" s="58"/>
      <c r="R131" s="61"/>
      <c r="S131" s="62"/>
      <c r="T131" s="61"/>
      <c r="U131" s="61"/>
      <c r="V131" s="61"/>
      <c r="W131" s="61"/>
      <c r="X131" s="61"/>
      <c r="Y131" s="63" t="n">
        <v>0.0981</v>
      </c>
      <c r="Z131" s="61" t="n">
        <v>1450</v>
      </c>
      <c r="AA131" s="61" t="n">
        <v>1550</v>
      </c>
      <c r="AB131" s="61" t="n">
        <v>32</v>
      </c>
      <c r="AC131" s="61" t="n">
        <v>35</v>
      </c>
      <c r="AD131" s="61"/>
      <c r="AE131" s="62" t="n">
        <v>42934</v>
      </c>
      <c r="AF131" s="62" t="n">
        <v>14668</v>
      </c>
      <c r="AG131" s="63" t="n">
        <v>0.92</v>
      </c>
      <c r="AH131" s="61"/>
      <c r="AI131" s="61"/>
      <c r="AJ131" s="61"/>
      <c r="AK131" s="61" t="s">
        <v>589</v>
      </c>
      <c r="AL131" s="61" t="s">
        <v>1004</v>
      </c>
    </row>
    <row r="132" customFormat="false" ht="15" hidden="false" customHeight="true" outlineLevel="0" collapsed="false">
      <c r="A132" s="61" t="s">
        <v>1012</v>
      </c>
      <c r="B132" s="61" t="s">
        <v>923</v>
      </c>
      <c r="C132" s="61" t="s">
        <v>1013</v>
      </c>
      <c r="D132" s="61" t="s">
        <v>853</v>
      </c>
      <c r="E132" s="61" t="s">
        <v>491</v>
      </c>
      <c r="F132" s="61" t="s">
        <v>355</v>
      </c>
      <c r="G132" s="61" t="s">
        <v>292</v>
      </c>
      <c r="H132" s="61" t="s">
        <v>221</v>
      </c>
      <c r="I132" s="58" t="n">
        <v>46327</v>
      </c>
      <c r="J132" s="58" t="n">
        <v>46391</v>
      </c>
      <c r="K132" s="58"/>
      <c r="L132" s="58"/>
      <c r="M132" s="58"/>
      <c r="N132" s="58" t="n">
        <v>46391</v>
      </c>
      <c r="O132" s="58"/>
      <c r="P132" s="61" t="s">
        <v>355</v>
      </c>
      <c r="Q132" s="58"/>
      <c r="R132" s="61"/>
      <c r="S132" s="62"/>
      <c r="T132" s="61"/>
      <c r="U132" s="61"/>
      <c r="V132" s="61"/>
      <c r="W132" s="61"/>
      <c r="X132" s="61"/>
      <c r="Y132" s="63" t="n">
        <v>0.1111</v>
      </c>
      <c r="Z132" s="61" t="n">
        <v>1420</v>
      </c>
      <c r="AA132" s="61" t="n">
        <v>1530</v>
      </c>
      <c r="AB132" s="61" t="n">
        <v>32</v>
      </c>
      <c r="AC132" s="61" t="n">
        <v>34</v>
      </c>
      <c r="AD132" s="61"/>
      <c r="AE132" s="62" t="n">
        <v>34640</v>
      </c>
      <c r="AF132" s="62" t="n">
        <v>12903</v>
      </c>
      <c r="AG132" s="63" t="n">
        <v>0.89</v>
      </c>
      <c r="AH132" s="61"/>
      <c r="AI132" s="61"/>
      <c r="AJ132" s="61"/>
      <c r="AK132" s="61" t="s">
        <v>589</v>
      </c>
      <c r="AL132" s="61" t="s">
        <v>1004</v>
      </c>
    </row>
    <row r="133" customFormat="false" ht="15" hidden="false" customHeight="true" outlineLevel="0" collapsed="false">
      <c r="A133" s="61" t="s">
        <v>1014</v>
      </c>
      <c r="B133" s="61" t="s">
        <v>923</v>
      </c>
      <c r="C133" s="61" t="s">
        <v>1015</v>
      </c>
      <c r="D133" s="61" t="s">
        <v>853</v>
      </c>
      <c r="E133" s="61" t="s">
        <v>491</v>
      </c>
      <c r="F133" s="61" t="s">
        <v>355</v>
      </c>
      <c r="G133" s="61" t="s">
        <v>292</v>
      </c>
      <c r="H133" s="61" t="s">
        <v>221</v>
      </c>
      <c r="I133" s="58" t="n">
        <v>46327</v>
      </c>
      <c r="J133" s="58" t="n">
        <v>46388</v>
      </c>
      <c r="K133" s="58"/>
      <c r="L133" s="58"/>
      <c r="M133" s="58"/>
      <c r="N133" s="58" t="n">
        <v>46388</v>
      </c>
      <c r="O133" s="58"/>
      <c r="P133" s="61" t="s">
        <v>355</v>
      </c>
      <c r="Q133" s="58"/>
      <c r="R133" s="61"/>
      <c r="S133" s="62"/>
      <c r="T133" s="61"/>
      <c r="U133" s="61"/>
      <c r="V133" s="61"/>
      <c r="W133" s="61"/>
      <c r="X133" s="61"/>
      <c r="Y133" s="63" t="n">
        <v>0.1643</v>
      </c>
      <c r="Z133" s="61" t="n">
        <v>1440</v>
      </c>
      <c r="AA133" s="61" t="n">
        <v>1540</v>
      </c>
      <c r="AB133" s="61" t="n">
        <v>33</v>
      </c>
      <c r="AC133" s="61" t="n">
        <v>35</v>
      </c>
      <c r="AD133" s="61"/>
      <c r="AE133" s="62" t="n">
        <v>33872</v>
      </c>
      <c r="AF133" s="62" t="n">
        <v>6353</v>
      </c>
      <c r="AG133" s="63" t="n">
        <v>0.91</v>
      </c>
      <c r="AH133" s="61"/>
      <c r="AI133" s="61"/>
      <c r="AJ133" s="61"/>
      <c r="AK133" s="61" t="s">
        <v>589</v>
      </c>
      <c r="AL133" s="61" t="s">
        <v>1004</v>
      </c>
    </row>
    <row r="134" customFormat="false" ht="15" hidden="false" customHeight="true" outlineLevel="0" collapsed="false">
      <c r="A134" s="61" t="s">
        <v>1016</v>
      </c>
      <c r="B134" s="61" t="s">
        <v>923</v>
      </c>
      <c r="C134" s="61" t="s">
        <v>1013</v>
      </c>
      <c r="D134" s="61" t="s">
        <v>853</v>
      </c>
      <c r="E134" s="61" t="s">
        <v>491</v>
      </c>
      <c r="F134" s="61" t="s">
        <v>355</v>
      </c>
      <c r="G134" s="61" t="s">
        <v>292</v>
      </c>
      <c r="H134" s="61" t="s">
        <v>221</v>
      </c>
      <c r="I134" s="58" t="n">
        <v>46327</v>
      </c>
      <c r="J134" s="58" t="n">
        <v>46388</v>
      </c>
      <c r="K134" s="58" t="n">
        <v>46327</v>
      </c>
      <c r="L134" s="58"/>
      <c r="M134" s="58"/>
      <c r="N134" s="58" t="n">
        <v>46388</v>
      </c>
      <c r="O134" s="58"/>
      <c r="P134" s="61" t="s">
        <v>355</v>
      </c>
      <c r="Q134" s="58"/>
      <c r="R134" s="61"/>
      <c r="S134" s="62"/>
      <c r="T134" s="61"/>
      <c r="U134" s="61"/>
      <c r="V134" s="61"/>
      <c r="W134" s="61"/>
      <c r="X134" s="61"/>
      <c r="Y134" s="63" t="n">
        <v>0.0522</v>
      </c>
      <c r="Z134" s="61" t="n">
        <v>1440</v>
      </c>
      <c r="AA134" s="61" t="n">
        <v>1540</v>
      </c>
      <c r="AB134" s="61" t="n">
        <v>33</v>
      </c>
      <c r="AC134" s="61" t="n">
        <v>35</v>
      </c>
      <c r="AD134" s="61"/>
      <c r="AE134" s="62" t="n">
        <v>41638</v>
      </c>
      <c r="AF134" s="62" t="n">
        <v>10239</v>
      </c>
      <c r="AG134" s="63" t="n">
        <v>0.91</v>
      </c>
      <c r="AH134" s="61"/>
      <c r="AI134" s="61"/>
      <c r="AJ134" s="61"/>
      <c r="AK134" s="61" t="s">
        <v>589</v>
      </c>
      <c r="AL134" s="61" t="s">
        <v>1004</v>
      </c>
    </row>
    <row r="135" customFormat="false" ht="15" hidden="false" customHeight="true" outlineLevel="0" collapsed="false">
      <c r="A135" s="61" t="s">
        <v>1017</v>
      </c>
      <c r="B135" s="61" t="s">
        <v>923</v>
      </c>
      <c r="C135" s="61" t="s">
        <v>653</v>
      </c>
      <c r="D135" s="61" t="s">
        <v>654</v>
      </c>
      <c r="E135" s="61" t="s">
        <v>491</v>
      </c>
      <c r="F135" s="61" t="s">
        <v>355</v>
      </c>
      <c r="G135" s="61" t="s">
        <v>292</v>
      </c>
      <c r="H135" s="61" t="s">
        <v>221</v>
      </c>
      <c r="I135" s="58" t="n">
        <v>46327</v>
      </c>
      <c r="J135" s="58" t="n">
        <v>46394</v>
      </c>
      <c r="K135" s="58" t="n">
        <v>46341</v>
      </c>
      <c r="L135" s="58"/>
      <c r="M135" s="58"/>
      <c r="N135" s="58" t="n">
        <v>46402</v>
      </c>
      <c r="O135" s="58"/>
      <c r="P135" s="61" t="s">
        <v>355</v>
      </c>
      <c r="Q135" s="58"/>
      <c r="R135" s="61"/>
      <c r="S135" s="62"/>
      <c r="T135" s="61"/>
      <c r="U135" s="61"/>
      <c r="V135" s="61"/>
      <c r="W135" s="61"/>
      <c r="X135" s="61"/>
      <c r="Y135" s="63" t="n">
        <v>0.1398</v>
      </c>
      <c r="Z135" s="61" t="n">
        <v>1400</v>
      </c>
      <c r="AA135" s="61" t="n">
        <v>1520</v>
      </c>
      <c r="AB135" s="61" t="n">
        <v>31</v>
      </c>
      <c r="AC135" s="61" t="n">
        <v>34</v>
      </c>
      <c r="AD135" s="61"/>
      <c r="AE135" s="62" t="n">
        <v>46405</v>
      </c>
      <c r="AF135" s="62" t="n">
        <v>23968</v>
      </c>
      <c r="AG135" s="63" t="n">
        <v>0.86</v>
      </c>
      <c r="AH135" s="61"/>
      <c r="AI135" s="61"/>
      <c r="AJ135" s="61"/>
      <c r="AK135" s="61" t="s">
        <v>589</v>
      </c>
      <c r="AL135" s="61" t="s">
        <v>1004</v>
      </c>
    </row>
    <row r="136" customFormat="false" ht="15" hidden="false" customHeight="true" outlineLevel="0" collapsed="false">
      <c r="A136" s="61" t="s">
        <v>1018</v>
      </c>
      <c r="B136" s="61" t="s">
        <v>923</v>
      </c>
      <c r="C136" s="61" t="s">
        <v>580</v>
      </c>
      <c r="D136" s="61" t="s">
        <v>849</v>
      </c>
      <c r="E136" s="61" t="s">
        <v>491</v>
      </c>
      <c r="F136" s="61" t="s">
        <v>355</v>
      </c>
      <c r="G136" s="61" t="s">
        <v>292</v>
      </c>
      <c r="H136" s="61" t="s">
        <v>221</v>
      </c>
      <c r="I136" s="58" t="n">
        <v>46327</v>
      </c>
      <c r="J136" s="58" t="n">
        <v>46402</v>
      </c>
      <c r="K136" s="58" t="n">
        <v>46327</v>
      </c>
      <c r="L136" s="58"/>
      <c r="M136" s="58"/>
      <c r="N136" s="58" t="n">
        <v>46402</v>
      </c>
      <c r="O136" s="58"/>
      <c r="P136" s="61" t="s">
        <v>355</v>
      </c>
      <c r="Q136" s="58"/>
      <c r="R136" s="61"/>
      <c r="S136" s="62"/>
      <c r="T136" s="61"/>
      <c r="U136" s="61"/>
      <c r="V136" s="61"/>
      <c r="W136" s="61"/>
      <c r="X136" s="61"/>
      <c r="Y136" s="63" t="n">
        <v>0.3654</v>
      </c>
      <c r="Z136" s="61" t="n">
        <v>1430</v>
      </c>
      <c r="AA136" s="61" t="n">
        <v>1540</v>
      </c>
      <c r="AB136" s="61" t="n">
        <v>32</v>
      </c>
      <c r="AC136" s="61" t="n">
        <v>34</v>
      </c>
      <c r="AD136" s="61"/>
      <c r="AE136" s="62" t="n">
        <v>40708</v>
      </c>
      <c r="AF136" s="62" t="n">
        <v>18708</v>
      </c>
      <c r="AG136" s="63" t="n">
        <v>0.87</v>
      </c>
      <c r="AH136" s="61"/>
      <c r="AI136" s="61"/>
      <c r="AJ136" s="61"/>
      <c r="AK136" s="61" t="s">
        <v>589</v>
      </c>
      <c r="AL136" s="61" t="s">
        <v>1004</v>
      </c>
    </row>
    <row r="137" customFormat="false" ht="15" hidden="false" customHeight="true" outlineLevel="0" collapsed="false">
      <c r="A137" s="61" t="s">
        <v>1019</v>
      </c>
      <c r="B137" s="61" t="s">
        <v>923</v>
      </c>
      <c r="C137" s="61" t="s">
        <v>1020</v>
      </c>
      <c r="D137" s="61" t="s">
        <v>883</v>
      </c>
      <c r="E137" s="61" t="s">
        <v>491</v>
      </c>
      <c r="F137" s="61" t="s">
        <v>355</v>
      </c>
      <c r="G137" s="61" t="s">
        <v>1021</v>
      </c>
      <c r="H137" s="61" t="s">
        <v>221</v>
      </c>
      <c r="I137" s="58" t="n">
        <v>46327</v>
      </c>
      <c r="J137" s="58" t="n">
        <v>46392</v>
      </c>
      <c r="K137" s="58"/>
      <c r="L137" s="58"/>
      <c r="M137" s="58"/>
      <c r="N137" s="58" t="n">
        <v>46392</v>
      </c>
      <c r="O137" s="58"/>
      <c r="P137" s="61" t="s">
        <v>355</v>
      </c>
      <c r="Q137" s="58"/>
      <c r="R137" s="61"/>
      <c r="S137" s="62" t="n">
        <v>50</v>
      </c>
      <c r="T137" s="61" t="s">
        <v>703</v>
      </c>
      <c r="U137" s="61" t="s">
        <v>401</v>
      </c>
      <c r="V137" s="61" t="s">
        <v>1022</v>
      </c>
      <c r="W137" s="61" t="s">
        <v>214</v>
      </c>
      <c r="X137" s="61" t="s">
        <v>1023</v>
      </c>
      <c r="Y137" s="63" t="n">
        <v>0.4013</v>
      </c>
      <c r="Z137" s="61" t="n">
        <v>1410</v>
      </c>
      <c r="AA137" s="61" t="n">
        <v>1520</v>
      </c>
      <c r="AB137" s="61" t="n">
        <v>32</v>
      </c>
      <c r="AC137" s="61" t="n">
        <v>34</v>
      </c>
      <c r="AD137" s="61"/>
      <c r="AE137" s="62" t="n">
        <v>48701</v>
      </c>
      <c r="AF137" s="62" t="n">
        <v>15324</v>
      </c>
      <c r="AG137" s="63"/>
      <c r="AH137" s="61" t="n">
        <v>1</v>
      </c>
      <c r="AI137" s="61" t="s">
        <v>1024</v>
      </c>
      <c r="AJ137" s="61" t="s">
        <v>1024</v>
      </c>
      <c r="AK137" s="61" t="s">
        <v>370</v>
      </c>
      <c r="AL137" s="61" t="s">
        <v>1025</v>
      </c>
    </row>
    <row r="138" customFormat="false" ht="15" hidden="false" customHeight="true" outlineLevel="0" collapsed="false">
      <c r="A138" s="61" t="s">
        <v>1026</v>
      </c>
      <c r="B138" s="61" t="s">
        <v>923</v>
      </c>
      <c r="C138" s="61" t="s">
        <v>1027</v>
      </c>
      <c r="D138" s="61" t="s">
        <v>883</v>
      </c>
      <c r="E138" s="61" t="s">
        <v>491</v>
      </c>
      <c r="F138" s="61" t="s">
        <v>355</v>
      </c>
      <c r="G138" s="61" t="s">
        <v>1021</v>
      </c>
      <c r="H138" s="61" t="s">
        <v>221</v>
      </c>
      <c r="I138" s="58" t="n">
        <v>46341</v>
      </c>
      <c r="J138" s="58" t="n">
        <v>46388</v>
      </c>
      <c r="K138" s="58"/>
      <c r="L138" s="58"/>
      <c r="M138" s="58"/>
      <c r="N138" s="58" t="n">
        <v>46388</v>
      </c>
      <c r="O138" s="58"/>
      <c r="P138" s="61" t="s">
        <v>355</v>
      </c>
      <c r="Q138" s="58"/>
      <c r="R138" s="61"/>
      <c r="S138" s="62" t="n">
        <v>65</v>
      </c>
      <c r="T138" s="61" t="s">
        <v>1028</v>
      </c>
      <c r="U138" s="61" t="s">
        <v>401</v>
      </c>
      <c r="V138" s="61" t="s">
        <v>622</v>
      </c>
      <c r="W138" s="61"/>
      <c r="X138" s="61" t="s">
        <v>1029</v>
      </c>
      <c r="Y138" s="63"/>
      <c r="Z138" s="61"/>
      <c r="AA138" s="61"/>
      <c r="AB138" s="61"/>
      <c r="AC138" s="61"/>
      <c r="AD138" s="61"/>
      <c r="AE138" s="62" t="n">
        <v>42520</v>
      </c>
      <c r="AF138" s="62" t="n">
        <v>8186</v>
      </c>
      <c r="AG138" s="63"/>
      <c r="AH138" s="61"/>
      <c r="AI138" s="61" t="s">
        <v>1030</v>
      </c>
      <c r="AJ138" s="61" t="s">
        <v>1031</v>
      </c>
      <c r="AK138" s="61" t="s">
        <v>827</v>
      </c>
      <c r="AL138" s="61" t="s">
        <v>1032</v>
      </c>
    </row>
    <row r="139" customFormat="false" ht="15" hidden="false" customHeight="true" outlineLevel="0" collapsed="false">
      <c r="A139" s="61" t="s">
        <v>1033</v>
      </c>
      <c r="B139" s="61" t="s">
        <v>923</v>
      </c>
      <c r="C139" s="61" t="s">
        <v>1034</v>
      </c>
      <c r="D139" s="61" t="s">
        <v>1035</v>
      </c>
      <c r="E139" s="61" t="s">
        <v>491</v>
      </c>
      <c r="F139" s="61" t="s">
        <v>355</v>
      </c>
      <c r="G139" s="61" t="s">
        <v>292</v>
      </c>
      <c r="H139" s="61" t="s">
        <v>221</v>
      </c>
      <c r="I139" s="58" t="n">
        <v>46341</v>
      </c>
      <c r="J139" s="58" t="n">
        <v>46392</v>
      </c>
      <c r="K139" s="58"/>
      <c r="L139" s="58"/>
      <c r="M139" s="58"/>
      <c r="N139" s="58" t="n">
        <v>46402</v>
      </c>
      <c r="O139" s="58"/>
      <c r="P139" s="61" t="s">
        <v>355</v>
      </c>
      <c r="Q139" s="58"/>
      <c r="R139" s="61"/>
      <c r="S139" s="62" t="n">
        <v>0</v>
      </c>
      <c r="T139" s="61" t="s">
        <v>522</v>
      </c>
      <c r="U139" s="61" t="s">
        <v>401</v>
      </c>
      <c r="V139" s="61" t="s">
        <v>918</v>
      </c>
      <c r="W139" s="61"/>
      <c r="X139" s="61" t="s">
        <v>1036</v>
      </c>
      <c r="Y139" s="63"/>
      <c r="Z139" s="61"/>
      <c r="AA139" s="61"/>
      <c r="AB139" s="61"/>
      <c r="AC139" s="61"/>
      <c r="AD139" s="61"/>
      <c r="AE139" s="62" t="n">
        <v>40716</v>
      </c>
      <c r="AF139" s="62" t="n">
        <v>11945</v>
      </c>
      <c r="AG139" s="63"/>
      <c r="AH139" s="61" t="n">
        <v>0</v>
      </c>
      <c r="AI139" s="61" t="s">
        <v>1037</v>
      </c>
      <c r="AJ139" s="61" t="s">
        <v>1038</v>
      </c>
      <c r="AK139" s="61" t="s">
        <v>362</v>
      </c>
      <c r="AL139" s="61" t="s">
        <v>1039</v>
      </c>
    </row>
    <row r="140" customFormat="false" ht="15" hidden="false" customHeight="true" outlineLevel="0" collapsed="false">
      <c r="A140" s="61" t="s">
        <v>1040</v>
      </c>
      <c r="B140" s="61" t="s">
        <v>923</v>
      </c>
      <c r="C140" s="61" t="s">
        <v>882</v>
      </c>
      <c r="D140" s="61" t="s">
        <v>883</v>
      </c>
      <c r="E140" s="61" t="s">
        <v>491</v>
      </c>
      <c r="F140" s="61" t="s">
        <v>355</v>
      </c>
      <c r="G140" s="61" t="s">
        <v>492</v>
      </c>
      <c r="H140" s="61" t="s">
        <v>221</v>
      </c>
      <c r="I140" s="58" t="n">
        <v>46327</v>
      </c>
      <c r="J140" s="58"/>
      <c r="K140" s="58"/>
      <c r="L140" s="58"/>
      <c r="M140" s="58"/>
      <c r="N140" s="58" t="n">
        <v>46388</v>
      </c>
      <c r="O140" s="58"/>
      <c r="P140" s="61" t="s">
        <v>355</v>
      </c>
      <c r="Q140" s="58"/>
      <c r="R140" s="61"/>
      <c r="S140" s="62" t="n">
        <v>75</v>
      </c>
      <c r="T140" s="61" t="s">
        <v>1041</v>
      </c>
      <c r="U140" s="61" t="s">
        <v>401</v>
      </c>
      <c r="V140" s="61" t="s">
        <v>918</v>
      </c>
      <c r="W140" s="61"/>
      <c r="X140" s="61" t="s">
        <v>1042</v>
      </c>
      <c r="Y140" s="63"/>
      <c r="Z140" s="61"/>
      <c r="AA140" s="61"/>
      <c r="AB140" s="61"/>
      <c r="AC140" s="61"/>
      <c r="AD140" s="61"/>
      <c r="AE140" s="62" t="n">
        <v>59614</v>
      </c>
      <c r="AF140" s="62" t="n">
        <v>12377</v>
      </c>
      <c r="AG140" s="63"/>
      <c r="AH140" s="61" t="n">
        <v>2</v>
      </c>
      <c r="AI140" s="61" t="s">
        <v>1043</v>
      </c>
      <c r="AJ140" s="61" t="s">
        <v>1043</v>
      </c>
      <c r="AK140" s="61" t="s">
        <v>362</v>
      </c>
      <c r="AL140" s="61" t="s">
        <v>1044</v>
      </c>
    </row>
    <row r="141" customFormat="false" ht="15" hidden="false" customHeight="true" outlineLevel="0" collapsed="false">
      <c r="A141" s="61" t="s">
        <v>1045</v>
      </c>
      <c r="B141" s="61" t="s">
        <v>923</v>
      </c>
      <c r="C141" s="61" t="s">
        <v>1046</v>
      </c>
      <c r="D141" s="61" t="s">
        <v>853</v>
      </c>
      <c r="E141" s="61" t="s">
        <v>491</v>
      </c>
      <c r="F141" s="61" t="s">
        <v>355</v>
      </c>
      <c r="G141" s="61" t="s">
        <v>1021</v>
      </c>
      <c r="H141" s="61" t="s">
        <v>221</v>
      </c>
      <c r="I141" s="58" t="n">
        <v>46341</v>
      </c>
      <c r="J141" s="58" t="n">
        <v>46392</v>
      </c>
      <c r="K141" s="58"/>
      <c r="L141" s="58"/>
      <c r="M141" s="58"/>
      <c r="N141" s="58" t="n">
        <v>46402</v>
      </c>
      <c r="O141" s="58"/>
      <c r="P141" s="61" t="s">
        <v>355</v>
      </c>
      <c r="Q141" s="58"/>
      <c r="R141" s="61"/>
      <c r="S141" s="62" t="n">
        <v>0</v>
      </c>
      <c r="T141" s="61" t="s">
        <v>522</v>
      </c>
      <c r="U141" s="61" t="s">
        <v>401</v>
      </c>
      <c r="V141" s="61" t="s">
        <v>918</v>
      </c>
      <c r="W141" s="61"/>
      <c r="X141" s="61" t="s">
        <v>1047</v>
      </c>
      <c r="Y141" s="63"/>
      <c r="Z141" s="61"/>
      <c r="AA141" s="61"/>
      <c r="AB141" s="61"/>
      <c r="AC141" s="61"/>
      <c r="AD141" s="61"/>
      <c r="AE141" s="62" t="n">
        <v>45232</v>
      </c>
      <c r="AF141" s="62" t="n">
        <v>6075</v>
      </c>
      <c r="AG141" s="63"/>
      <c r="AH141" s="61"/>
      <c r="AI141" s="61" t="s">
        <v>1048</v>
      </c>
      <c r="AJ141" s="61"/>
      <c r="AK141" s="61" t="s">
        <v>827</v>
      </c>
      <c r="AL141" s="61" t="s">
        <v>1049</v>
      </c>
    </row>
    <row r="142" customFormat="false" ht="15" hidden="false" customHeight="true" outlineLevel="0" collapsed="false">
      <c r="A142" s="61" t="s">
        <v>1050</v>
      </c>
      <c r="B142" s="61" t="s">
        <v>923</v>
      </c>
      <c r="C142" s="61" t="s">
        <v>1051</v>
      </c>
      <c r="D142" s="61" t="s">
        <v>883</v>
      </c>
      <c r="E142" s="61" t="s">
        <v>491</v>
      </c>
      <c r="F142" s="61" t="s">
        <v>355</v>
      </c>
      <c r="G142" s="61" t="s">
        <v>854</v>
      </c>
      <c r="H142" s="61" t="s">
        <v>221</v>
      </c>
      <c r="I142" s="58" t="n">
        <v>46341</v>
      </c>
      <c r="J142" s="58" t="n">
        <v>46391</v>
      </c>
      <c r="K142" s="58"/>
      <c r="L142" s="58"/>
      <c r="M142" s="58"/>
      <c r="N142" s="58" t="n">
        <v>46391</v>
      </c>
      <c r="O142" s="58"/>
      <c r="P142" s="61" t="s">
        <v>355</v>
      </c>
      <c r="Q142" s="58"/>
      <c r="R142" s="61"/>
      <c r="S142" s="62" t="n">
        <v>65</v>
      </c>
      <c r="T142" s="61" t="s">
        <v>703</v>
      </c>
      <c r="U142" s="61" t="s">
        <v>401</v>
      </c>
      <c r="V142" s="61" t="s">
        <v>1052</v>
      </c>
      <c r="W142" s="61"/>
      <c r="X142" s="61" t="s">
        <v>401</v>
      </c>
      <c r="Y142" s="63"/>
      <c r="Z142" s="61"/>
      <c r="AA142" s="61"/>
      <c r="AB142" s="61"/>
      <c r="AC142" s="61"/>
      <c r="AD142" s="61"/>
      <c r="AE142" s="62" t="n">
        <v>49684</v>
      </c>
      <c r="AF142" s="62" t="n">
        <v>7942</v>
      </c>
      <c r="AG142" s="63"/>
      <c r="AH142" s="61"/>
      <c r="AI142" s="61" t="s">
        <v>1053</v>
      </c>
      <c r="AJ142" s="61" t="s">
        <v>1053</v>
      </c>
      <c r="AK142" s="61" t="s">
        <v>370</v>
      </c>
      <c r="AL142" s="61" t="s">
        <v>1054</v>
      </c>
    </row>
    <row r="143" customFormat="false" ht="15" hidden="false" customHeight="true" outlineLevel="0" collapsed="false">
      <c r="A143" s="61" t="s">
        <v>1055</v>
      </c>
      <c r="B143" s="61" t="s">
        <v>923</v>
      </c>
      <c r="C143" s="61" t="s">
        <v>1056</v>
      </c>
      <c r="D143" s="61" t="s">
        <v>1006</v>
      </c>
      <c r="E143" s="61" t="s">
        <v>491</v>
      </c>
      <c r="F143" s="61" t="s">
        <v>355</v>
      </c>
      <c r="G143" s="61" t="s">
        <v>854</v>
      </c>
      <c r="H143" s="61" t="s">
        <v>221</v>
      </c>
      <c r="I143" s="58" t="n">
        <v>46341</v>
      </c>
      <c r="J143" s="58" t="n">
        <v>46391</v>
      </c>
      <c r="K143" s="58"/>
      <c r="L143" s="58"/>
      <c r="M143" s="58"/>
      <c r="N143" s="58" t="n">
        <v>46391</v>
      </c>
      <c r="O143" s="58"/>
      <c r="P143" s="61" t="s">
        <v>355</v>
      </c>
      <c r="Q143" s="58"/>
      <c r="R143" s="61"/>
      <c r="S143" s="62" t="n">
        <v>0</v>
      </c>
      <c r="T143" s="61" t="s">
        <v>1057</v>
      </c>
      <c r="U143" s="61" t="s">
        <v>401</v>
      </c>
      <c r="V143" s="61" t="s">
        <v>918</v>
      </c>
      <c r="W143" s="61" t="s">
        <v>214</v>
      </c>
      <c r="X143" s="61" t="s">
        <v>1058</v>
      </c>
      <c r="Y143" s="63"/>
      <c r="Z143" s="61"/>
      <c r="AA143" s="61"/>
      <c r="AB143" s="61"/>
      <c r="AC143" s="61"/>
      <c r="AD143" s="61"/>
      <c r="AE143" s="62" t="n">
        <v>52423</v>
      </c>
      <c r="AF143" s="62" t="n">
        <v>2335</v>
      </c>
      <c r="AG143" s="63"/>
      <c r="AH143" s="61"/>
      <c r="AI143" s="61" t="s">
        <v>1059</v>
      </c>
      <c r="AJ143" s="61" t="s">
        <v>1060</v>
      </c>
      <c r="AK143" s="61" t="s">
        <v>370</v>
      </c>
      <c r="AL143" s="61" t="s">
        <v>1061</v>
      </c>
    </row>
    <row r="144" customFormat="false" ht="15" hidden="false" customHeight="true" outlineLevel="0" collapsed="false">
      <c r="A144" s="61" t="s">
        <v>1062</v>
      </c>
      <c r="B144" s="61" t="s">
        <v>923</v>
      </c>
      <c r="C144" s="61" t="s">
        <v>1063</v>
      </c>
      <c r="D144" s="61" t="s">
        <v>1064</v>
      </c>
      <c r="E144" s="61" t="s">
        <v>491</v>
      </c>
      <c r="F144" s="61" t="s">
        <v>355</v>
      </c>
      <c r="G144" s="61" t="s">
        <v>854</v>
      </c>
      <c r="H144" s="61" t="s">
        <v>221</v>
      </c>
      <c r="I144" s="58" t="n">
        <v>46328</v>
      </c>
      <c r="J144" s="58" t="n">
        <v>46391</v>
      </c>
      <c r="K144" s="58"/>
      <c r="L144" s="58"/>
      <c r="M144" s="58"/>
      <c r="N144" s="58" t="n">
        <v>46391</v>
      </c>
      <c r="O144" s="58"/>
      <c r="P144" s="61" t="s">
        <v>355</v>
      </c>
      <c r="Q144" s="58"/>
      <c r="R144" s="61"/>
      <c r="S144" s="62"/>
      <c r="T144" s="61"/>
      <c r="U144" s="61" t="s">
        <v>401</v>
      </c>
      <c r="V144" s="61" t="s">
        <v>1065</v>
      </c>
      <c r="W144" s="61" t="s">
        <v>359</v>
      </c>
      <c r="X144" s="61" t="s">
        <v>1066</v>
      </c>
      <c r="Y144" s="63" t="n">
        <v>0.18</v>
      </c>
      <c r="Z144" s="61" t="n">
        <v>1460</v>
      </c>
      <c r="AA144" s="61" t="n">
        <v>1530</v>
      </c>
      <c r="AB144" s="61" t="n">
        <v>33</v>
      </c>
      <c r="AC144" s="61" t="n">
        <v>34</v>
      </c>
      <c r="AD144" s="61"/>
      <c r="AE144" s="62" t="n">
        <v>54404</v>
      </c>
      <c r="AF144" s="62" t="n">
        <v>6161</v>
      </c>
      <c r="AG144" s="63"/>
      <c r="AH144" s="61"/>
      <c r="AI144" s="61" t="s">
        <v>1067</v>
      </c>
      <c r="AJ144" s="61" t="s">
        <v>1067</v>
      </c>
      <c r="AK144" s="61" t="s">
        <v>370</v>
      </c>
      <c r="AL144" s="61" t="s">
        <v>1068</v>
      </c>
    </row>
    <row r="145" customFormat="false" ht="15" hidden="false" customHeight="true" outlineLevel="0" collapsed="false">
      <c r="A145" s="61" t="s">
        <v>1069</v>
      </c>
      <c r="B145" s="61" t="s">
        <v>923</v>
      </c>
      <c r="C145" s="61" t="s">
        <v>1070</v>
      </c>
      <c r="D145" s="61" t="s">
        <v>1006</v>
      </c>
      <c r="E145" s="61" t="s">
        <v>491</v>
      </c>
      <c r="F145" s="61" t="s">
        <v>355</v>
      </c>
      <c r="G145" s="61" t="s">
        <v>854</v>
      </c>
      <c r="H145" s="61" t="s">
        <v>221</v>
      </c>
      <c r="I145" s="58"/>
      <c r="J145" s="58"/>
      <c r="K145" s="58"/>
      <c r="L145" s="58"/>
      <c r="M145" s="58"/>
      <c r="N145" s="58" t="n">
        <v>46397</v>
      </c>
      <c r="O145" s="58"/>
      <c r="P145" s="61" t="s">
        <v>355</v>
      </c>
      <c r="Q145" s="58"/>
      <c r="R145" s="61"/>
      <c r="S145" s="62" t="n">
        <v>0</v>
      </c>
      <c r="T145" s="61" t="s">
        <v>522</v>
      </c>
      <c r="U145" s="61" t="s">
        <v>401</v>
      </c>
      <c r="V145" s="61" t="s">
        <v>1071</v>
      </c>
      <c r="W145" s="61" t="s">
        <v>214</v>
      </c>
      <c r="X145" s="61"/>
      <c r="Y145" s="63"/>
      <c r="Z145" s="61"/>
      <c r="AA145" s="61"/>
      <c r="AB145" s="61"/>
      <c r="AC145" s="61"/>
      <c r="AD145" s="61"/>
      <c r="AE145" s="62" t="n">
        <v>54710</v>
      </c>
      <c r="AF145" s="62" t="n">
        <v>4618</v>
      </c>
      <c r="AG145" s="63"/>
      <c r="AH145" s="61"/>
      <c r="AI145" s="61" t="s">
        <v>1072</v>
      </c>
      <c r="AJ145" s="61" t="s">
        <v>1072</v>
      </c>
      <c r="AK145" s="61" t="s">
        <v>370</v>
      </c>
      <c r="AL145" s="61" t="s">
        <v>1073</v>
      </c>
    </row>
    <row r="146" customFormat="false" ht="15" hidden="false" customHeight="true" outlineLevel="0" collapsed="false">
      <c r="A146" s="61" t="s">
        <v>1074</v>
      </c>
      <c r="B146" s="61" t="s">
        <v>923</v>
      </c>
      <c r="C146" s="61" t="s">
        <v>715</v>
      </c>
      <c r="D146" s="61" t="s">
        <v>628</v>
      </c>
      <c r="E146" s="61" t="s">
        <v>491</v>
      </c>
      <c r="F146" s="61" t="s">
        <v>355</v>
      </c>
      <c r="G146" s="61" t="s">
        <v>292</v>
      </c>
      <c r="H146" s="61" t="s">
        <v>221</v>
      </c>
      <c r="I146" s="58" t="n">
        <v>46327</v>
      </c>
      <c r="J146" s="58" t="n">
        <v>46388</v>
      </c>
      <c r="K146" s="58"/>
      <c r="L146" s="58"/>
      <c r="M146" s="58"/>
      <c r="N146" s="58"/>
      <c r="O146" s="58"/>
      <c r="P146" s="61" t="s">
        <v>355</v>
      </c>
      <c r="Q146" s="58"/>
      <c r="R146" s="61"/>
      <c r="S146" s="62"/>
      <c r="T146" s="61"/>
      <c r="U146" s="61"/>
      <c r="V146" s="61"/>
      <c r="W146" s="61"/>
      <c r="X146" s="61"/>
      <c r="Y146" s="63"/>
      <c r="Z146" s="61"/>
      <c r="AA146" s="61"/>
      <c r="AB146" s="61"/>
      <c r="AC146" s="61"/>
      <c r="AD146" s="61"/>
      <c r="AE146" s="62"/>
      <c r="AF146" s="62"/>
      <c r="AG146" s="63"/>
      <c r="AH146" s="61"/>
      <c r="AI146" s="61" t="s">
        <v>1075</v>
      </c>
      <c r="AJ146" s="61"/>
      <c r="AK146" s="61" t="s">
        <v>370</v>
      </c>
      <c r="AL146" s="61" t="s">
        <v>1076</v>
      </c>
    </row>
    <row r="147" customFormat="false" ht="15" hidden="false" customHeight="true" outlineLevel="0" collapsed="false">
      <c r="A147" s="61" t="s">
        <v>1077</v>
      </c>
      <c r="B147" s="61" t="s">
        <v>923</v>
      </c>
      <c r="C147" s="61" t="s">
        <v>1078</v>
      </c>
      <c r="D147" s="61" t="s">
        <v>628</v>
      </c>
      <c r="E147" s="61" t="s">
        <v>491</v>
      </c>
      <c r="F147" s="61" t="s">
        <v>355</v>
      </c>
      <c r="G147" s="61" t="s">
        <v>854</v>
      </c>
      <c r="H147" s="61" t="s">
        <v>221</v>
      </c>
      <c r="I147" s="58" t="n">
        <v>46327</v>
      </c>
      <c r="J147" s="58" t="n">
        <v>46392</v>
      </c>
      <c r="K147" s="58"/>
      <c r="L147" s="58"/>
      <c r="M147" s="58"/>
      <c r="N147" s="58" t="n">
        <v>46392</v>
      </c>
      <c r="O147" s="58"/>
      <c r="P147" s="61" t="s">
        <v>355</v>
      </c>
      <c r="Q147" s="58" t="n">
        <v>46357</v>
      </c>
      <c r="R147" s="61" t="s">
        <v>1079</v>
      </c>
      <c r="S147" s="62"/>
      <c r="T147" s="61"/>
      <c r="U147" s="61" t="s">
        <v>401</v>
      </c>
      <c r="V147" s="61" t="s">
        <v>918</v>
      </c>
      <c r="W147" s="61" t="s">
        <v>214</v>
      </c>
      <c r="X147" s="61" t="s">
        <v>1080</v>
      </c>
      <c r="Y147" s="63"/>
      <c r="Z147" s="61"/>
      <c r="AA147" s="61"/>
      <c r="AB147" s="61"/>
      <c r="AC147" s="61"/>
      <c r="AD147" s="61"/>
      <c r="AE147" s="62"/>
      <c r="AF147" s="62"/>
      <c r="AG147" s="63"/>
      <c r="AH147" s="61" t="n">
        <v>0</v>
      </c>
      <c r="AI147" s="61" t="s">
        <v>1081</v>
      </c>
      <c r="AJ147" s="61" t="s">
        <v>1081</v>
      </c>
      <c r="AK147" s="61" t="s">
        <v>362</v>
      </c>
      <c r="AL147" s="61" t="s">
        <v>1082</v>
      </c>
    </row>
    <row r="148" customFormat="false" ht="15" hidden="false" customHeight="true" outlineLevel="0" collapsed="false">
      <c r="A148" s="61" t="s">
        <v>1083</v>
      </c>
      <c r="B148" s="61" t="s">
        <v>1084</v>
      </c>
      <c r="C148" s="61" t="s">
        <v>548</v>
      </c>
      <c r="D148" s="61" t="s">
        <v>636</v>
      </c>
      <c r="E148" s="61" t="s">
        <v>354</v>
      </c>
      <c r="F148" s="61" t="s">
        <v>355</v>
      </c>
      <c r="G148" s="61" t="s">
        <v>292</v>
      </c>
      <c r="H148" s="61" t="s">
        <v>221</v>
      </c>
      <c r="I148" s="58" t="n">
        <v>46310</v>
      </c>
      <c r="J148" s="58"/>
      <c r="K148" s="58" t="n">
        <v>46327</v>
      </c>
      <c r="L148" s="58"/>
      <c r="M148" s="58"/>
      <c r="N148" s="58" t="n">
        <v>46402</v>
      </c>
      <c r="O148" s="58"/>
      <c r="P148" s="61" t="s">
        <v>355</v>
      </c>
      <c r="Q148" s="58"/>
      <c r="R148" s="61"/>
      <c r="S148" s="62" t="n">
        <v>30</v>
      </c>
      <c r="T148" s="61" t="s">
        <v>1085</v>
      </c>
      <c r="U148" s="61" t="s">
        <v>214</v>
      </c>
      <c r="V148" s="61" t="s">
        <v>375</v>
      </c>
      <c r="W148" s="61" t="s">
        <v>359</v>
      </c>
      <c r="X148" s="61"/>
      <c r="Y148" s="63"/>
      <c r="Z148" s="61"/>
      <c r="AA148" s="61"/>
      <c r="AB148" s="61"/>
      <c r="AC148" s="61"/>
      <c r="AD148" s="61"/>
      <c r="AE148" s="62"/>
      <c r="AF148" s="62"/>
      <c r="AG148" s="63"/>
      <c r="AH148" s="61" t="n">
        <v>1</v>
      </c>
      <c r="AI148" s="61" t="s">
        <v>1086</v>
      </c>
      <c r="AJ148" s="61" t="s">
        <v>1087</v>
      </c>
      <c r="AK148" s="61" t="s">
        <v>370</v>
      </c>
      <c r="AL148" s="61" t="s">
        <v>1088</v>
      </c>
    </row>
    <row r="149" customFormat="false" ht="15" hidden="false" customHeight="true" outlineLevel="0" collapsed="false">
      <c r="A149" s="61" t="s">
        <v>1089</v>
      </c>
      <c r="B149" s="61" t="s">
        <v>1084</v>
      </c>
      <c r="C149" s="61" t="s">
        <v>635</v>
      </c>
      <c r="D149" s="61" t="s">
        <v>636</v>
      </c>
      <c r="E149" s="61" t="s">
        <v>354</v>
      </c>
      <c r="F149" s="61" t="s">
        <v>355</v>
      </c>
      <c r="G149" s="61" t="s">
        <v>1090</v>
      </c>
      <c r="H149" s="61" t="s">
        <v>221</v>
      </c>
      <c r="I149" s="58" t="n">
        <v>46310</v>
      </c>
      <c r="J149" s="58"/>
      <c r="K149" s="58" t="n">
        <v>46310</v>
      </c>
      <c r="L149" s="58"/>
      <c r="M149" s="58"/>
      <c r="N149" s="58" t="n">
        <v>46357</v>
      </c>
      <c r="O149" s="58"/>
      <c r="P149" s="61" t="s">
        <v>355</v>
      </c>
      <c r="Q149" s="58"/>
      <c r="R149" s="61"/>
      <c r="S149" s="62" t="n">
        <v>30</v>
      </c>
      <c r="T149" s="61" t="s">
        <v>1091</v>
      </c>
      <c r="U149" s="61" t="s">
        <v>214</v>
      </c>
      <c r="V149" s="61" t="s">
        <v>1092</v>
      </c>
      <c r="W149" s="61"/>
      <c r="X149" s="61"/>
      <c r="Y149" s="63"/>
      <c r="Z149" s="61"/>
      <c r="AA149" s="61"/>
      <c r="AB149" s="61"/>
      <c r="AC149" s="61"/>
      <c r="AD149" s="61"/>
      <c r="AE149" s="62"/>
      <c r="AF149" s="62"/>
      <c r="AG149" s="63"/>
      <c r="AH149" s="61" t="n">
        <v>0</v>
      </c>
      <c r="AI149" s="61" t="s">
        <v>1093</v>
      </c>
      <c r="AJ149" s="61"/>
      <c r="AK149" s="61" t="s">
        <v>362</v>
      </c>
      <c r="AL149" s="61" t="s">
        <v>1094</v>
      </c>
    </row>
    <row r="150" customFormat="false" ht="15" hidden="false" customHeight="true" outlineLevel="0" collapsed="false">
      <c r="A150" s="61" t="s">
        <v>1095</v>
      </c>
      <c r="B150" s="61" t="s">
        <v>1084</v>
      </c>
      <c r="C150" s="61" t="s">
        <v>1096</v>
      </c>
      <c r="D150" s="61" t="s">
        <v>636</v>
      </c>
      <c r="E150" s="61" t="s">
        <v>354</v>
      </c>
      <c r="F150" s="61" t="s">
        <v>355</v>
      </c>
      <c r="G150" s="61" t="s">
        <v>1097</v>
      </c>
      <c r="H150" s="61" t="s">
        <v>221</v>
      </c>
      <c r="I150" s="58"/>
      <c r="J150" s="58"/>
      <c r="K150" s="58"/>
      <c r="L150" s="58"/>
      <c r="M150" s="58"/>
      <c r="N150" s="58" t="n">
        <v>46508</v>
      </c>
      <c r="O150" s="58" t="n">
        <v>46310</v>
      </c>
      <c r="P150" s="61" t="s">
        <v>221</v>
      </c>
      <c r="Q150" s="58" t="n">
        <v>46310</v>
      </c>
      <c r="R150" s="61" t="s">
        <v>1098</v>
      </c>
      <c r="S150" s="62" t="n">
        <v>30</v>
      </c>
      <c r="T150" s="61" t="s">
        <v>1099</v>
      </c>
      <c r="U150" s="61"/>
      <c r="V150" s="61"/>
      <c r="W150" s="61"/>
      <c r="X150" s="61"/>
      <c r="Y150" s="63"/>
      <c r="Z150" s="61"/>
      <c r="AA150" s="61"/>
      <c r="AB150" s="61"/>
      <c r="AC150" s="61"/>
      <c r="AD150" s="61"/>
      <c r="AE150" s="62"/>
      <c r="AF150" s="62"/>
      <c r="AG150" s="63"/>
      <c r="AH150" s="61" t="n">
        <v>0</v>
      </c>
      <c r="AI150" s="61" t="s">
        <v>1100</v>
      </c>
      <c r="AJ150" s="61"/>
      <c r="AK150" s="61" t="s">
        <v>362</v>
      </c>
      <c r="AL150" s="61" t="s">
        <v>1101</v>
      </c>
    </row>
    <row r="151" customFormat="false" ht="15" hidden="false" customHeight="true" outlineLevel="0" collapsed="false">
      <c r="A151" s="61" t="s">
        <v>1102</v>
      </c>
      <c r="B151" s="61" t="s">
        <v>1084</v>
      </c>
      <c r="C151" s="61" t="s">
        <v>1103</v>
      </c>
      <c r="D151" s="61" t="s">
        <v>636</v>
      </c>
      <c r="E151" s="61" t="s">
        <v>354</v>
      </c>
      <c r="F151" s="61" t="s">
        <v>355</v>
      </c>
      <c r="G151" s="61" t="s">
        <v>1104</v>
      </c>
      <c r="H151" s="61" t="s">
        <v>221</v>
      </c>
      <c r="I151" s="58"/>
      <c r="J151" s="58"/>
      <c r="K151" s="58" t="n">
        <v>46328</v>
      </c>
      <c r="L151" s="58"/>
      <c r="M151" s="58"/>
      <c r="N151" s="58" t="n">
        <v>46372</v>
      </c>
      <c r="O151" s="58" t="n">
        <v>46402</v>
      </c>
      <c r="P151" s="61" t="s">
        <v>355</v>
      </c>
      <c r="Q151" s="58" t="n">
        <v>46402</v>
      </c>
      <c r="R151" s="61" t="s">
        <v>1105</v>
      </c>
      <c r="S151" s="62" t="n">
        <v>30</v>
      </c>
      <c r="T151" s="61" t="s">
        <v>1099</v>
      </c>
      <c r="U151" s="61" t="s">
        <v>214</v>
      </c>
      <c r="V151" s="61" t="s">
        <v>375</v>
      </c>
      <c r="W151" s="61"/>
      <c r="X151" s="61"/>
      <c r="Y151" s="63"/>
      <c r="Z151" s="61"/>
      <c r="AA151" s="61"/>
      <c r="AB151" s="61"/>
      <c r="AC151" s="61"/>
      <c r="AD151" s="61"/>
      <c r="AE151" s="62"/>
      <c r="AF151" s="62"/>
      <c r="AG151" s="63"/>
      <c r="AH151" s="61" t="n">
        <v>0</v>
      </c>
      <c r="AI151" s="61" t="s">
        <v>1106</v>
      </c>
      <c r="AJ151" s="61" t="s">
        <v>1107</v>
      </c>
      <c r="AK151" s="61" t="s">
        <v>362</v>
      </c>
      <c r="AL151" s="61" t="s">
        <v>1108</v>
      </c>
    </row>
    <row r="152" customFormat="false" ht="15" hidden="false" customHeight="true" outlineLevel="0" collapsed="false">
      <c r="A152" s="61" t="s">
        <v>1109</v>
      </c>
      <c r="B152" s="61" t="s">
        <v>1084</v>
      </c>
      <c r="C152" s="61" t="s">
        <v>1110</v>
      </c>
      <c r="D152" s="61" t="s">
        <v>636</v>
      </c>
      <c r="E152" s="61" t="s">
        <v>354</v>
      </c>
      <c r="F152" s="61" t="s">
        <v>355</v>
      </c>
      <c r="G152" s="61" t="s">
        <v>380</v>
      </c>
      <c r="H152" s="61" t="s">
        <v>221</v>
      </c>
      <c r="I152" s="58"/>
      <c r="J152" s="58"/>
      <c r="K152" s="58" t="n">
        <v>46328</v>
      </c>
      <c r="L152" s="58"/>
      <c r="M152" s="58"/>
      <c r="N152" s="58" t="n">
        <v>46448</v>
      </c>
      <c r="O152" s="58"/>
      <c r="P152" s="61" t="s">
        <v>355</v>
      </c>
      <c r="Q152" s="58"/>
      <c r="R152" s="61"/>
      <c r="S152" s="62" t="n">
        <v>30</v>
      </c>
      <c r="T152" s="61" t="s">
        <v>1111</v>
      </c>
      <c r="U152" s="61" t="s">
        <v>214</v>
      </c>
      <c r="V152" s="61" t="s">
        <v>375</v>
      </c>
      <c r="W152" s="61" t="s">
        <v>359</v>
      </c>
      <c r="X152" s="61"/>
      <c r="Y152" s="63" t="n">
        <v>0.547</v>
      </c>
      <c r="Z152" s="61" t="n">
        <v>1070</v>
      </c>
      <c r="AA152" s="61" t="n">
        <v>1260</v>
      </c>
      <c r="AB152" s="61" t="n">
        <v>22</v>
      </c>
      <c r="AC152" s="61" t="n">
        <v>27</v>
      </c>
      <c r="AD152" s="61"/>
      <c r="AE152" s="62" t="n">
        <v>19637</v>
      </c>
      <c r="AF152" s="62" t="n">
        <v>5002</v>
      </c>
      <c r="AG152" s="63" t="n">
        <v>0.74</v>
      </c>
      <c r="AH152" s="61"/>
      <c r="AI152" s="61" t="s">
        <v>1112</v>
      </c>
      <c r="AJ152" s="61"/>
      <c r="AK152" s="61" t="s">
        <v>370</v>
      </c>
      <c r="AL152" s="61" t="s">
        <v>1113</v>
      </c>
    </row>
    <row r="153" customFormat="false" ht="15" hidden="false" customHeight="true" outlineLevel="0" collapsed="false">
      <c r="A153" s="61" t="s">
        <v>1114</v>
      </c>
      <c r="B153" s="61" t="s">
        <v>1084</v>
      </c>
      <c r="C153" s="61" t="s">
        <v>843</v>
      </c>
      <c r="D153" s="61" t="s">
        <v>647</v>
      </c>
      <c r="E153" s="61" t="s">
        <v>354</v>
      </c>
      <c r="F153" s="61" t="s">
        <v>355</v>
      </c>
      <c r="G153" s="61" t="s">
        <v>380</v>
      </c>
      <c r="H153" s="61" t="s">
        <v>221</v>
      </c>
      <c r="I153" s="58"/>
      <c r="J153" s="58"/>
      <c r="K153" s="58"/>
      <c r="L153" s="58"/>
      <c r="M153" s="58"/>
      <c r="N153" s="58"/>
      <c r="O153" s="58" t="n">
        <v>46360</v>
      </c>
      <c r="P153" s="61" t="s">
        <v>221</v>
      </c>
      <c r="Q153" s="58" t="n">
        <v>46360</v>
      </c>
      <c r="R153" s="61" t="s">
        <v>1115</v>
      </c>
      <c r="S153" s="62" t="n">
        <v>50</v>
      </c>
      <c r="T153" s="61" t="s">
        <v>1116</v>
      </c>
      <c r="U153" s="61" t="s">
        <v>401</v>
      </c>
      <c r="V153" s="61" t="s">
        <v>755</v>
      </c>
      <c r="W153" s="61" t="s">
        <v>359</v>
      </c>
      <c r="X153" s="61"/>
      <c r="Y153" s="63" t="n">
        <v>0.712</v>
      </c>
      <c r="Z153" s="61" t="n">
        <v>1100</v>
      </c>
      <c r="AA153" s="61" t="n">
        <v>1360</v>
      </c>
      <c r="AB153" s="61" t="n">
        <v>22</v>
      </c>
      <c r="AC153" s="61" t="n">
        <v>31</v>
      </c>
      <c r="AD153" s="61"/>
      <c r="AE153" s="62"/>
      <c r="AF153" s="62"/>
      <c r="AG153" s="63"/>
      <c r="AH153" s="61"/>
      <c r="AI153" s="61" t="s">
        <v>1117</v>
      </c>
      <c r="AJ153" s="61"/>
      <c r="AK153" s="61" t="s">
        <v>370</v>
      </c>
      <c r="AL153" s="61" t="s">
        <v>1118</v>
      </c>
    </row>
    <row r="154" customFormat="false" ht="15" hidden="false" customHeight="true" outlineLevel="0" collapsed="false">
      <c r="A154" s="61" t="s">
        <v>1119</v>
      </c>
      <c r="B154" s="61" t="s">
        <v>1084</v>
      </c>
      <c r="C154" s="61" t="s">
        <v>1120</v>
      </c>
      <c r="D154" s="61" t="s">
        <v>647</v>
      </c>
      <c r="E154" s="61" t="s">
        <v>354</v>
      </c>
      <c r="F154" s="61" t="s">
        <v>355</v>
      </c>
      <c r="G154" s="61" t="s">
        <v>380</v>
      </c>
      <c r="H154" s="61" t="s">
        <v>221</v>
      </c>
      <c r="I154" s="58"/>
      <c r="J154" s="58"/>
      <c r="K154" s="58" t="n">
        <v>46357</v>
      </c>
      <c r="L154" s="58"/>
      <c r="M154" s="58"/>
      <c r="N154" s="58" t="n">
        <v>46419</v>
      </c>
      <c r="O154" s="58"/>
      <c r="P154" s="61" t="s">
        <v>355</v>
      </c>
      <c r="Q154" s="58" t="n">
        <v>46419</v>
      </c>
      <c r="R154" s="61" t="s">
        <v>1121</v>
      </c>
      <c r="S154" s="62" t="n">
        <v>50</v>
      </c>
      <c r="T154" s="61" t="s">
        <v>1122</v>
      </c>
      <c r="U154" s="61" t="s">
        <v>214</v>
      </c>
      <c r="V154" s="61" t="s">
        <v>755</v>
      </c>
      <c r="W154" s="61" t="s">
        <v>359</v>
      </c>
      <c r="X154" s="61"/>
      <c r="Y154" s="63" t="n">
        <v>0.459</v>
      </c>
      <c r="Z154" s="61" t="n">
        <v>1260</v>
      </c>
      <c r="AA154" s="61" t="n">
        <v>1380</v>
      </c>
      <c r="AB154" s="61" t="n">
        <v>26</v>
      </c>
      <c r="AC154" s="61" t="n">
        <v>31</v>
      </c>
      <c r="AD154" s="61"/>
      <c r="AE154" s="62"/>
      <c r="AF154" s="62"/>
      <c r="AG154" s="63"/>
      <c r="AH154" s="61"/>
      <c r="AI154" s="61" t="s">
        <v>1123</v>
      </c>
      <c r="AJ154" s="61"/>
      <c r="AK154" s="61" t="s">
        <v>370</v>
      </c>
      <c r="AL154" s="61" t="s">
        <v>1124</v>
      </c>
    </row>
    <row r="155" customFormat="false" ht="15" hidden="false" customHeight="true" outlineLevel="0" collapsed="false">
      <c r="A155" s="61" t="s">
        <v>1125</v>
      </c>
      <c r="B155" s="61" t="s">
        <v>1084</v>
      </c>
      <c r="C155" s="61" t="s">
        <v>1126</v>
      </c>
      <c r="D155" s="61" t="s">
        <v>647</v>
      </c>
      <c r="E155" s="61" t="s">
        <v>354</v>
      </c>
      <c r="F155" s="61" t="s">
        <v>355</v>
      </c>
      <c r="G155" s="61" t="s">
        <v>380</v>
      </c>
      <c r="H155" s="61" t="s">
        <v>221</v>
      </c>
      <c r="I155" s="58"/>
      <c r="J155" s="58"/>
      <c r="K155" s="58"/>
      <c r="L155" s="58"/>
      <c r="M155" s="58"/>
      <c r="N155" s="58"/>
      <c r="O155" s="58" t="n">
        <v>46539</v>
      </c>
      <c r="P155" s="61" t="s">
        <v>221</v>
      </c>
      <c r="Q155" s="58" t="n">
        <v>46508</v>
      </c>
      <c r="R155" s="61" t="s">
        <v>1127</v>
      </c>
      <c r="S155" s="62" t="n">
        <v>40</v>
      </c>
      <c r="T155" s="61" t="s">
        <v>926</v>
      </c>
      <c r="U155" s="61" t="s">
        <v>401</v>
      </c>
      <c r="V155" s="61" t="s">
        <v>755</v>
      </c>
      <c r="W155" s="61" t="s">
        <v>359</v>
      </c>
      <c r="X155" s="61"/>
      <c r="Y155" s="63" t="n">
        <v>0.882</v>
      </c>
      <c r="Z155" s="61" t="n">
        <v>1190</v>
      </c>
      <c r="AA155" s="61" t="n">
        <v>1430</v>
      </c>
      <c r="AB155" s="61" t="n">
        <v>23</v>
      </c>
      <c r="AC155" s="61" t="n">
        <v>30</v>
      </c>
      <c r="AD155" s="61"/>
      <c r="AE155" s="62"/>
      <c r="AF155" s="62"/>
      <c r="AG155" s="63"/>
      <c r="AH155" s="61"/>
      <c r="AI155" s="61" t="s">
        <v>1128</v>
      </c>
      <c r="AJ155" s="61"/>
      <c r="AK155" s="61" t="s">
        <v>370</v>
      </c>
      <c r="AL155" s="61" t="s">
        <v>1129</v>
      </c>
    </row>
    <row r="156" customFormat="false" ht="15" hidden="false" customHeight="true" outlineLevel="0" collapsed="false">
      <c r="A156" s="61" t="s">
        <v>1130</v>
      </c>
      <c r="B156" s="61" t="s">
        <v>1084</v>
      </c>
      <c r="C156" s="61" t="s">
        <v>1131</v>
      </c>
      <c r="D156" s="61" t="s">
        <v>684</v>
      </c>
      <c r="E156" s="61" t="s">
        <v>354</v>
      </c>
      <c r="F156" s="61" t="s">
        <v>355</v>
      </c>
      <c r="G156" s="61" t="s">
        <v>380</v>
      </c>
      <c r="H156" s="61" t="s">
        <v>221</v>
      </c>
      <c r="I156" s="58"/>
      <c r="J156" s="58"/>
      <c r="K156" s="58" t="n">
        <v>46327</v>
      </c>
      <c r="L156" s="58"/>
      <c r="M156" s="58"/>
      <c r="N156" s="58" t="n">
        <v>46392</v>
      </c>
      <c r="O156" s="58"/>
      <c r="P156" s="61" t="s">
        <v>355</v>
      </c>
      <c r="Q156" s="58"/>
      <c r="R156" s="61"/>
      <c r="S156" s="62" t="n">
        <v>75</v>
      </c>
      <c r="T156" s="61" t="s">
        <v>1132</v>
      </c>
      <c r="U156" s="61" t="s">
        <v>214</v>
      </c>
      <c r="V156" s="61" t="s">
        <v>375</v>
      </c>
      <c r="W156" s="61" t="s">
        <v>359</v>
      </c>
      <c r="X156" s="61"/>
      <c r="Y156" s="63" t="n">
        <v>0.436</v>
      </c>
      <c r="Z156" s="61" t="n">
        <v>1280</v>
      </c>
      <c r="AA156" s="61" t="n">
        <v>1380</v>
      </c>
      <c r="AB156" s="61" t="n">
        <v>26</v>
      </c>
      <c r="AC156" s="61" t="n">
        <v>31</v>
      </c>
      <c r="AD156" s="61"/>
      <c r="AE156" s="62"/>
      <c r="AF156" s="62"/>
      <c r="AG156" s="63"/>
      <c r="AH156" s="61"/>
      <c r="AI156" s="61" t="s">
        <v>1133</v>
      </c>
      <c r="AJ156" s="61" t="s">
        <v>1134</v>
      </c>
      <c r="AK156" s="61" t="s">
        <v>370</v>
      </c>
      <c r="AL156" s="61" t="s">
        <v>1135</v>
      </c>
    </row>
    <row r="157" customFormat="false" ht="15" hidden="false" customHeight="true" outlineLevel="0" collapsed="false">
      <c r="A157" s="61" t="s">
        <v>1136</v>
      </c>
      <c r="B157" s="61" t="s">
        <v>1084</v>
      </c>
      <c r="C157" s="61" t="s">
        <v>1137</v>
      </c>
      <c r="D157" s="61" t="s">
        <v>775</v>
      </c>
      <c r="E157" s="61" t="s">
        <v>354</v>
      </c>
      <c r="F157" s="61" t="s">
        <v>355</v>
      </c>
      <c r="G157" s="61" t="s">
        <v>1138</v>
      </c>
      <c r="H157" s="61" t="s">
        <v>221</v>
      </c>
      <c r="I157" s="58"/>
      <c r="J157" s="58"/>
      <c r="K157" s="58" t="n">
        <v>46310</v>
      </c>
      <c r="L157" s="58"/>
      <c r="M157" s="58"/>
      <c r="N157" s="58" t="n">
        <v>46388</v>
      </c>
      <c r="O157" s="58"/>
      <c r="P157" s="61" t="s">
        <v>355</v>
      </c>
      <c r="Q157" s="58" t="n">
        <v>46388</v>
      </c>
      <c r="R157" s="61" t="s">
        <v>1139</v>
      </c>
      <c r="S157" s="62" t="n">
        <v>70</v>
      </c>
      <c r="T157" s="61" t="s">
        <v>1140</v>
      </c>
      <c r="U157" s="61" t="s">
        <v>401</v>
      </c>
      <c r="V157" s="61" t="s">
        <v>755</v>
      </c>
      <c r="W157" s="61" t="s">
        <v>359</v>
      </c>
      <c r="X157" s="61"/>
      <c r="Y157" s="63" t="n">
        <v>0.383</v>
      </c>
      <c r="Z157" s="61" t="n">
        <v>1250</v>
      </c>
      <c r="AA157" s="61" t="n">
        <v>1400</v>
      </c>
      <c r="AB157" s="61" t="n">
        <v>28</v>
      </c>
      <c r="AC157" s="61" t="n">
        <v>32</v>
      </c>
      <c r="AD157" s="61"/>
      <c r="AE157" s="62"/>
      <c r="AF157" s="62"/>
      <c r="AG157" s="63"/>
      <c r="AH157" s="61"/>
      <c r="AI157" s="61" t="s">
        <v>1141</v>
      </c>
      <c r="AJ157" s="61" t="s">
        <v>1142</v>
      </c>
      <c r="AK157" s="61" t="s">
        <v>370</v>
      </c>
      <c r="AL157" s="61" t="s">
        <v>1143</v>
      </c>
    </row>
    <row r="158" customFormat="false" ht="15" hidden="false" customHeight="true" outlineLevel="0" collapsed="false">
      <c r="A158" s="61" t="s">
        <v>1144</v>
      </c>
      <c r="B158" s="61" t="s">
        <v>1084</v>
      </c>
      <c r="C158" s="61" t="s">
        <v>782</v>
      </c>
      <c r="D158" s="61" t="s">
        <v>775</v>
      </c>
      <c r="E158" s="61" t="s">
        <v>354</v>
      </c>
      <c r="F158" s="61" t="s">
        <v>355</v>
      </c>
      <c r="G158" s="61" t="s">
        <v>380</v>
      </c>
      <c r="H158" s="61" t="s">
        <v>221</v>
      </c>
      <c r="I158" s="58"/>
      <c r="J158" s="58"/>
      <c r="K158" s="58" t="n">
        <v>46310</v>
      </c>
      <c r="L158" s="58"/>
      <c r="M158" s="58"/>
      <c r="N158" s="58" t="n">
        <v>46357</v>
      </c>
      <c r="O158" s="58" t="n">
        <v>46341</v>
      </c>
      <c r="P158" s="61" t="s">
        <v>355</v>
      </c>
      <c r="Q158" s="58"/>
      <c r="R158" s="61" t="s">
        <v>1145</v>
      </c>
      <c r="S158" s="62"/>
      <c r="T158" s="61"/>
      <c r="U158" s="61" t="s">
        <v>401</v>
      </c>
      <c r="V158" s="61" t="s">
        <v>1146</v>
      </c>
      <c r="W158" s="61" t="s">
        <v>359</v>
      </c>
      <c r="X158" s="61"/>
      <c r="Y158" s="63" t="n">
        <v>0.565</v>
      </c>
      <c r="Z158" s="61" t="n">
        <v>1200</v>
      </c>
      <c r="AA158" s="61" t="n">
        <v>1360</v>
      </c>
      <c r="AB158" s="61" t="n">
        <v>26</v>
      </c>
      <c r="AC158" s="61" t="n">
        <v>32</v>
      </c>
      <c r="AD158" s="61"/>
      <c r="AE158" s="62"/>
      <c r="AF158" s="62"/>
      <c r="AG158" s="63"/>
      <c r="AH158" s="61"/>
      <c r="AI158" s="61" t="s">
        <v>1147</v>
      </c>
      <c r="AJ158" s="61" t="s">
        <v>1148</v>
      </c>
      <c r="AK158" s="61" t="s">
        <v>370</v>
      </c>
      <c r="AL158" s="61" t="s">
        <v>1149</v>
      </c>
    </row>
    <row r="159" customFormat="false" ht="15" hidden="false" customHeight="true" outlineLevel="0" collapsed="false">
      <c r="A159" s="61" t="s">
        <v>1150</v>
      </c>
      <c r="B159" s="61" t="s">
        <v>1084</v>
      </c>
      <c r="C159" s="61" t="s">
        <v>1151</v>
      </c>
      <c r="D159" s="61" t="s">
        <v>775</v>
      </c>
      <c r="E159" s="61" t="s">
        <v>354</v>
      </c>
      <c r="F159" s="61" t="s">
        <v>355</v>
      </c>
      <c r="G159" s="61" t="s">
        <v>380</v>
      </c>
      <c r="H159" s="61" t="s">
        <v>221</v>
      </c>
      <c r="I159" s="58" t="n">
        <v>46328</v>
      </c>
      <c r="J159" s="58" t="n">
        <v>46402</v>
      </c>
      <c r="K159" s="58" t="n">
        <v>46328</v>
      </c>
      <c r="L159" s="58"/>
      <c r="M159" s="58"/>
      <c r="N159" s="58" t="n">
        <v>46402</v>
      </c>
      <c r="O159" s="58"/>
      <c r="P159" s="61" t="s">
        <v>355</v>
      </c>
      <c r="Q159" s="58"/>
      <c r="R159" s="61"/>
      <c r="S159" s="62" t="n">
        <v>60</v>
      </c>
      <c r="T159" s="61" t="s">
        <v>1152</v>
      </c>
      <c r="U159" s="61" t="s">
        <v>401</v>
      </c>
      <c r="V159" s="61" t="s">
        <v>1153</v>
      </c>
      <c r="W159" s="61" t="s">
        <v>359</v>
      </c>
      <c r="X159" s="61"/>
      <c r="Y159" s="63" t="n">
        <v>0.73</v>
      </c>
      <c r="Z159" s="61" t="n">
        <v>1200</v>
      </c>
      <c r="AA159" s="61" t="n">
        <v>1340</v>
      </c>
      <c r="AB159" s="61" t="n">
        <v>26</v>
      </c>
      <c r="AC159" s="61" t="n">
        <v>31</v>
      </c>
      <c r="AD159" s="61"/>
      <c r="AE159" s="62"/>
      <c r="AF159" s="62"/>
      <c r="AG159" s="63"/>
      <c r="AH159" s="61"/>
      <c r="AI159" s="61" t="s">
        <v>1154</v>
      </c>
      <c r="AJ159" s="61"/>
      <c r="AK159" s="61" t="s">
        <v>370</v>
      </c>
      <c r="AL159" s="61" t="s">
        <v>1155</v>
      </c>
    </row>
    <row r="160" customFormat="false" ht="15" hidden="false" customHeight="true" outlineLevel="0" collapsed="false">
      <c r="A160" s="61" t="s">
        <v>1156</v>
      </c>
      <c r="B160" s="61" t="s">
        <v>1084</v>
      </c>
      <c r="C160" s="61" t="s">
        <v>1157</v>
      </c>
      <c r="D160" s="61" t="s">
        <v>642</v>
      </c>
      <c r="E160" s="61" t="s">
        <v>354</v>
      </c>
      <c r="F160" s="61" t="s">
        <v>355</v>
      </c>
      <c r="G160" s="61" t="s">
        <v>292</v>
      </c>
      <c r="H160" s="61" t="s">
        <v>221</v>
      </c>
      <c r="I160" s="58"/>
      <c r="J160" s="58"/>
      <c r="K160" s="58" t="n">
        <v>46310</v>
      </c>
      <c r="L160" s="58"/>
      <c r="M160" s="58"/>
      <c r="N160" s="58" t="n">
        <v>46402</v>
      </c>
      <c r="O160" s="58"/>
      <c r="P160" s="61" t="s">
        <v>355</v>
      </c>
      <c r="Q160" s="58"/>
      <c r="R160" s="61"/>
      <c r="S160" s="62" t="n">
        <v>85</v>
      </c>
      <c r="T160" s="61" t="s">
        <v>1158</v>
      </c>
      <c r="U160" s="61" t="s">
        <v>401</v>
      </c>
      <c r="V160" s="61" t="s">
        <v>1159</v>
      </c>
      <c r="W160" s="61" t="s">
        <v>359</v>
      </c>
      <c r="X160" s="61"/>
      <c r="Y160" s="63" t="n">
        <v>0.167</v>
      </c>
      <c r="Z160" s="61" t="n">
        <v>1400</v>
      </c>
      <c r="AA160" s="61" t="n">
        <v>1530</v>
      </c>
      <c r="AB160" s="61" t="n">
        <v>29</v>
      </c>
      <c r="AC160" s="61" t="n">
        <v>34</v>
      </c>
      <c r="AD160" s="61"/>
      <c r="AE160" s="62"/>
      <c r="AF160" s="62"/>
      <c r="AG160" s="63"/>
      <c r="AH160" s="61"/>
      <c r="AI160" s="61" t="s">
        <v>1160</v>
      </c>
      <c r="AJ160" s="61"/>
      <c r="AK160" s="61" t="s">
        <v>370</v>
      </c>
      <c r="AL160" s="61" t="s">
        <v>1161</v>
      </c>
    </row>
    <row r="161" customFormat="false" ht="15" hidden="false" customHeight="true" outlineLevel="0" collapsed="false">
      <c r="A161" s="61" t="s">
        <v>1162</v>
      </c>
      <c r="B161" s="61" t="s">
        <v>1084</v>
      </c>
      <c r="C161" s="61" t="s">
        <v>765</v>
      </c>
      <c r="D161" s="61" t="s">
        <v>642</v>
      </c>
      <c r="E161" s="61" t="s">
        <v>354</v>
      </c>
      <c r="F161" s="61" t="s">
        <v>355</v>
      </c>
      <c r="G161" s="61" t="s">
        <v>1021</v>
      </c>
      <c r="H161" s="61" t="s">
        <v>221</v>
      </c>
      <c r="I161" s="58"/>
      <c r="J161" s="58"/>
      <c r="K161" s="58"/>
      <c r="L161" s="58"/>
      <c r="M161" s="58"/>
      <c r="N161" s="58" t="n">
        <v>46402</v>
      </c>
      <c r="O161" s="58"/>
      <c r="P161" s="61" t="s">
        <v>355</v>
      </c>
      <c r="Q161" s="58"/>
      <c r="R161" s="61"/>
      <c r="S161" s="62" t="n">
        <v>85</v>
      </c>
      <c r="T161" s="61" t="s">
        <v>1163</v>
      </c>
      <c r="U161" s="61" t="s">
        <v>401</v>
      </c>
      <c r="V161" s="61" t="s">
        <v>755</v>
      </c>
      <c r="W161" s="61" t="s">
        <v>359</v>
      </c>
      <c r="X161" s="61"/>
      <c r="Y161" s="63" t="n">
        <v>0.395</v>
      </c>
      <c r="Z161" s="61" t="n">
        <v>1310</v>
      </c>
      <c r="AA161" s="61" t="n">
        <v>1440</v>
      </c>
      <c r="AB161" s="61" t="n">
        <v>28</v>
      </c>
      <c r="AC161" s="61" t="n">
        <v>32</v>
      </c>
      <c r="AD161" s="61"/>
      <c r="AE161" s="62"/>
      <c r="AF161" s="62"/>
      <c r="AG161" s="63"/>
      <c r="AH161" s="61" t="n">
        <v>1</v>
      </c>
      <c r="AI161" s="61" t="s">
        <v>1164</v>
      </c>
      <c r="AJ161" s="61" t="s">
        <v>1165</v>
      </c>
      <c r="AK161" s="61" t="s">
        <v>370</v>
      </c>
      <c r="AL161" s="61" t="s">
        <v>1166</v>
      </c>
    </row>
    <row r="162" customFormat="false" ht="15" hidden="false" customHeight="true" outlineLevel="0" collapsed="false">
      <c r="A162" s="61" t="s">
        <v>1167</v>
      </c>
      <c r="B162" s="61" t="s">
        <v>1084</v>
      </c>
      <c r="C162" s="61" t="s">
        <v>759</v>
      </c>
      <c r="D162" s="61" t="s">
        <v>642</v>
      </c>
      <c r="E162" s="61" t="s">
        <v>354</v>
      </c>
      <c r="F162" s="61" t="s">
        <v>355</v>
      </c>
      <c r="G162" s="61" t="s">
        <v>380</v>
      </c>
      <c r="H162" s="61" t="s">
        <v>221</v>
      </c>
      <c r="I162" s="58"/>
      <c r="J162" s="58"/>
      <c r="K162" s="58"/>
      <c r="L162" s="58"/>
      <c r="M162" s="58"/>
      <c r="N162" s="58"/>
      <c r="O162" s="58"/>
      <c r="P162" s="61" t="s">
        <v>355</v>
      </c>
      <c r="Q162" s="58"/>
      <c r="R162" s="61"/>
      <c r="S162" s="62"/>
      <c r="T162" s="61"/>
      <c r="U162" s="61"/>
      <c r="V162" s="61"/>
      <c r="W162" s="61" t="s">
        <v>359</v>
      </c>
      <c r="X162" s="61"/>
      <c r="Y162" s="63" t="n">
        <v>0.778</v>
      </c>
      <c r="Z162" s="61" t="n">
        <v>1150</v>
      </c>
      <c r="AA162" s="61" t="n">
        <v>1340</v>
      </c>
      <c r="AB162" s="61" t="n">
        <v>21</v>
      </c>
      <c r="AC162" s="61" t="n">
        <v>27</v>
      </c>
      <c r="AD162" s="61"/>
      <c r="AE162" s="62"/>
      <c r="AF162" s="62"/>
      <c r="AG162" s="63"/>
      <c r="AH162" s="61"/>
      <c r="AI162" s="61" t="s">
        <v>1168</v>
      </c>
      <c r="AJ162" s="61"/>
      <c r="AK162" s="61" t="s">
        <v>432</v>
      </c>
      <c r="AL162" s="61" t="s">
        <v>1169</v>
      </c>
    </row>
    <row r="163" customFormat="false" ht="15" hidden="false" customHeight="true" outlineLevel="0" collapsed="false">
      <c r="A163" s="61" t="s">
        <v>1170</v>
      </c>
      <c r="B163" s="61" t="s">
        <v>1084</v>
      </c>
      <c r="C163" s="61" t="s">
        <v>1171</v>
      </c>
      <c r="D163" s="61" t="s">
        <v>642</v>
      </c>
      <c r="E163" s="61" t="s">
        <v>354</v>
      </c>
      <c r="F163" s="61" t="s">
        <v>355</v>
      </c>
      <c r="G163" s="61" t="s">
        <v>380</v>
      </c>
      <c r="H163" s="61" t="s">
        <v>221</v>
      </c>
      <c r="I163" s="58"/>
      <c r="J163" s="58"/>
      <c r="K163" s="58"/>
      <c r="L163" s="58"/>
      <c r="M163" s="58"/>
      <c r="N163" s="58"/>
      <c r="O163" s="58"/>
      <c r="P163" s="61" t="s">
        <v>355</v>
      </c>
      <c r="Q163" s="58"/>
      <c r="R163" s="61"/>
      <c r="S163" s="62"/>
      <c r="T163" s="61"/>
      <c r="U163" s="61"/>
      <c r="V163" s="61"/>
      <c r="W163" s="61" t="s">
        <v>359</v>
      </c>
      <c r="X163" s="61"/>
      <c r="Y163" s="63" t="n">
        <v>0.901</v>
      </c>
      <c r="Z163" s="61" t="n">
        <v>1140</v>
      </c>
      <c r="AA163" s="61" t="n">
        <v>1270</v>
      </c>
      <c r="AB163" s="61" t="n">
        <v>21</v>
      </c>
      <c r="AC163" s="61" t="n">
        <v>27</v>
      </c>
      <c r="AD163" s="61"/>
      <c r="AE163" s="62"/>
      <c r="AF163" s="62"/>
      <c r="AG163" s="63"/>
      <c r="AH163" s="61"/>
      <c r="AI163" s="61" t="s">
        <v>1172</v>
      </c>
      <c r="AJ163" s="61"/>
      <c r="AK163" s="61" t="s">
        <v>432</v>
      </c>
      <c r="AL163" s="61" t="s">
        <v>1169</v>
      </c>
    </row>
    <row r="164" customFormat="false" ht="15" hidden="false" customHeight="true" outlineLevel="0" collapsed="false">
      <c r="A164" s="61" t="s">
        <v>1173</v>
      </c>
      <c r="B164" s="61" t="s">
        <v>1084</v>
      </c>
      <c r="C164" s="61" t="s">
        <v>1174</v>
      </c>
      <c r="D164" s="61" t="s">
        <v>642</v>
      </c>
      <c r="E164" s="61" t="s">
        <v>354</v>
      </c>
      <c r="F164" s="61" t="s">
        <v>355</v>
      </c>
      <c r="G164" s="61" t="s">
        <v>380</v>
      </c>
      <c r="H164" s="61" t="s">
        <v>221</v>
      </c>
      <c r="I164" s="58"/>
      <c r="J164" s="58"/>
      <c r="K164" s="58"/>
      <c r="L164" s="58"/>
      <c r="M164" s="58"/>
      <c r="N164" s="58"/>
      <c r="O164" s="58"/>
      <c r="P164" s="61" t="s">
        <v>355</v>
      </c>
      <c r="Q164" s="58"/>
      <c r="R164" s="61"/>
      <c r="S164" s="62"/>
      <c r="T164" s="61"/>
      <c r="U164" s="61"/>
      <c r="V164" s="61"/>
      <c r="W164" s="61" t="s">
        <v>359</v>
      </c>
      <c r="X164" s="61"/>
      <c r="Y164" s="63"/>
      <c r="Z164" s="61"/>
      <c r="AA164" s="61"/>
      <c r="AB164" s="61"/>
      <c r="AC164" s="61"/>
      <c r="AD164" s="61"/>
      <c r="AE164" s="62"/>
      <c r="AF164" s="62"/>
      <c r="AG164" s="63"/>
      <c r="AH164" s="61"/>
      <c r="AI164" s="61" t="s">
        <v>1175</v>
      </c>
      <c r="AJ164" s="61"/>
      <c r="AK164" s="61" t="s">
        <v>432</v>
      </c>
      <c r="AL164" s="61" t="s">
        <v>1176</v>
      </c>
    </row>
    <row r="165" customFormat="false" ht="15" hidden="false" customHeight="true" outlineLevel="0" collapsed="false">
      <c r="A165" s="61" t="s">
        <v>1177</v>
      </c>
      <c r="B165" s="61" t="s">
        <v>1084</v>
      </c>
      <c r="C165" s="61" t="s">
        <v>641</v>
      </c>
      <c r="D165" s="61" t="s">
        <v>642</v>
      </c>
      <c r="E165" s="61" t="s">
        <v>354</v>
      </c>
      <c r="F165" s="61" t="s">
        <v>355</v>
      </c>
      <c r="G165" s="61" t="s">
        <v>380</v>
      </c>
      <c r="H165" s="61" t="s">
        <v>221</v>
      </c>
      <c r="I165" s="58"/>
      <c r="J165" s="58"/>
      <c r="K165" s="58"/>
      <c r="L165" s="58"/>
      <c r="M165" s="58"/>
      <c r="N165" s="58"/>
      <c r="O165" s="58"/>
      <c r="P165" s="61" t="s">
        <v>221</v>
      </c>
      <c r="Q165" s="58"/>
      <c r="R165" s="61"/>
      <c r="S165" s="62"/>
      <c r="T165" s="61"/>
      <c r="U165" s="61"/>
      <c r="V165" s="61"/>
      <c r="W165" s="61" t="s">
        <v>359</v>
      </c>
      <c r="X165" s="61"/>
      <c r="Y165" s="63"/>
      <c r="Z165" s="61"/>
      <c r="AA165" s="61"/>
      <c r="AB165" s="61"/>
      <c r="AC165" s="61"/>
      <c r="AD165" s="61"/>
      <c r="AE165" s="62"/>
      <c r="AF165" s="62"/>
      <c r="AG165" s="63"/>
      <c r="AH165" s="61"/>
      <c r="AI165" s="61" t="s">
        <v>1178</v>
      </c>
      <c r="AJ165" s="61"/>
      <c r="AK165" s="61" t="s">
        <v>589</v>
      </c>
      <c r="AL165" s="61" t="s">
        <v>1176</v>
      </c>
    </row>
    <row r="166" customFormat="false" ht="15" hidden="false" customHeight="true" outlineLevel="0" collapsed="false">
      <c r="A166" s="61" t="s">
        <v>1179</v>
      </c>
      <c r="B166" s="61" t="s">
        <v>1084</v>
      </c>
      <c r="C166" s="61" t="s">
        <v>1180</v>
      </c>
      <c r="D166" s="61" t="s">
        <v>628</v>
      </c>
      <c r="E166" s="61" t="s">
        <v>354</v>
      </c>
      <c r="F166" s="61" t="s">
        <v>355</v>
      </c>
      <c r="G166" s="61" t="s">
        <v>1021</v>
      </c>
      <c r="H166" s="61" t="s">
        <v>221</v>
      </c>
      <c r="I166" s="58" t="n">
        <v>46327</v>
      </c>
      <c r="J166" s="58"/>
      <c r="K166" s="58" t="n">
        <v>46327</v>
      </c>
      <c r="L166" s="58"/>
      <c r="M166" s="58"/>
      <c r="N166" s="58" t="n">
        <v>46392</v>
      </c>
      <c r="O166" s="58"/>
      <c r="P166" s="61" t="s">
        <v>355</v>
      </c>
      <c r="Q166" s="58"/>
      <c r="R166" s="61"/>
      <c r="S166" s="62"/>
      <c r="T166" s="61"/>
      <c r="U166" s="61"/>
      <c r="V166" s="61"/>
      <c r="W166" s="61" t="s">
        <v>359</v>
      </c>
      <c r="X166" s="61"/>
      <c r="Y166" s="63" t="n">
        <v>0.156</v>
      </c>
      <c r="Z166" s="61" t="n">
        <v>1410</v>
      </c>
      <c r="AA166" s="61" t="n">
        <v>1510</v>
      </c>
      <c r="AB166" s="61" t="n">
        <v>32</v>
      </c>
      <c r="AC166" s="61" t="n">
        <v>34</v>
      </c>
      <c r="AD166" s="61"/>
      <c r="AE166" s="62"/>
      <c r="AF166" s="62"/>
      <c r="AG166" s="63"/>
      <c r="AH166" s="61"/>
      <c r="AI166" s="61" t="s">
        <v>1181</v>
      </c>
      <c r="AJ166" s="61"/>
      <c r="AK166" s="61" t="s">
        <v>589</v>
      </c>
      <c r="AL166" s="61" t="s">
        <v>1182</v>
      </c>
    </row>
    <row r="167" customFormat="false" ht="15" hidden="false" customHeight="true" outlineLevel="0" collapsed="false">
      <c r="A167" s="61" t="s">
        <v>1183</v>
      </c>
      <c r="B167" s="61" t="s">
        <v>1084</v>
      </c>
      <c r="C167" s="61" t="s">
        <v>1184</v>
      </c>
      <c r="D167" s="61" t="s">
        <v>628</v>
      </c>
      <c r="E167" s="61" t="s">
        <v>354</v>
      </c>
      <c r="F167" s="61" t="s">
        <v>355</v>
      </c>
      <c r="G167" s="61" t="s">
        <v>292</v>
      </c>
      <c r="H167" s="61" t="s">
        <v>221</v>
      </c>
      <c r="I167" s="58"/>
      <c r="J167" s="58"/>
      <c r="K167" s="58" t="n">
        <v>46327</v>
      </c>
      <c r="L167" s="58"/>
      <c r="M167" s="58"/>
      <c r="N167" s="58" t="n">
        <v>46402</v>
      </c>
      <c r="O167" s="58"/>
      <c r="P167" s="61" t="s">
        <v>355</v>
      </c>
      <c r="Q167" s="58"/>
      <c r="R167" s="61"/>
      <c r="S167" s="62" t="n">
        <v>60</v>
      </c>
      <c r="T167" s="61" t="s">
        <v>1185</v>
      </c>
      <c r="U167" s="61" t="s">
        <v>401</v>
      </c>
      <c r="V167" s="61" t="s">
        <v>450</v>
      </c>
      <c r="W167" s="61"/>
      <c r="X167" s="61"/>
      <c r="Y167" s="63" t="n">
        <v>0.5478</v>
      </c>
      <c r="Z167" s="61" t="n">
        <v>1280</v>
      </c>
      <c r="AA167" s="61" t="n">
        <v>1450</v>
      </c>
      <c r="AB167" s="61" t="n">
        <v>28</v>
      </c>
      <c r="AC167" s="61" t="n">
        <v>32</v>
      </c>
      <c r="AD167" s="61" t="n">
        <v>3.97</v>
      </c>
      <c r="AE167" s="62" t="n">
        <v>24912</v>
      </c>
      <c r="AF167" s="62" t="n">
        <v>11689</v>
      </c>
      <c r="AG167" s="63" t="n">
        <v>0.86</v>
      </c>
      <c r="AH167" s="61" t="n">
        <v>4</v>
      </c>
      <c r="AI167" s="61" t="s">
        <v>1186</v>
      </c>
      <c r="AJ167" s="61" t="s">
        <v>1187</v>
      </c>
      <c r="AK167" s="61" t="s">
        <v>370</v>
      </c>
      <c r="AL167" s="61" t="s">
        <v>1188</v>
      </c>
    </row>
    <row r="168" customFormat="false" ht="15" hidden="false" customHeight="true" outlineLevel="0" collapsed="false">
      <c r="A168" s="61" t="s">
        <v>1189</v>
      </c>
      <c r="B168" s="61" t="s">
        <v>1084</v>
      </c>
      <c r="C168" s="61" t="s">
        <v>1190</v>
      </c>
      <c r="D168" s="61" t="s">
        <v>628</v>
      </c>
      <c r="E168" s="61" t="s">
        <v>354</v>
      </c>
      <c r="F168" s="61" t="s">
        <v>355</v>
      </c>
      <c r="G168" s="61" t="s">
        <v>292</v>
      </c>
      <c r="H168" s="61" t="s">
        <v>221</v>
      </c>
      <c r="I168" s="58" t="n">
        <v>46327</v>
      </c>
      <c r="J168" s="58" t="n">
        <v>46392</v>
      </c>
      <c r="K168" s="58"/>
      <c r="L168" s="58"/>
      <c r="M168" s="58"/>
      <c r="N168" s="58" t="n">
        <v>46392</v>
      </c>
      <c r="O168" s="58"/>
      <c r="P168" s="61" t="s">
        <v>355</v>
      </c>
      <c r="Q168" s="58"/>
      <c r="R168" s="61"/>
      <c r="S168" s="62" t="n">
        <v>75</v>
      </c>
      <c r="T168" s="61" t="s">
        <v>1191</v>
      </c>
      <c r="U168" s="61"/>
      <c r="V168" s="61" t="s">
        <v>1192</v>
      </c>
      <c r="W168" s="61" t="s">
        <v>868</v>
      </c>
      <c r="X168" s="61"/>
      <c r="Y168" s="63" t="n">
        <v>0.3407</v>
      </c>
      <c r="Z168" s="61" t="n">
        <v>1400</v>
      </c>
      <c r="AA168" s="61" t="n">
        <v>1530</v>
      </c>
      <c r="AB168" s="61" t="n">
        <v>32</v>
      </c>
      <c r="AC168" s="61" t="n">
        <v>34</v>
      </c>
      <c r="AD168" s="61"/>
      <c r="AE168" s="62" t="n">
        <v>19686</v>
      </c>
      <c r="AF168" s="62" t="n">
        <v>3106</v>
      </c>
      <c r="AG168" s="63" t="n">
        <v>0.89</v>
      </c>
      <c r="AH168" s="61" t="n">
        <v>0</v>
      </c>
      <c r="AI168" s="61" t="s">
        <v>1193</v>
      </c>
      <c r="AJ168" s="61" t="s">
        <v>1194</v>
      </c>
      <c r="AK168" s="61" t="s">
        <v>370</v>
      </c>
      <c r="AL168" s="61" t="s">
        <v>1195</v>
      </c>
    </row>
    <row r="169" customFormat="false" ht="15" hidden="false" customHeight="true" outlineLevel="0" collapsed="false">
      <c r="A169" s="61" t="s">
        <v>1196</v>
      </c>
      <c r="B169" s="61" t="s">
        <v>1084</v>
      </c>
      <c r="C169" s="61" t="s">
        <v>715</v>
      </c>
      <c r="D169" s="61" t="s">
        <v>628</v>
      </c>
      <c r="E169" s="61" t="s">
        <v>354</v>
      </c>
      <c r="F169" s="61" t="s">
        <v>355</v>
      </c>
      <c r="G169" s="61" t="s">
        <v>292</v>
      </c>
      <c r="H169" s="61" t="s">
        <v>221</v>
      </c>
      <c r="I169" s="58"/>
      <c r="J169" s="58"/>
      <c r="K169" s="58"/>
      <c r="L169" s="58"/>
      <c r="M169" s="58"/>
      <c r="N169" s="58" t="n">
        <v>46402</v>
      </c>
      <c r="O169" s="58" t="n">
        <v>46327</v>
      </c>
      <c r="P169" s="61" t="s">
        <v>355</v>
      </c>
      <c r="Q169" s="58" t="n">
        <v>46327</v>
      </c>
      <c r="R169" s="61" t="s">
        <v>1197</v>
      </c>
      <c r="S169" s="62" t="n">
        <v>70</v>
      </c>
      <c r="T169" s="61"/>
      <c r="U169" s="61" t="s">
        <v>401</v>
      </c>
      <c r="V169" s="61" t="s">
        <v>1198</v>
      </c>
      <c r="W169" s="61"/>
      <c r="X169" s="61"/>
      <c r="Y169" s="63" t="n">
        <v>0.9262</v>
      </c>
      <c r="Z169" s="61" t="n">
        <v>1030</v>
      </c>
      <c r="AA169" s="61" t="n">
        <v>1270</v>
      </c>
      <c r="AB169" s="61" t="n">
        <v>22</v>
      </c>
      <c r="AC169" s="61" t="n">
        <v>30</v>
      </c>
      <c r="AD169" s="61" t="n">
        <v>3.75</v>
      </c>
      <c r="AE169" s="62" t="n">
        <v>26836</v>
      </c>
      <c r="AF169" s="62" t="n">
        <v>17512</v>
      </c>
      <c r="AG169" s="63" t="n">
        <v>0.63</v>
      </c>
      <c r="AH169" s="61"/>
      <c r="AI169" s="61" t="s">
        <v>1199</v>
      </c>
      <c r="AJ169" s="61"/>
      <c r="AK169" s="61" t="s">
        <v>370</v>
      </c>
      <c r="AL169" s="61" t="s">
        <v>1200</v>
      </c>
    </row>
    <row r="170" customFormat="false" ht="15" hidden="false" customHeight="true" outlineLevel="0" collapsed="false">
      <c r="A170" s="61" t="s">
        <v>1201</v>
      </c>
      <c r="B170" s="61" t="s">
        <v>1084</v>
      </c>
      <c r="C170" s="61" t="s">
        <v>1202</v>
      </c>
      <c r="D170" s="61" t="s">
        <v>628</v>
      </c>
      <c r="E170" s="61" t="s">
        <v>354</v>
      </c>
      <c r="F170" s="61" t="s">
        <v>355</v>
      </c>
      <c r="G170" s="61" t="s">
        <v>292</v>
      </c>
      <c r="H170" s="61" t="s">
        <v>221</v>
      </c>
      <c r="I170" s="58"/>
      <c r="J170" s="58"/>
      <c r="K170" s="58" t="n">
        <v>46327</v>
      </c>
      <c r="L170" s="58"/>
      <c r="M170" s="58"/>
      <c r="N170" s="58" t="n">
        <v>46419</v>
      </c>
      <c r="O170" s="58"/>
      <c r="P170" s="61" t="s">
        <v>355</v>
      </c>
      <c r="Q170" s="58" t="n">
        <v>46327</v>
      </c>
      <c r="R170" s="61" t="s">
        <v>1203</v>
      </c>
      <c r="S170" s="62"/>
      <c r="T170" s="61"/>
      <c r="U170" s="61" t="s">
        <v>401</v>
      </c>
      <c r="V170" s="61" t="s">
        <v>1204</v>
      </c>
      <c r="W170" s="61"/>
      <c r="X170" s="61"/>
      <c r="Y170" s="63" t="n">
        <v>0.8748</v>
      </c>
      <c r="Z170" s="61" t="n">
        <v>1160</v>
      </c>
      <c r="AA170" s="61" t="n">
        <v>1360</v>
      </c>
      <c r="AB170" s="61" t="n">
        <v>25</v>
      </c>
      <c r="AC170" s="61" t="n">
        <v>30</v>
      </c>
      <c r="AD170" s="61" t="n">
        <v>3.68</v>
      </c>
      <c r="AE170" s="62" t="n">
        <v>18823</v>
      </c>
      <c r="AF170" s="62" t="n">
        <v>11942</v>
      </c>
      <c r="AG170" s="63" t="n">
        <v>0.68</v>
      </c>
      <c r="AH170" s="61"/>
      <c r="AI170" s="61" t="s">
        <v>1205</v>
      </c>
      <c r="AJ170" s="61"/>
      <c r="AK170" s="61" t="s">
        <v>370</v>
      </c>
      <c r="AL170" s="61" t="s">
        <v>1206</v>
      </c>
    </row>
    <row r="171" customFormat="false" ht="15" hidden="false" customHeight="true" outlineLevel="0" collapsed="false">
      <c r="A171" s="61" t="s">
        <v>1207</v>
      </c>
      <c r="B171" s="61" t="s">
        <v>1084</v>
      </c>
      <c r="C171" s="61" t="s">
        <v>1208</v>
      </c>
      <c r="D171" s="61" t="s">
        <v>670</v>
      </c>
      <c r="E171" s="61" t="s">
        <v>354</v>
      </c>
      <c r="F171" s="61" t="s">
        <v>355</v>
      </c>
      <c r="G171" s="61" t="s">
        <v>380</v>
      </c>
      <c r="H171" s="61" t="s">
        <v>221</v>
      </c>
      <c r="I171" s="58"/>
      <c r="J171" s="58"/>
      <c r="K171" s="58"/>
      <c r="L171" s="58"/>
      <c r="M171" s="58"/>
      <c r="N171" s="58"/>
      <c r="O171" s="58"/>
      <c r="P171" s="61" t="s">
        <v>221</v>
      </c>
      <c r="Q171" s="58" t="n">
        <v>46397</v>
      </c>
      <c r="R171" s="61" t="s">
        <v>1209</v>
      </c>
      <c r="S171" s="62"/>
      <c r="T171" s="61" t="s">
        <v>1210</v>
      </c>
      <c r="U171" s="61" t="s">
        <v>408</v>
      </c>
      <c r="V171" s="61" t="s">
        <v>450</v>
      </c>
      <c r="W171" s="61"/>
      <c r="X171" s="61"/>
      <c r="Y171" s="63" t="n">
        <v>0.9658</v>
      </c>
      <c r="Z171" s="61" t="n">
        <v>1000</v>
      </c>
      <c r="AA171" s="61" t="n">
        <v>1200</v>
      </c>
      <c r="AB171" s="61" t="n">
        <v>21</v>
      </c>
      <c r="AC171" s="61" t="n">
        <v>29</v>
      </c>
      <c r="AD171" s="61" t="n">
        <v>3.6</v>
      </c>
      <c r="AE171" s="62" t="n">
        <v>15045</v>
      </c>
      <c r="AF171" s="62" t="n">
        <v>8945</v>
      </c>
      <c r="AG171" s="63" t="n">
        <v>0.72</v>
      </c>
      <c r="AH171" s="61"/>
      <c r="AI171" s="61" t="s">
        <v>1211</v>
      </c>
      <c r="AJ171" s="61"/>
      <c r="AK171" s="61" t="s">
        <v>589</v>
      </c>
      <c r="AL171" s="61" t="s">
        <v>1212</v>
      </c>
    </row>
    <row r="172" customFormat="false" ht="15" hidden="false" customHeight="true" outlineLevel="0" collapsed="false">
      <c r="A172" s="61" t="s">
        <v>1213</v>
      </c>
      <c r="B172" s="61" t="s">
        <v>1084</v>
      </c>
      <c r="C172" s="61" t="s">
        <v>1214</v>
      </c>
      <c r="D172" s="61" t="s">
        <v>670</v>
      </c>
      <c r="E172" s="61" t="s">
        <v>354</v>
      </c>
      <c r="F172" s="61" t="s">
        <v>355</v>
      </c>
      <c r="G172" s="61" t="s">
        <v>292</v>
      </c>
      <c r="H172" s="61" t="s">
        <v>221</v>
      </c>
      <c r="I172" s="58"/>
      <c r="J172" s="58"/>
      <c r="K172" s="58"/>
      <c r="L172" s="58"/>
      <c r="M172" s="58"/>
      <c r="N172" s="58"/>
      <c r="O172" s="58"/>
      <c r="P172" s="61" t="s">
        <v>221</v>
      </c>
      <c r="Q172" s="58"/>
      <c r="R172" s="61"/>
      <c r="S172" s="62"/>
      <c r="T172" s="61"/>
      <c r="U172" s="61" t="s">
        <v>408</v>
      </c>
      <c r="V172" s="61" t="s">
        <v>450</v>
      </c>
      <c r="W172" s="61"/>
      <c r="X172" s="61"/>
      <c r="Y172" s="63" t="n">
        <v>0.7764</v>
      </c>
      <c r="Z172" s="61" t="n">
        <v>1100</v>
      </c>
      <c r="AA172" s="61" t="n">
        <v>1350</v>
      </c>
      <c r="AB172" s="61" t="n">
        <v>21</v>
      </c>
      <c r="AC172" s="61" t="n">
        <v>29</v>
      </c>
      <c r="AD172" s="61" t="n">
        <v>3.58</v>
      </c>
      <c r="AE172" s="62" t="n">
        <v>18478</v>
      </c>
      <c r="AF172" s="62" t="n">
        <v>14332</v>
      </c>
      <c r="AG172" s="63" t="n">
        <v>0.67</v>
      </c>
      <c r="AH172" s="61"/>
      <c r="AI172" s="61" t="s">
        <v>1215</v>
      </c>
      <c r="AJ172" s="61"/>
      <c r="AK172" s="61" t="s">
        <v>589</v>
      </c>
      <c r="AL172" s="61" t="s">
        <v>1216</v>
      </c>
    </row>
    <row r="173" customFormat="false" ht="15" hidden="false" customHeight="true" outlineLevel="0" collapsed="false">
      <c r="A173" s="61" t="s">
        <v>1217</v>
      </c>
      <c r="B173" s="61" t="s">
        <v>1084</v>
      </c>
      <c r="C173" s="61" t="s">
        <v>674</v>
      </c>
      <c r="D173" s="61" t="s">
        <v>654</v>
      </c>
      <c r="E173" s="61" t="s">
        <v>354</v>
      </c>
      <c r="F173" s="61" t="s">
        <v>355</v>
      </c>
      <c r="G173" s="61"/>
      <c r="H173" s="61"/>
      <c r="I173" s="58"/>
      <c r="J173" s="58"/>
      <c r="K173" s="58"/>
      <c r="L173" s="58"/>
      <c r="M173" s="58"/>
      <c r="N173" s="58"/>
      <c r="O173" s="58"/>
      <c r="P173" s="61" t="s">
        <v>355</v>
      </c>
      <c r="Q173" s="58"/>
      <c r="R173" s="61"/>
      <c r="S173" s="62" t="n">
        <v>50</v>
      </c>
      <c r="T173" s="61"/>
      <c r="U173" s="61"/>
      <c r="V173" s="61"/>
      <c r="W173" s="61"/>
      <c r="X173" s="61"/>
      <c r="Y173" s="63" t="n">
        <v>0.7333</v>
      </c>
      <c r="Z173" s="61" t="n">
        <v>1150</v>
      </c>
      <c r="AA173" s="61" t="n">
        <v>1330</v>
      </c>
      <c r="AB173" s="61" t="n">
        <v>24</v>
      </c>
      <c r="AC173" s="61" t="n">
        <v>29</v>
      </c>
      <c r="AD173" s="61" t="n">
        <v>3.77</v>
      </c>
      <c r="AE173" s="62" t="n">
        <v>21430</v>
      </c>
      <c r="AF173" s="62" t="n">
        <v>13056</v>
      </c>
      <c r="AG173" s="63" t="n">
        <v>0.69</v>
      </c>
      <c r="AH173" s="61"/>
      <c r="AI173" s="61"/>
      <c r="AJ173" s="61"/>
      <c r="AK173" s="61" t="s">
        <v>432</v>
      </c>
      <c r="AL173" s="61" t="s">
        <v>1218</v>
      </c>
    </row>
    <row r="174" customFormat="false" ht="15" hidden="false" customHeight="true" outlineLevel="0" collapsed="false">
      <c r="A174" s="61" t="s">
        <v>1219</v>
      </c>
      <c r="B174" s="61" t="s">
        <v>1084</v>
      </c>
      <c r="C174" s="61" t="s">
        <v>1078</v>
      </c>
      <c r="D174" s="61" t="s">
        <v>813</v>
      </c>
      <c r="E174" s="61" t="s">
        <v>354</v>
      </c>
      <c r="F174" s="61" t="s">
        <v>355</v>
      </c>
      <c r="G174" s="61"/>
      <c r="H174" s="61"/>
      <c r="I174" s="58"/>
      <c r="J174" s="58"/>
      <c r="K174" s="58"/>
      <c r="L174" s="58"/>
      <c r="M174" s="58"/>
      <c r="N174" s="58"/>
      <c r="O174" s="58"/>
      <c r="P174" s="61" t="s">
        <v>355</v>
      </c>
      <c r="Q174" s="58"/>
      <c r="R174" s="61"/>
      <c r="S174" s="62"/>
      <c r="T174" s="61"/>
      <c r="U174" s="61"/>
      <c r="V174" s="61"/>
      <c r="W174" s="61"/>
      <c r="X174" s="61"/>
      <c r="Y174" s="63" t="n">
        <v>0.9294</v>
      </c>
      <c r="Z174" s="61" t="n">
        <v>1070</v>
      </c>
      <c r="AA174" s="61" t="n">
        <v>1290</v>
      </c>
      <c r="AB174" s="61" t="n">
        <v>21</v>
      </c>
      <c r="AC174" s="61" t="n">
        <v>28</v>
      </c>
      <c r="AD174" s="61" t="n">
        <v>3.59</v>
      </c>
      <c r="AE174" s="62" t="n">
        <v>21958</v>
      </c>
      <c r="AF174" s="62" t="n">
        <v>12182</v>
      </c>
      <c r="AG174" s="63" t="n">
        <v>0.71</v>
      </c>
      <c r="AH174" s="61"/>
      <c r="AI174" s="61"/>
      <c r="AJ174" s="61"/>
      <c r="AK174" s="61" t="s">
        <v>432</v>
      </c>
      <c r="AL174" s="61" t="s">
        <v>1220</v>
      </c>
    </row>
    <row r="175" customFormat="false" ht="15" hidden="false" customHeight="true" outlineLevel="0" collapsed="false">
      <c r="A175" s="61" t="s">
        <v>1221</v>
      </c>
      <c r="B175" s="61" t="s">
        <v>1084</v>
      </c>
      <c r="C175" s="61" t="s">
        <v>1222</v>
      </c>
      <c r="D175" s="61" t="s">
        <v>813</v>
      </c>
      <c r="E175" s="61" t="s">
        <v>354</v>
      </c>
      <c r="F175" s="61" t="s">
        <v>355</v>
      </c>
      <c r="G175" s="61"/>
      <c r="H175" s="61"/>
      <c r="I175" s="58"/>
      <c r="J175" s="58"/>
      <c r="K175" s="58"/>
      <c r="L175" s="58"/>
      <c r="M175" s="58"/>
      <c r="N175" s="58"/>
      <c r="O175" s="58"/>
      <c r="P175" s="61" t="s">
        <v>221</v>
      </c>
      <c r="Q175" s="58"/>
      <c r="R175" s="61"/>
      <c r="S175" s="62"/>
      <c r="T175" s="61"/>
      <c r="U175" s="61"/>
      <c r="V175" s="61"/>
      <c r="W175" s="61"/>
      <c r="X175" s="61"/>
      <c r="Y175" s="63" t="n">
        <v>0.7941</v>
      </c>
      <c r="Z175" s="61" t="n">
        <v>1040</v>
      </c>
      <c r="AA175" s="61" t="n">
        <v>1270</v>
      </c>
      <c r="AB175" s="61" t="n">
        <v>19</v>
      </c>
      <c r="AC175" s="61" t="n">
        <v>27</v>
      </c>
      <c r="AD175" s="61" t="n">
        <v>3.64</v>
      </c>
      <c r="AE175" s="62" t="n">
        <v>19785</v>
      </c>
      <c r="AF175" s="62" t="n">
        <v>15138</v>
      </c>
      <c r="AG175" s="63" t="n">
        <v>0.61</v>
      </c>
      <c r="AH175" s="61"/>
      <c r="AI175" s="61"/>
      <c r="AJ175" s="61"/>
      <c r="AK175" s="61" t="s">
        <v>589</v>
      </c>
      <c r="AL175" s="61" t="s">
        <v>1223</v>
      </c>
    </row>
    <row r="176" customFormat="false" ht="15" hidden="false" customHeight="true" outlineLevel="0" collapsed="false">
      <c r="A176" s="61" t="s">
        <v>1224</v>
      </c>
      <c r="B176" s="61" t="s">
        <v>1084</v>
      </c>
      <c r="C176" s="61" t="s">
        <v>1225</v>
      </c>
      <c r="D176" s="61" t="s">
        <v>684</v>
      </c>
      <c r="E176" s="61" t="s">
        <v>354</v>
      </c>
      <c r="F176" s="61" t="s">
        <v>355</v>
      </c>
      <c r="G176" s="61"/>
      <c r="H176" s="61"/>
      <c r="I176" s="58"/>
      <c r="J176" s="58"/>
      <c r="K176" s="58"/>
      <c r="L176" s="58"/>
      <c r="M176" s="58"/>
      <c r="N176" s="58"/>
      <c r="O176" s="58"/>
      <c r="P176" s="61" t="s">
        <v>221</v>
      </c>
      <c r="Q176" s="58"/>
      <c r="R176" s="61"/>
      <c r="S176" s="62"/>
      <c r="T176" s="61"/>
      <c r="U176" s="61"/>
      <c r="V176" s="61"/>
      <c r="W176" s="61"/>
      <c r="X176" s="61"/>
      <c r="Y176" s="63" t="n">
        <v>0.7203</v>
      </c>
      <c r="Z176" s="61" t="n">
        <v>915</v>
      </c>
      <c r="AA176" s="61" t="n">
        <v>1180</v>
      </c>
      <c r="AB176" s="61" t="n">
        <v>18</v>
      </c>
      <c r="AC176" s="61" t="n">
        <v>24</v>
      </c>
      <c r="AD176" s="61" t="n">
        <v>3.48</v>
      </c>
      <c r="AE176" s="62" t="n">
        <v>12756</v>
      </c>
      <c r="AF176" s="62" t="n">
        <v>10607</v>
      </c>
      <c r="AG176" s="63" t="n">
        <v>0.51</v>
      </c>
      <c r="AH176" s="61"/>
      <c r="AI176" s="61"/>
      <c r="AJ176" s="61"/>
      <c r="AK176" s="61" t="s">
        <v>589</v>
      </c>
      <c r="AL176" s="61" t="s">
        <v>1223</v>
      </c>
    </row>
    <row r="177" customFormat="false" ht="15" hidden="false" customHeight="true" outlineLevel="0" collapsed="false">
      <c r="A177" s="61" t="s">
        <v>1226</v>
      </c>
      <c r="B177" s="61" t="s">
        <v>1084</v>
      </c>
      <c r="C177" s="61" t="s">
        <v>1227</v>
      </c>
      <c r="D177" s="61" t="s">
        <v>684</v>
      </c>
      <c r="E177" s="61" t="s">
        <v>354</v>
      </c>
      <c r="F177" s="61" t="s">
        <v>355</v>
      </c>
      <c r="G177" s="61"/>
      <c r="H177" s="61"/>
      <c r="I177" s="58"/>
      <c r="J177" s="58"/>
      <c r="K177" s="58"/>
      <c r="L177" s="58"/>
      <c r="M177" s="58"/>
      <c r="N177" s="58"/>
      <c r="O177" s="58"/>
      <c r="P177" s="61" t="s">
        <v>355</v>
      </c>
      <c r="Q177" s="58"/>
      <c r="R177" s="61"/>
      <c r="S177" s="62"/>
      <c r="T177" s="61"/>
      <c r="U177" s="61"/>
      <c r="V177" s="61"/>
      <c r="W177" s="61"/>
      <c r="X177" s="61"/>
      <c r="Y177" s="63" t="n">
        <v>0.6909</v>
      </c>
      <c r="Z177" s="61" t="n">
        <v>1010</v>
      </c>
      <c r="AA177" s="61" t="n">
        <v>1230</v>
      </c>
      <c r="AB177" s="61" t="n">
        <v>20</v>
      </c>
      <c r="AC177" s="61" t="n">
        <v>26</v>
      </c>
      <c r="AD177" s="61" t="n">
        <v>3.64</v>
      </c>
      <c r="AE177" s="62" t="n">
        <v>13859</v>
      </c>
      <c r="AF177" s="62" t="n">
        <v>9289</v>
      </c>
      <c r="AG177" s="63" t="n">
        <v>0.54</v>
      </c>
      <c r="AH177" s="61"/>
      <c r="AI177" s="61"/>
      <c r="AJ177" s="61"/>
      <c r="AK177" s="61" t="s">
        <v>432</v>
      </c>
      <c r="AL177" s="61" t="s">
        <v>1223</v>
      </c>
    </row>
    <row r="178" customFormat="false" ht="15" hidden="false" customHeight="true" outlineLevel="0" collapsed="false">
      <c r="A178" s="61" t="s">
        <v>1228</v>
      </c>
      <c r="B178" s="61" t="s">
        <v>1084</v>
      </c>
      <c r="C178" s="61" t="s">
        <v>1229</v>
      </c>
      <c r="D178" s="61" t="s">
        <v>775</v>
      </c>
      <c r="E178" s="61" t="s">
        <v>354</v>
      </c>
      <c r="F178" s="61" t="s">
        <v>355</v>
      </c>
      <c r="G178" s="61"/>
      <c r="H178" s="61"/>
      <c r="I178" s="58"/>
      <c r="J178" s="58"/>
      <c r="K178" s="58"/>
      <c r="L178" s="58"/>
      <c r="M178" s="58"/>
      <c r="N178" s="58"/>
      <c r="O178" s="58"/>
      <c r="P178" s="61" t="s">
        <v>221</v>
      </c>
      <c r="Q178" s="58"/>
      <c r="R178" s="61"/>
      <c r="S178" s="62"/>
      <c r="T178" s="61"/>
      <c r="U178" s="61"/>
      <c r="V178" s="61"/>
      <c r="W178" s="61"/>
      <c r="X178" s="61"/>
      <c r="Y178" s="63" t="n">
        <v>0.753</v>
      </c>
      <c r="Z178" s="61" t="n">
        <v>1050</v>
      </c>
      <c r="AA178" s="61" t="n">
        <v>1220</v>
      </c>
      <c r="AB178" s="61" t="n">
        <v>21</v>
      </c>
      <c r="AC178" s="61" t="n">
        <v>26</v>
      </c>
      <c r="AD178" s="61" t="n">
        <v>3.72</v>
      </c>
      <c r="AE178" s="62" t="n">
        <v>14379</v>
      </c>
      <c r="AF178" s="62" t="n">
        <v>9563</v>
      </c>
      <c r="AG178" s="63"/>
      <c r="AH178" s="61"/>
      <c r="AI178" s="61"/>
      <c r="AJ178" s="61"/>
      <c r="AK178" s="61" t="s">
        <v>589</v>
      </c>
      <c r="AL178" s="61" t="s">
        <v>1230</v>
      </c>
    </row>
    <row r="179" customFormat="false" ht="15" hidden="false" customHeight="true" outlineLevel="0" collapsed="false">
      <c r="A179" s="61" t="s">
        <v>1231</v>
      </c>
      <c r="B179" s="61" t="s">
        <v>1084</v>
      </c>
      <c r="C179" s="61" t="s">
        <v>1232</v>
      </c>
      <c r="D179" s="61" t="s">
        <v>775</v>
      </c>
      <c r="E179" s="61" t="s">
        <v>354</v>
      </c>
      <c r="F179" s="61" t="s">
        <v>355</v>
      </c>
      <c r="G179" s="61"/>
      <c r="H179" s="61"/>
      <c r="I179" s="58"/>
      <c r="J179" s="58"/>
      <c r="K179" s="58"/>
      <c r="L179" s="58"/>
      <c r="M179" s="58"/>
      <c r="N179" s="58"/>
      <c r="O179" s="58"/>
      <c r="P179" s="61" t="s">
        <v>355</v>
      </c>
      <c r="Q179" s="58"/>
      <c r="R179" s="61"/>
      <c r="S179" s="62"/>
      <c r="T179" s="61"/>
      <c r="U179" s="61"/>
      <c r="V179" s="61"/>
      <c r="W179" s="61"/>
      <c r="X179" s="61"/>
      <c r="Y179" s="63" t="n">
        <v>0.7925</v>
      </c>
      <c r="Z179" s="61" t="n">
        <v>1010</v>
      </c>
      <c r="AA179" s="61" t="n">
        <v>1220</v>
      </c>
      <c r="AB179" s="61" t="n">
        <v>20</v>
      </c>
      <c r="AC179" s="61" t="n">
        <v>27</v>
      </c>
      <c r="AD179" s="61" t="n">
        <v>4</v>
      </c>
      <c r="AE179" s="62" t="n">
        <v>16108</v>
      </c>
      <c r="AF179" s="62" t="n">
        <v>12608</v>
      </c>
      <c r="AG179" s="63" t="n">
        <v>0.57</v>
      </c>
      <c r="AH179" s="61"/>
      <c r="AI179" s="61"/>
      <c r="AJ179" s="61"/>
      <c r="AK179" s="61" t="s">
        <v>432</v>
      </c>
      <c r="AL179" s="61" t="s">
        <v>1223</v>
      </c>
    </row>
    <row r="180" customFormat="false" ht="15" hidden="false" customHeight="true" outlineLevel="0" collapsed="false">
      <c r="A180" s="61" t="s">
        <v>1233</v>
      </c>
      <c r="B180" s="61" t="s">
        <v>1234</v>
      </c>
      <c r="C180" s="61" t="s">
        <v>1235</v>
      </c>
      <c r="D180" s="61" t="s">
        <v>1236</v>
      </c>
      <c r="E180" s="61" t="s">
        <v>354</v>
      </c>
      <c r="F180" s="61" t="s">
        <v>355</v>
      </c>
      <c r="G180" s="61"/>
      <c r="H180" s="61"/>
      <c r="I180" s="58"/>
      <c r="J180" s="58"/>
      <c r="K180" s="58" t="n">
        <v>46327</v>
      </c>
      <c r="L180" s="58"/>
      <c r="M180" s="58"/>
      <c r="N180" s="58" t="n">
        <v>46419</v>
      </c>
      <c r="O180" s="58"/>
      <c r="P180" s="61" t="s">
        <v>355</v>
      </c>
      <c r="Q180" s="58"/>
      <c r="R180" s="61"/>
      <c r="S180" s="62" t="n">
        <v>75</v>
      </c>
      <c r="T180" s="61"/>
      <c r="U180" s="61"/>
      <c r="V180" s="61"/>
      <c r="W180" s="61"/>
      <c r="X180" s="61"/>
      <c r="Y180" s="63" t="n">
        <v>0.1564</v>
      </c>
      <c r="Z180" s="61" t="n">
        <v>1360</v>
      </c>
      <c r="AA180" s="61" t="n">
        <v>1530</v>
      </c>
      <c r="AB180" s="61" t="n">
        <v>31</v>
      </c>
      <c r="AC180" s="61" t="n">
        <v>34</v>
      </c>
      <c r="AD180" s="61" t="n">
        <v>3.88</v>
      </c>
      <c r="AE180" s="62" t="n">
        <v>17574</v>
      </c>
      <c r="AF180" s="62" t="n">
        <v>1043</v>
      </c>
      <c r="AG180" s="63" t="n">
        <v>0.93</v>
      </c>
      <c r="AH180" s="61"/>
      <c r="AI180" s="61"/>
      <c r="AJ180" s="61"/>
      <c r="AK180" s="61" t="s">
        <v>589</v>
      </c>
      <c r="AL180" s="61" t="s">
        <v>1237</v>
      </c>
    </row>
    <row r="181" customFormat="false" ht="15" hidden="false" customHeight="true" outlineLevel="0" collapsed="false">
      <c r="A181" s="61" t="s">
        <v>1238</v>
      </c>
      <c r="B181" s="61" t="s">
        <v>1234</v>
      </c>
      <c r="C181" s="61" t="s">
        <v>419</v>
      </c>
      <c r="D181" s="61" t="s">
        <v>849</v>
      </c>
      <c r="E181" s="61" t="s">
        <v>354</v>
      </c>
      <c r="F181" s="61" t="s">
        <v>355</v>
      </c>
      <c r="G181" s="61"/>
      <c r="H181" s="61"/>
      <c r="I181" s="58"/>
      <c r="J181" s="58"/>
      <c r="K181" s="58" t="n">
        <v>46327</v>
      </c>
      <c r="L181" s="58"/>
      <c r="M181" s="58"/>
      <c r="N181" s="58" t="n">
        <v>46419</v>
      </c>
      <c r="O181" s="58"/>
      <c r="P181" s="61" t="s">
        <v>355</v>
      </c>
      <c r="Q181" s="58"/>
      <c r="R181" s="61"/>
      <c r="S181" s="62"/>
      <c r="T181" s="61"/>
      <c r="U181" s="61"/>
      <c r="V181" s="61"/>
      <c r="W181" s="61"/>
      <c r="X181" s="61"/>
      <c r="Y181" s="63" t="n">
        <v>0.6057</v>
      </c>
      <c r="Z181" s="61" t="n">
        <v>1310</v>
      </c>
      <c r="AA181" s="61" t="n">
        <v>1480</v>
      </c>
      <c r="AB181" s="61" t="n">
        <v>28</v>
      </c>
      <c r="AC181" s="61" t="n">
        <v>32</v>
      </c>
      <c r="AD181" s="61"/>
      <c r="AE181" s="62" t="n">
        <v>19783</v>
      </c>
      <c r="AF181" s="62" t="n">
        <v>4885</v>
      </c>
      <c r="AG181" s="63" t="n">
        <v>0.88</v>
      </c>
      <c r="AH181" s="61"/>
      <c r="AI181" s="61"/>
      <c r="AJ181" s="61"/>
      <c r="AK181" s="61" t="s">
        <v>589</v>
      </c>
      <c r="AL181" s="61" t="s">
        <v>1239</v>
      </c>
    </row>
    <row r="182" customFormat="false" ht="15" hidden="false" customHeight="true" outlineLevel="0" collapsed="false">
      <c r="A182" s="61" t="s">
        <v>1240</v>
      </c>
      <c r="B182" s="61" t="s">
        <v>1234</v>
      </c>
      <c r="C182" s="61" t="s">
        <v>1241</v>
      </c>
      <c r="D182" s="61" t="s">
        <v>808</v>
      </c>
      <c r="E182" s="61" t="s">
        <v>354</v>
      </c>
      <c r="F182" s="61" t="s">
        <v>355</v>
      </c>
      <c r="G182" s="61" t="s">
        <v>380</v>
      </c>
      <c r="H182" s="61" t="s">
        <v>221</v>
      </c>
      <c r="I182" s="58"/>
      <c r="J182" s="58"/>
      <c r="K182" s="58" t="n">
        <v>46327</v>
      </c>
      <c r="L182" s="58"/>
      <c r="M182" s="58"/>
      <c r="N182" s="58"/>
      <c r="O182" s="58"/>
      <c r="P182" s="61" t="s">
        <v>355</v>
      </c>
      <c r="Q182" s="58"/>
      <c r="R182" s="61"/>
      <c r="S182" s="62" t="n">
        <v>65</v>
      </c>
      <c r="T182" s="61" t="s">
        <v>1242</v>
      </c>
      <c r="U182" s="61" t="s">
        <v>401</v>
      </c>
      <c r="V182" s="61" t="s">
        <v>450</v>
      </c>
      <c r="W182" s="61" t="s">
        <v>359</v>
      </c>
      <c r="X182" s="61"/>
      <c r="Y182" s="63" t="n">
        <v>0.606</v>
      </c>
      <c r="Z182" s="61" t="n">
        <v>1240</v>
      </c>
      <c r="AA182" s="61" t="n">
        <v>1420</v>
      </c>
      <c r="AB182" s="61" t="n">
        <v>27</v>
      </c>
      <c r="AC182" s="61" t="n">
        <v>32</v>
      </c>
      <c r="AD182" s="61"/>
      <c r="AE182" s="62" t="n">
        <v>32528</v>
      </c>
      <c r="AF182" s="62" t="n">
        <v>20814</v>
      </c>
      <c r="AG182" s="63" t="n">
        <v>0.87</v>
      </c>
      <c r="AH182" s="61"/>
      <c r="AI182" s="61" t="s">
        <v>1243</v>
      </c>
      <c r="AJ182" s="61"/>
      <c r="AK182" s="61" t="s">
        <v>370</v>
      </c>
      <c r="AL182" s="61" t="s">
        <v>1244</v>
      </c>
    </row>
    <row r="183" customFormat="false" ht="15" hidden="false" customHeight="true" outlineLevel="0" collapsed="false">
      <c r="A183" s="61" t="s">
        <v>1245</v>
      </c>
      <c r="B183" s="61" t="s">
        <v>1234</v>
      </c>
      <c r="C183" s="61" t="s">
        <v>1246</v>
      </c>
      <c r="D183" s="61" t="s">
        <v>695</v>
      </c>
      <c r="E183" s="61" t="s">
        <v>354</v>
      </c>
      <c r="F183" s="61" t="s">
        <v>355</v>
      </c>
      <c r="G183" s="61" t="s">
        <v>1247</v>
      </c>
      <c r="H183" s="61" t="s">
        <v>221</v>
      </c>
      <c r="I183" s="58"/>
      <c r="J183" s="58"/>
      <c r="K183" s="58" t="n">
        <v>46310</v>
      </c>
      <c r="L183" s="58"/>
      <c r="M183" s="58"/>
      <c r="N183" s="58" t="n">
        <v>46357</v>
      </c>
      <c r="O183" s="58"/>
      <c r="P183" s="61" t="s">
        <v>355</v>
      </c>
      <c r="Q183" s="58"/>
      <c r="R183" s="61"/>
      <c r="S183" s="62" t="n">
        <v>75</v>
      </c>
      <c r="T183" s="61" t="s">
        <v>1248</v>
      </c>
      <c r="U183" s="61" t="s">
        <v>214</v>
      </c>
      <c r="V183" s="61" t="s">
        <v>1249</v>
      </c>
      <c r="W183" s="61" t="s">
        <v>359</v>
      </c>
      <c r="X183" s="61"/>
      <c r="Y183" s="63" t="n">
        <v>0.266</v>
      </c>
      <c r="Z183" s="61" t="n">
        <v>1250</v>
      </c>
      <c r="AA183" s="61" t="n">
        <v>1510</v>
      </c>
      <c r="AB183" s="61" t="n">
        <v>27</v>
      </c>
      <c r="AC183" s="61" t="n">
        <v>33</v>
      </c>
      <c r="AD183" s="61"/>
      <c r="AE183" s="62"/>
      <c r="AF183" s="62"/>
      <c r="AG183" s="63"/>
      <c r="AH183" s="61" t="n">
        <v>2</v>
      </c>
      <c r="AI183" s="61" t="s">
        <v>1250</v>
      </c>
      <c r="AJ183" s="61" t="s">
        <v>1251</v>
      </c>
      <c r="AK183" s="61" t="s">
        <v>362</v>
      </c>
      <c r="AL183" s="61" t="s">
        <v>1252</v>
      </c>
    </row>
    <row r="184" customFormat="false" ht="15" hidden="false" customHeight="true" outlineLevel="0" collapsed="false">
      <c r="A184" s="61" t="s">
        <v>1253</v>
      </c>
      <c r="B184" s="61" t="s">
        <v>1234</v>
      </c>
      <c r="C184" s="61" t="s">
        <v>1254</v>
      </c>
      <c r="D184" s="61" t="s">
        <v>695</v>
      </c>
      <c r="E184" s="61" t="s">
        <v>354</v>
      </c>
      <c r="F184" s="61" t="s">
        <v>355</v>
      </c>
      <c r="G184" s="61" t="s">
        <v>1247</v>
      </c>
      <c r="H184" s="61" t="s">
        <v>221</v>
      </c>
      <c r="I184" s="58"/>
      <c r="J184" s="58"/>
      <c r="K184" s="58"/>
      <c r="L184" s="58"/>
      <c r="M184" s="58"/>
      <c r="N184" s="58" t="n">
        <v>46357</v>
      </c>
      <c r="O184" s="58"/>
      <c r="P184" s="61" t="s">
        <v>355</v>
      </c>
      <c r="Q184" s="58"/>
      <c r="R184" s="61"/>
      <c r="S184" s="62" t="n">
        <v>75</v>
      </c>
      <c r="T184" s="61" t="s">
        <v>1255</v>
      </c>
      <c r="U184" s="61" t="s">
        <v>401</v>
      </c>
      <c r="V184" s="61" t="s">
        <v>1256</v>
      </c>
      <c r="W184" s="61" t="s">
        <v>359</v>
      </c>
      <c r="X184" s="61"/>
      <c r="Y184" s="63"/>
      <c r="Z184" s="61"/>
      <c r="AA184" s="61"/>
      <c r="AB184" s="61"/>
      <c r="AC184" s="61"/>
      <c r="AD184" s="61"/>
      <c r="AE184" s="62"/>
      <c r="AF184" s="62"/>
      <c r="AG184" s="63"/>
      <c r="AH184" s="61" t="n">
        <v>5</v>
      </c>
      <c r="AI184" s="61" t="s">
        <v>1257</v>
      </c>
      <c r="AJ184" s="61" t="s">
        <v>1258</v>
      </c>
      <c r="AK184" s="61" t="s">
        <v>370</v>
      </c>
      <c r="AL184" s="61" t="s">
        <v>1259</v>
      </c>
    </row>
    <row r="185" customFormat="false" ht="15" hidden="false" customHeight="true" outlineLevel="0" collapsed="false">
      <c r="A185" s="61" t="s">
        <v>1260</v>
      </c>
      <c r="B185" s="61" t="s">
        <v>1234</v>
      </c>
      <c r="C185" s="61" t="s">
        <v>1261</v>
      </c>
      <c r="D185" s="61" t="s">
        <v>720</v>
      </c>
      <c r="E185" s="61" t="s">
        <v>354</v>
      </c>
      <c r="F185" s="61" t="s">
        <v>355</v>
      </c>
      <c r="G185" s="61" t="s">
        <v>1262</v>
      </c>
      <c r="H185" s="61" t="s">
        <v>221</v>
      </c>
      <c r="I185" s="58"/>
      <c r="J185" s="58"/>
      <c r="K185" s="58" t="n">
        <v>46327</v>
      </c>
      <c r="L185" s="58"/>
      <c r="M185" s="58"/>
      <c r="N185" s="58" t="n">
        <v>46407</v>
      </c>
      <c r="O185" s="58"/>
      <c r="P185" s="61" t="s">
        <v>355</v>
      </c>
      <c r="Q185" s="58"/>
      <c r="R185" s="61" t="s">
        <v>1263</v>
      </c>
      <c r="S185" s="62" t="n">
        <v>80</v>
      </c>
      <c r="T185" s="61" t="s">
        <v>1264</v>
      </c>
      <c r="U185" s="61" t="s">
        <v>401</v>
      </c>
      <c r="V185" s="61" t="s">
        <v>622</v>
      </c>
      <c r="W185" s="61" t="s">
        <v>359</v>
      </c>
      <c r="X185" s="61"/>
      <c r="Y185" s="63" t="n">
        <v>0.448</v>
      </c>
      <c r="Z185" s="61" t="n">
        <v>1400</v>
      </c>
      <c r="AA185" s="61" t="n">
        <v>1530</v>
      </c>
      <c r="AB185" s="61"/>
      <c r="AC185" s="61"/>
      <c r="AD185" s="61"/>
      <c r="AE185" s="62" t="n">
        <v>23099</v>
      </c>
      <c r="AF185" s="62" t="n">
        <v>8054</v>
      </c>
      <c r="AG185" s="63"/>
      <c r="AH185" s="61" t="n">
        <v>0</v>
      </c>
      <c r="AI185" s="61" t="s">
        <v>1265</v>
      </c>
      <c r="AJ185" s="61" t="s">
        <v>1266</v>
      </c>
      <c r="AK185" s="61" t="s">
        <v>362</v>
      </c>
      <c r="AL185" s="61" t="s">
        <v>1267</v>
      </c>
    </row>
    <row r="186" customFormat="false" ht="15" hidden="false" customHeight="true" outlineLevel="0" collapsed="false">
      <c r="A186" s="61" t="s">
        <v>1268</v>
      </c>
      <c r="B186" s="61" t="s">
        <v>1234</v>
      </c>
      <c r="C186" s="61" t="s">
        <v>1269</v>
      </c>
      <c r="D186" s="61" t="s">
        <v>961</v>
      </c>
      <c r="E186" s="61" t="s">
        <v>354</v>
      </c>
      <c r="F186" s="61" t="s">
        <v>355</v>
      </c>
      <c r="G186" s="61" t="s">
        <v>380</v>
      </c>
      <c r="H186" s="61" t="s">
        <v>221</v>
      </c>
      <c r="I186" s="58"/>
      <c r="J186" s="58"/>
      <c r="K186" s="58" t="n">
        <v>46327</v>
      </c>
      <c r="L186" s="58"/>
      <c r="M186" s="58"/>
      <c r="N186" s="58" t="n">
        <v>46402</v>
      </c>
      <c r="O186" s="58"/>
      <c r="P186" s="61" t="s">
        <v>355</v>
      </c>
      <c r="Q186" s="58"/>
      <c r="R186" s="61"/>
      <c r="S186" s="62"/>
      <c r="T186" s="61"/>
      <c r="U186" s="61"/>
      <c r="V186" s="61"/>
      <c r="W186" s="61"/>
      <c r="X186" s="61"/>
      <c r="Y186" s="63" t="n">
        <v>0.499</v>
      </c>
      <c r="Z186" s="61" t="n">
        <v>1200</v>
      </c>
      <c r="AA186" s="61" t="n">
        <v>1480</v>
      </c>
      <c r="AB186" s="61"/>
      <c r="AC186" s="61"/>
      <c r="AD186" s="61" t="n">
        <v>3.67</v>
      </c>
      <c r="AE186" s="62" t="n">
        <v>17862</v>
      </c>
      <c r="AF186" s="62" t="n">
        <v>5483</v>
      </c>
      <c r="AG186" s="63"/>
      <c r="AH186" s="61"/>
      <c r="AI186" s="61" t="s">
        <v>1270</v>
      </c>
      <c r="AJ186" s="61"/>
      <c r="AK186" s="61" t="s">
        <v>589</v>
      </c>
      <c r="AL186" s="61" t="s">
        <v>1271</v>
      </c>
    </row>
    <row r="187" customFormat="false" ht="15" hidden="false" customHeight="true" outlineLevel="0" collapsed="false">
      <c r="A187" s="61" t="s">
        <v>1272</v>
      </c>
      <c r="B187" s="61" t="s">
        <v>1234</v>
      </c>
      <c r="C187" s="61" t="s">
        <v>1273</v>
      </c>
      <c r="D187" s="61" t="s">
        <v>961</v>
      </c>
      <c r="E187" s="61" t="s">
        <v>354</v>
      </c>
      <c r="F187" s="61" t="s">
        <v>355</v>
      </c>
      <c r="G187" s="61" t="s">
        <v>1274</v>
      </c>
      <c r="H187" s="61" t="s">
        <v>221</v>
      </c>
      <c r="I187" s="58"/>
      <c r="J187" s="58"/>
      <c r="K187" s="58" t="n">
        <v>46327</v>
      </c>
      <c r="L187" s="58"/>
      <c r="M187" s="58"/>
      <c r="N187" s="58" t="n">
        <v>46419</v>
      </c>
      <c r="O187" s="58"/>
      <c r="P187" s="61" t="s">
        <v>355</v>
      </c>
      <c r="Q187" s="58"/>
      <c r="R187" s="61" t="s">
        <v>1275</v>
      </c>
      <c r="S187" s="62" t="n">
        <v>65</v>
      </c>
      <c r="T187" s="61" t="s">
        <v>1276</v>
      </c>
      <c r="U187" s="61" t="s">
        <v>401</v>
      </c>
      <c r="V187" s="61"/>
      <c r="W187" s="61"/>
      <c r="X187" s="61"/>
      <c r="Y187" s="63" t="n">
        <v>0.782</v>
      </c>
      <c r="Z187" s="61" t="n">
        <v>1170</v>
      </c>
      <c r="AA187" s="61" t="n">
        <v>1400</v>
      </c>
      <c r="AB187" s="61"/>
      <c r="AC187" s="61"/>
      <c r="AD187" s="61" t="n">
        <v>3.74</v>
      </c>
      <c r="AE187" s="62" t="n">
        <v>18643</v>
      </c>
      <c r="AF187" s="62" t="n">
        <v>4969</v>
      </c>
      <c r="AG187" s="63"/>
      <c r="AH187" s="61" t="n">
        <v>0</v>
      </c>
      <c r="AI187" s="61" t="s">
        <v>1277</v>
      </c>
      <c r="AJ187" s="61"/>
      <c r="AK187" s="61" t="s">
        <v>362</v>
      </c>
      <c r="AL187" s="61" t="s">
        <v>1278</v>
      </c>
    </row>
    <row r="188" customFormat="false" ht="15" hidden="false" customHeight="true" outlineLevel="0" collapsed="false">
      <c r="A188" s="61" t="s">
        <v>1279</v>
      </c>
      <c r="B188" s="61" t="s">
        <v>1234</v>
      </c>
      <c r="C188" s="61" t="s">
        <v>1280</v>
      </c>
      <c r="D188" s="61" t="s">
        <v>951</v>
      </c>
      <c r="E188" s="61" t="s">
        <v>354</v>
      </c>
      <c r="F188" s="61" t="s">
        <v>355</v>
      </c>
      <c r="G188" s="61" t="s">
        <v>380</v>
      </c>
      <c r="H188" s="61" t="s">
        <v>221</v>
      </c>
      <c r="I188" s="58"/>
      <c r="J188" s="58"/>
      <c r="K188" s="58" t="n">
        <v>46327</v>
      </c>
      <c r="L188" s="58"/>
      <c r="M188" s="58"/>
      <c r="N188" s="58" t="n">
        <v>46392</v>
      </c>
      <c r="O188" s="58"/>
      <c r="P188" s="61" t="s">
        <v>355</v>
      </c>
      <c r="Q188" s="58"/>
      <c r="R188" s="61"/>
      <c r="S188" s="62"/>
      <c r="T188" s="61"/>
      <c r="U188" s="61"/>
      <c r="V188" s="61"/>
      <c r="W188" s="61"/>
      <c r="X188" s="61"/>
      <c r="Y188" s="63"/>
      <c r="Z188" s="61"/>
      <c r="AA188" s="61"/>
      <c r="AB188" s="61"/>
      <c r="AC188" s="61"/>
      <c r="AD188" s="61"/>
      <c r="AE188" s="62" t="n">
        <v>25337</v>
      </c>
      <c r="AF188" s="62" t="n">
        <v>5477</v>
      </c>
      <c r="AG188" s="63"/>
      <c r="AH188" s="61"/>
      <c r="AI188" s="61" t="s">
        <v>1281</v>
      </c>
      <c r="AJ188" s="61" t="s">
        <v>1282</v>
      </c>
      <c r="AK188" s="61" t="s">
        <v>589</v>
      </c>
      <c r="AL188" s="61" t="s">
        <v>1283</v>
      </c>
    </row>
    <row r="189" customFormat="false" ht="15" hidden="false" customHeight="true" outlineLevel="0" collapsed="false">
      <c r="A189" s="61" t="s">
        <v>1284</v>
      </c>
      <c r="B189" s="61" t="s">
        <v>1234</v>
      </c>
      <c r="C189" s="61" t="s">
        <v>1285</v>
      </c>
      <c r="D189" s="61" t="s">
        <v>1286</v>
      </c>
      <c r="E189" s="61" t="s">
        <v>354</v>
      </c>
      <c r="F189" s="61" t="s">
        <v>355</v>
      </c>
      <c r="G189" s="61" t="s">
        <v>380</v>
      </c>
      <c r="H189" s="61" t="s">
        <v>221</v>
      </c>
      <c r="I189" s="58"/>
      <c r="J189" s="58"/>
      <c r="K189" s="58" t="n">
        <v>46327</v>
      </c>
      <c r="L189" s="58"/>
      <c r="M189" s="58"/>
      <c r="N189" s="58" t="n">
        <v>46402</v>
      </c>
      <c r="O189" s="58"/>
      <c r="P189" s="61" t="s">
        <v>355</v>
      </c>
      <c r="Q189" s="58"/>
      <c r="R189" s="61"/>
      <c r="S189" s="62"/>
      <c r="T189" s="61"/>
      <c r="U189" s="61"/>
      <c r="V189" s="61"/>
      <c r="W189" s="61"/>
      <c r="X189" s="61"/>
      <c r="Y189" s="63" t="n">
        <v>0.452</v>
      </c>
      <c r="Z189" s="61" t="n">
        <v>1380</v>
      </c>
      <c r="AA189" s="61" t="n">
        <v>1520</v>
      </c>
      <c r="AB189" s="61" t="n">
        <v>29</v>
      </c>
      <c r="AC189" s="61" t="n">
        <v>33</v>
      </c>
      <c r="AD189" s="61" t="n">
        <v>3.88</v>
      </c>
      <c r="AE189" s="62" t="n">
        <v>22358</v>
      </c>
      <c r="AF189" s="62" t="n">
        <v>4367</v>
      </c>
      <c r="AG189" s="63"/>
      <c r="AH189" s="61"/>
      <c r="AI189" s="61" t="s">
        <v>1287</v>
      </c>
      <c r="AJ189" s="61"/>
      <c r="AK189" s="61" t="s">
        <v>589</v>
      </c>
      <c r="AL189" s="61" t="s">
        <v>1288</v>
      </c>
    </row>
    <row r="190" customFormat="false" ht="15" hidden="false" customHeight="true" outlineLevel="0" collapsed="false">
      <c r="A190" s="61" t="s">
        <v>1289</v>
      </c>
      <c r="B190" s="61" t="s">
        <v>1234</v>
      </c>
      <c r="C190" s="61" t="s">
        <v>1290</v>
      </c>
      <c r="D190" s="61" t="s">
        <v>874</v>
      </c>
      <c r="E190" s="61" t="s">
        <v>354</v>
      </c>
      <c r="F190" s="61" t="s">
        <v>355</v>
      </c>
      <c r="G190" s="61" t="s">
        <v>380</v>
      </c>
      <c r="H190" s="61" t="s">
        <v>221</v>
      </c>
      <c r="I190" s="58"/>
      <c r="J190" s="58"/>
      <c r="K190" s="58" t="n">
        <v>46327</v>
      </c>
      <c r="L190" s="58"/>
      <c r="M190" s="58"/>
      <c r="N190" s="58" t="n">
        <v>46357</v>
      </c>
      <c r="O190" s="58"/>
      <c r="P190" s="61" t="s">
        <v>355</v>
      </c>
      <c r="Q190" s="58"/>
      <c r="R190" s="61"/>
      <c r="S190" s="62"/>
      <c r="T190" s="61"/>
      <c r="U190" s="61"/>
      <c r="V190" s="61"/>
      <c r="W190" s="61"/>
      <c r="X190" s="61"/>
      <c r="Y190" s="63" t="n">
        <v>0.581</v>
      </c>
      <c r="Z190" s="61" t="n">
        <v>1310</v>
      </c>
      <c r="AA190" s="61" t="n">
        <v>1500</v>
      </c>
      <c r="AB190" s="61" t="n">
        <v>28</v>
      </c>
      <c r="AC190" s="61" t="n">
        <v>33</v>
      </c>
      <c r="AD190" s="61"/>
      <c r="AE190" s="62" t="n">
        <v>27256</v>
      </c>
      <c r="AF190" s="62" t="n">
        <v>13545</v>
      </c>
      <c r="AG190" s="63"/>
      <c r="AH190" s="61"/>
      <c r="AI190" s="61" t="s">
        <v>1291</v>
      </c>
      <c r="AJ190" s="61"/>
      <c r="AK190" s="61" t="s">
        <v>589</v>
      </c>
      <c r="AL190" s="61" t="s">
        <v>1292</v>
      </c>
    </row>
    <row r="191" customFormat="false" ht="15" hidden="false" customHeight="true" outlineLevel="0" collapsed="false">
      <c r="A191" s="61" t="s">
        <v>1293</v>
      </c>
      <c r="B191" s="61" t="s">
        <v>1234</v>
      </c>
      <c r="C191" s="61" t="s">
        <v>1294</v>
      </c>
      <c r="D191" s="61" t="s">
        <v>1295</v>
      </c>
      <c r="E191" s="61" t="s">
        <v>354</v>
      </c>
      <c r="F191" s="61" t="s">
        <v>355</v>
      </c>
      <c r="G191" s="61" t="s">
        <v>380</v>
      </c>
      <c r="H191" s="61" t="s">
        <v>221</v>
      </c>
      <c r="I191" s="58"/>
      <c r="J191" s="58"/>
      <c r="K191" s="58"/>
      <c r="L191" s="58"/>
      <c r="M191" s="58"/>
      <c r="N191" s="58"/>
      <c r="O191" s="58"/>
      <c r="P191" s="61" t="s">
        <v>221</v>
      </c>
      <c r="Q191" s="58"/>
      <c r="R191" s="61"/>
      <c r="S191" s="62"/>
      <c r="T191" s="61"/>
      <c r="U191" s="61"/>
      <c r="V191" s="61"/>
      <c r="W191" s="61"/>
      <c r="X191" s="61"/>
      <c r="Y191" s="63"/>
      <c r="Z191" s="61"/>
      <c r="AA191" s="61"/>
      <c r="AB191" s="61"/>
      <c r="AC191" s="61"/>
      <c r="AD191" s="61"/>
      <c r="AE191" s="62"/>
      <c r="AF191" s="62"/>
      <c r="AG191" s="63"/>
      <c r="AH191" s="61"/>
      <c r="AI191" s="61" t="s">
        <v>1296</v>
      </c>
      <c r="AJ191" s="61"/>
      <c r="AK191" s="61" t="s">
        <v>589</v>
      </c>
      <c r="AL191" s="61" t="s">
        <v>1297</v>
      </c>
    </row>
    <row r="192" customFormat="false" ht="15" hidden="false" customHeight="true" outlineLevel="0" collapsed="false">
      <c r="A192" s="61" t="s">
        <v>1298</v>
      </c>
      <c r="B192" s="61" t="s">
        <v>1234</v>
      </c>
      <c r="C192" s="61" t="s">
        <v>1011</v>
      </c>
      <c r="D192" s="61" t="s">
        <v>925</v>
      </c>
      <c r="E192" s="61" t="s">
        <v>354</v>
      </c>
      <c r="F192" s="61" t="s">
        <v>355</v>
      </c>
      <c r="G192" s="61" t="s">
        <v>1299</v>
      </c>
      <c r="H192" s="61" t="s">
        <v>355</v>
      </c>
      <c r="I192" s="58"/>
      <c r="J192" s="58"/>
      <c r="K192" s="58"/>
      <c r="L192" s="58"/>
      <c r="M192" s="58"/>
      <c r="N192" s="58" t="n">
        <v>46356</v>
      </c>
      <c r="O192" s="58"/>
      <c r="P192" s="61" t="s">
        <v>355</v>
      </c>
      <c r="Q192" s="58"/>
      <c r="R192" s="61"/>
      <c r="S192" s="62"/>
      <c r="T192" s="61"/>
      <c r="U192" s="61"/>
      <c r="V192" s="61"/>
      <c r="W192" s="61"/>
      <c r="X192" s="61"/>
      <c r="Y192" s="63" t="n">
        <v>0.09</v>
      </c>
      <c r="Z192" s="61"/>
      <c r="AA192" s="61"/>
      <c r="AB192" s="61"/>
      <c r="AC192" s="61"/>
      <c r="AD192" s="61"/>
      <c r="AE192" s="62"/>
      <c r="AF192" s="62"/>
      <c r="AG192" s="63"/>
      <c r="AH192" s="61"/>
      <c r="AI192" s="61" t="s">
        <v>1300</v>
      </c>
      <c r="AJ192" s="61"/>
      <c r="AK192" s="61" t="s">
        <v>589</v>
      </c>
      <c r="AL192" s="61" t="s">
        <v>1301</v>
      </c>
    </row>
    <row r="193" customFormat="false" ht="15" hidden="false" customHeight="true" outlineLevel="0" collapsed="false">
      <c r="A193" s="61" t="s">
        <v>1302</v>
      </c>
      <c r="B193" s="61" t="s">
        <v>1234</v>
      </c>
      <c r="C193" s="61" t="s">
        <v>1303</v>
      </c>
      <c r="D193" s="61" t="s">
        <v>925</v>
      </c>
      <c r="E193" s="61" t="s">
        <v>354</v>
      </c>
      <c r="F193" s="61" t="s">
        <v>355</v>
      </c>
      <c r="G193" s="61" t="s">
        <v>1299</v>
      </c>
      <c r="H193" s="61" t="s">
        <v>355</v>
      </c>
      <c r="I193" s="58"/>
      <c r="J193" s="58"/>
      <c r="K193" s="58"/>
      <c r="L193" s="58"/>
      <c r="M193" s="58"/>
      <c r="N193" s="58" t="n">
        <v>46356</v>
      </c>
      <c r="O193" s="58"/>
      <c r="P193" s="61" t="s">
        <v>355</v>
      </c>
      <c r="Q193" s="58"/>
      <c r="R193" s="61"/>
      <c r="S193" s="62"/>
      <c r="T193" s="61"/>
      <c r="U193" s="61"/>
      <c r="V193" s="61"/>
      <c r="W193" s="61"/>
      <c r="X193" s="61"/>
      <c r="Y193" s="63" t="n">
        <v>0.11</v>
      </c>
      <c r="Z193" s="61"/>
      <c r="AA193" s="61"/>
      <c r="AB193" s="61"/>
      <c r="AC193" s="61"/>
      <c r="AD193" s="61"/>
      <c r="AE193" s="62"/>
      <c r="AF193" s="62"/>
      <c r="AG193" s="63"/>
      <c r="AH193" s="61"/>
      <c r="AI193" s="61" t="s">
        <v>1300</v>
      </c>
      <c r="AJ193" s="61"/>
      <c r="AK193" s="61" t="s">
        <v>589</v>
      </c>
      <c r="AL193" s="61" t="s">
        <v>1304</v>
      </c>
    </row>
    <row r="194" customFormat="false" ht="15" hidden="false" customHeight="true" outlineLevel="0" collapsed="false">
      <c r="A194" s="61" t="s">
        <v>1305</v>
      </c>
      <c r="B194" s="61" t="s">
        <v>1306</v>
      </c>
      <c r="C194" s="61" t="s">
        <v>1174</v>
      </c>
      <c r="D194" s="61" t="s">
        <v>775</v>
      </c>
      <c r="E194" s="61" t="s">
        <v>491</v>
      </c>
      <c r="F194" s="61" t="s">
        <v>355</v>
      </c>
      <c r="G194" s="61" t="s">
        <v>1021</v>
      </c>
      <c r="H194" s="61" t="s">
        <v>221</v>
      </c>
      <c r="I194" s="58" t="n">
        <v>46327</v>
      </c>
      <c r="J194" s="58" t="n">
        <v>46402</v>
      </c>
      <c r="K194" s="58" t="n">
        <v>46341</v>
      </c>
      <c r="L194" s="58"/>
      <c r="M194" s="58"/>
      <c r="N194" s="58" t="n">
        <v>46402</v>
      </c>
      <c r="O194" s="58"/>
      <c r="P194" s="61" t="s">
        <v>355</v>
      </c>
      <c r="Q194" s="58"/>
      <c r="R194" s="61"/>
      <c r="S194" s="62"/>
      <c r="T194" s="61"/>
      <c r="U194" s="61"/>
      <c r="V194" s="61"/>
      <c r="W194" s="61"/>
      <c r="X194" s="61"/>
      <c r="Y194" s="63"/>
      <c r="Z194" s="61"/>
      <c r="AA194" s="61"/>
      <c r="AB194" s="61"/>
      <c r="AC194" s="61"/>
      <c r="AD194" s="61"/>
      <c r="AE194" s="62"/>
      <c r="AF194" s="62"/>
      <c r="AG194" s="63"/>
      <c r="AH194" s="61"/>
      <c r="AI194" s="61"/>
      <c r="AJ194" s="61"/>
      <c r="AK194" s="61" t="s">
        <v>589</v>
      </c>
      <c r="AL194" s="61" t="s">
        <v>1297</v>
      </c>
    </row>
    <row r="195" customFormat="false" ht="15" hidden="false" customHeight="true" outlineLevel="0" collapsed="false">
      <c r="A195" s="61" t="s">
        <v>1307</v>
      </c>
      <c r="B195" s="61" t="s">
        <v>1306</v>
      </c>
      <c r="C195" s="61" t="s">
        <v>1308</v>
      </c>
      <c r="D195" s="61" t="s">
        <v>642</v>
      </c>
      <c r="E195" s="61" t="s">
        <v>491</v>
      </c>
      <c r="F195" s="61" t="s">
        <v>355</v>
      </c>
      <c r="G195" s="61" t="s">
        <v>292</v>
      </c>
      <c r="H195" s="61" t="s">
        <v>221</v>
      </c>
      <c r="I195" s="58" t="n">
        <v>46327</v>
      </c>
      <c r="J195" s="58"/>
      <c r="K195" s="58" t="n">
        <v>46336</v>
      </c>
      <c r="L195" s="58"/>
      <c r="M195" s="58"/>
      <c r="N195" s="58" t="n">
        <v>46397</v>
      </c>
      <c r="O195" s="58"/>
      <c r="P195" s="61" t="s">
        <v>355</v>
      </c>
      <c r="Q195" s="58"/>
      <c r="R195" s="61"/>
      <c r="S195" s="62"/>
      <c r="T195" s="61"/>
      <c r="U195" s="61"/>
      <c r="V195" s="61"/>
      <c r="W195" s="61"/>
      <c r="X195" s="61"/>
      <c r="Y195" s="63"/>
      <c r="Z195" s="61"/>
      <c r="AA195" s="61"/>
      <c r="AB195" s="61"/>
      <c r="AC195" s="61"/>
      <c r="AD195" s="61"/>
      <c r="AE195" s="62"/>
      <c r="AF195" s="62"/>
      <c r="AG195" s="63"/>
      <c r="AH195" s="61"/>
      <c r="AI195" s="61"/>
      <c r="AJ195" s="61"/>
      <c r="AK195" s="61" t="s">
        <v>589</v>
      </c>
      <c r="AL195" s="61" t="s">
        <v>1297</v>
      </c>
    </row>
    <row r="196" customFormat="false" ht="15" hidden="false" customHeight="true" outlineLevel="0" collapsed="false">
      <c r="A196" s="61" t="s">
        <v>1309</v>
      </c>
      <c r="B196" s="61" t="s">
        <v>1306</v>
      </c>
      <c r="C196" s="61" t="s">
        <v>1126</v>
      </c>
      <c r="D196" s="61" t="s">
        <v>647</v>
      </c>
      <c r="E196" s="61" t="s">
        <v>491</v>
      </c>
      <c r="F196" s="61" t="s">
        <v>355</v>
      </c>
      <c r="G196" s="61" t="s">
        <v>380</v>
      </c>
      <c r="H196" s="61" t="s">
        <v>221</v>
      </c>
      <c r="I196" s="58"/>
      <c r="J196" s="58"/>
      <c r="K196" s="58"/>
      <c r="L196" s="58"/>
      <c r="M196" s="58"/>
      <c r="N196" s="58"/>
      <c r="O196" s="58"/>
      <c r="P196" s="61" t="s">
        <v>355</v>
      </c>
      <c r="Q196" s="58"/>
      <c r="R196" s="61"/>
      <c r="S196" s="62"/>
      <c r="T196" s="61"/>
      <c r="U196" s="61"/>
      <c r="V196" s="61"/>
      <c r="W196" s="61"/>
      <c r="X196" s="61"/>
      <c r="Y196" s="63"/>
      <c r="Z196" s="61"/>
      <c r="AA196" s="61"/>
      <c r="AB196" s="61"/>
      <c r="AC196" s="61"/>
      <c r="AD196" s="61"/>
      <c r="AE196" s="62"/>
      <c r="AF196" s="62"/>
      <c r="AG196" s="63"/>
      <c r="AH196" s="61"/>
      <c r="AI196" s="61"/>
      <c r="AJ196" s="61"/>
      <c r="AK196" s="61" t="s">
        <v>432</v>
      </c>
      <c r="AL196" s="61" t="s">
        <v>1297</v>
      </c>
    </row>
    <row r="197" customFormat="false" ht="15" hidden="false" customHeight="true" outlineLevel="0" collapsed="false">
      <c r="A197" s="61" t="s">
        <v>1310</v>
      </c>
      <c r="B197" s="61" t="s">
        <v>1306</v>
      </c>
      <c r="C197" s="61" t="s">
        <v>683</v>
      </c>
      <c r="D197" s="61" t="s">
        <v>684</v>
      </c>
      <c r="E197" s="61" t="s">
        <v>491</v>
      </c>
      <c r="F197" s="61" t="s">
        <v>355</v>
      </c>
      <c r="G197" s="61" t="s">
        <v>1311</v>
      </c>
      <c r="H197" s="61" t="s">
        <v>221</v>
      </c>
      <c r="I197" s="58"/>
      <c r="J197" s="58"/>
      <c r="K197" s="58" t="n">
        <v>46327</v>
      </c>
      <c r="L197" s="58" t="n">
        <v>46357</v>
      </c>
      <c r="M197" s="58"/>
      <c r="N197" s="58" t="n">
        <v>46447</v>
      </c>
      <c r="O197" s="58"/>
      <c r="P197" s="61" t="s">
        <v>355</v>
      </c>
      <c r="Q197" s="58" t="n">
        <v>46327</v>
      </c>
      <c r="R197" s="61" t="s">
        <v>1312</v>
      </c>
      <c r="S197" s="62" t="n">
        <v>50</v>
      </c>
      <c r="T197" s="61" t="s">
        <v>703</v>
      </c>
      <c r="U197" s="61" t="s">
        <v>401</v>
      </c>
      <c r="V197" s="61" t="s">
        <v>1313</v>
      </c>
      <c r="W197" s="61" t="s">
        <v>359</v>
      </c>
      <c r="X197" s="61"/>
      <c r="Y197" s="63" t="n">
        <v>0.94</v>
      </c>
      <c r="Z197" s="61" t="n">
        <v>1160</v>
      </c>
      <c r="AA197" s="61" t="n">
        <v>1350</v>
      </c>
      <c r="AB197" s="61" t="n">
        <v>24</v>
      </c>
      <c r="AC197" s="61" t="n">
        <v>30</v>
      </c>
      <c r="AD197" s="61" t="n">
        <v>3.8</v>
      </c>
      <c r="AE197" s="62" t="n">
        <v>38578</v>
      </c>
      <c r="AF197" s="62" t="n">
        <v>22950</v>
      </c>
      <c r="AG197" s="63" t="n">
        <v>0.73</v>
      </c>
      <c r="AH197" s="61" t="n">
        <v>0</v>
      </c>
      <c r="AI197" s="61" t="s">
        <v>1314</v>
      </c>
      <c r="AJ197" s="61"/>
      <c r="AK197" s="61" t="s">
        <v>362</v>
      </c>
      <c r="AL197" s="61" t="s">
        <v>1315</v>
      </c>
    </row>
    <row r="198" customFormat="false" ht="15" hidden="false" customHeight="true" outlineLevel="0" collapsed="false">
      <c r="A198" s="61" t="s">
        <v>1316</v>
      </c>
      <c r="B198" s="61" t="s">
        <v>1306</v>
      </c>
      <c r="C198" s="61" t="s">
        <v>1317</v>
      </c>
      <c r="D198" s="61" t="s">
        <v>642</v>
      </c>
      <c r="E198" s="61" t="s">
        <v>491</v>
      </c>
      <c r="F198" s="61" t="s">
        <v>355</v>
      </c>
      <c r="G198" s="61" t="s">
        <v>1311</v>
      </c>
      <c r="H198" s="61" t="s">
        <v>221</v>
      </c>
      <c r="I198" s="58" t="n">
        <v>46327</v>
      </c>
      <c r="J198" s="58" t="n">
        <v>46419</v>
      </c>
      <c r="K198" s="58" t="n">
        <v>46341</v>
      </c>
      <c r="L198" s="58"/>
      <c r="M198" s="58"/>
      <c r="N198" s="58" t="n">
        <v>46419</v>
      </c>
      <c r="O198" s="58"/>
      <c r="P198" s="61" t="s">
        <v>355</v>
      </c>
      <c r="Q198" s="58"/>
      <c r="R198" s="61" t="s">
        <v>1318</v>
      </c>
      <c r="S198" s="62" t="n">
        <v>50</v>
      </c>
      <c r="T198" s="61" t="s">
        <v>703</v>
      </c>
      <c r="U198" s="61" t="s">
        <v>401</v>
      </c>
      <c r="V198" s="61" t="s">
        <v>1319</v>
      </c>
      <c r="W198" s="61" t="s">
        <v>359</v>
      </c>
      <c r="X198" s="61"/>
      <c r="Y198" s="63" t="n">
        <v>0.75</v>
      </c>
      <c r="Z198" s="61" t="n">
        <v>1110</v>
      </c>
      <c r="AA198" s="61" t="n">
        <v>1320</v>
      </c>
      <c r="AB198" s="61" t="n">
        <v>24</v>
      </c>
      <c r="AC198" s="61" t="n">
        <v>33</v>
      </c>
      <c r="AD198" s="61"/>
      <c r="AE198" s="62" t="n">
        <v>43086</v>
      </c>
      <c r="AF198" s="62" t="n">
        <v>32763</v>
      </c>
      <c r="AG198" s="63" t="n">
        <v>0.68</v>
      </c>
      <c r="AH198" s="61"/>
      <c r="AI198" s="61" t="s">
        <v>1320</v>
      </c>
      <c r="AJ198" s="61"/>
      <c r="AK198" s="61" t="s">
        <v>370</v>
      </c>
      <c r="AL198" s="61" t="s">
        <v>1321</v>
      </c>
    </row>
    <row r="199" customFormat="false" ht="15" hidden="false" customHeight="true" outlineLevel="0" collapsed="false">
      <c r="A199" s="61" t="s">
        <v>1322</v>
      </c>
      <c r="B199" s="61" t="s">
        <v>1306</v>
      </c>
      <c r="C199" s="61" t="s">
        <v>1323</v>
      </c>
      <c r="D199" s="61" t="s">
        <v>636</v>
      </c>
      <c r="E199" s="61" t="s">
        <v>491</v>
      </c>
      <c r="F199" s="61" t="s">
        <v>355</v>
      </c>
      <c r="G199" s="61" t="s">
        <v>1324</v>
      </c>
      <c r="H199" s="61" t="s">
        <v>221</v>
      </c>
      <c r="I199" s="58" t="n">
        <v>46327</v>
      </c>
      <c r="J199" s="58" t="n">
        <v>46392</v>
      </c>
      <c r="K199" s="58" t="n">
        <v>46327</v>
      </c>
      <c r="L199" s="58"/>
      <c r="M199" s="58"/>
      <c r="N199" s="58" t="n">
        <v>46392</v>
      </c>
      <c r="O199" s="58"/>
      <c r="P199" s="61" t="s">
        <v>355</v>
      </c>
      <c r="Q199" s="58"/>
      <c r="R199" s="61" t="s">
        <v>1325</v>
      </c>
      <c r="S199" s="62" t="n">
        <v>75</v>
      </c>
      <c r="T199" s="61" t="s">
        <v>703</v>
      </c>
      <c r="U199" s="61"/>
      <c r="V199" s="61"/>
      <c r="W199" s="61"/>
      <c r="X199" s="61"/>
      <c r="Y199" s="63" t="n">
        <v>0.18</v>
      </c>
      <c r="Z199" s="61" t="n">
        <v>1320</v>
      </c>
      <c r="AA199" s="61" t="n">
        <v>1480</v>
      </c>
      <c r="AB199" s="61" t="n">
        <v>30</v>
      </c>
      <c r="AC199" s="61" t="n">
        <v>33</v>
      </c>
      <c r="AD199" s="61"/>
      <c r="AE199" s="62" t="n">
        <v>45397</v>
      </c>
      <c r="AF199" s="62" t="n">
        <v>15978</v>
      </c>
      <c r="AG199" s="63" t="n">
        <v>0.82</v>
      </c>
      <c r="AH199" s="61"/>
      <c r="AI199" s="61" t="s">
        <v>1326</v>
      </c>
      <c r="AJ199" s="61" t="s">
        <v>1327</v>
      </c>
      <c r="AK199" s="61" t="s">
        <v>370</v>
      </c>
      <c r="AL199" s="61" t="s">
        <v>1328</v>
      </c>
    </row>
    <row r="200" customFormat="false" ht="15" hidden="false" customHeight="true" outlineLevel="0" collapsed="false">
      <c r="A200" s="61" t="s">
        <v>1329</v>
      </c>
      <c r="B200" s="61" t="s">
        <v>1306</v>
      </c>
      <c r="C200" s="61" t="s">
        <v>1330</v>
      </c>
      <c r="D200" s="61" t="s">
        <v>636</v>
      </c>
      <c r="E200" s="61" t="s">
        <v>491</v>
      </c>
      <c r="F200" s="61" t="s">
        <v>355</v>
      </c>
      <c r="G200" s="61" t="s">
        <v>292</v>
      </c>
      <c r="H200" s="61" t="s">
        <v>221</v>
      </c>
      <c r="I200" s="58" t="n">
        <v>46341</v>
      </c>
      <c r="J200" s="58" t="n">
        <v>46392</v>
      </c>
      <c r="K200" s="58"/>
      <c r="L200" s="58"/>
      <c r="M200" s="58"/>
      <c r="N200" s="58" t="n">
        <v>46419</v>
      </c>
      <c r="O200" s="58"/>
      <c r="P200" s="61" t="s">
        <v>355</v>
      </c>
      <c r="Q200" s="58"/>
      <c r="R200" s="61" t="s">
        <v>1331</v>
      </c>
      <c r="S200" s="62" t="n">
        <v>0</v>
      </c>
      <c r="T200" s="61" t="s">
        <v>522</v>
      </c>
      <c r="U200" s="61" t="s">
        <v>401</v>
      </c>
      <c r="V200" s="61" t="s">
        <v>1332</v>
      </c>
      <c r="W200" s="61"/>
      <c r="X200" s="61"/>
      <c r="Y200" s="63" t="n">
        <v>0.53</v>
      </c>
      <c r="Z200" s="61" t="n">
        <v>1180</v>
      </c>
      <c r="AA200" s="61" t="n">
        <v>1360</v>
      </c>
      <c r="AB200" s="61" t="n">
        <v>26</v>
      </c>
      <c r="AC200" s="61" t="n">
        <v>30</v>
      </c>
      <c r="AD200" s="61"/>
      <c r="AE200" s="62" t="n">
        <v>39201</v>
      </c>
      <c r="AF200" s="62" t="n">
        <v>27177</v>
      </c>
      <c r="AG200" s="63" t="n">
        <v>0.74</v>
      </c>
      <c r="AH200" s="61"/>
      <c r="AI200" s="61" t="s">
        <v>1333</v>
      </c>
      <c r="AJ200" s="61"/>
      <c r="AK200" s="61" t="s">
        <v>370</v>
      </c>
      <c r="AL200" s="61" t="s">
        <v>1334</v>
      </c>
    </row>
    <row r="201" customFormat="false" ht="15" hidden="false" customHeight="true" outlineLevel="0" collapsed="false">
      <c r="A201" s="61" t="s">
        <v>1335</v>
      </c>
      <c r="B201" s="61" t="s">
        <v>1306</v>
      </c>
      <c r="C201" s="61" t="s">
        <v>1336</v>
      </c>
      <c r="D201" s="61" t="s">
        <v>775</v>
      </c>
      <c r="E201" s="61" t="s">
        <v>491</v>
      </c>
      <c r="F201" s="61" t="s">
        <v>355</v>
      </c>
      <c r="G201" s="61" t="s">
        <v>292</v>
      </c>
      <c r="H201" s="61" t="s">
        <v>221</v>
      </c>
      <c r="I201" s="58" t="n">
        <v>46327</v>
      </c>
      <c r="J201" s="58" t="n">
        <v>46402</v>
      </c>
      <c r="K201" s="58" t="n">
        <v>46341</v>
      </c>
      <c r="L201" s="58"/>
      <c r="M201" s="58"/>
      <c r="N201" s="58" t="n">
        <v>46402</v>
      </c>
      <c r="O201" s="58"/>
      <c r="P201" s="61" t="s">
        <v>355</v>
      </c>
      <c r="Q201" s="58"/>
      <c r="R201" s="61"/>
      <c r="S201" s="62" t="n">
        <v>0</v>
      </c>
      <c r="T201" s="61" t="s">
        <v>522</v>
      </c>
      <c r="U201" s="61" t="s">
        <v>401</v>
      </c>
      <c r="V201" s="61" t="s">
        <v>1337</v>
      </c>
      <c r="W201" s="61"/>
      <c r="X201" s="61"/>
      <c r="Y201" s="63" t="n">
        <v>0.55</v>
      </c>
      <c r="Z201" s="61" t="n">
        <v>1175</v>
      </c>
      <c r="AA201" s="61" t="n">
        <v>1345</v>
      </c>
      <c r="AB201" s="61" t="n">
        <v>28</v>
      </c>
      <c r="AC201" s="61" t="n">
        <v>31</v>
      </c>
      <c r="AD201" s="61"/>
      <c r="AE201" s="62" t="n">
        <v>30481</v>
      </c>
      <c r="AF201" s="62" t="n">
        <v>8493</v>
      </c>
      <c r="AG201" s="63" t="n">
        <v>0.82</v>
      </c>
      <c r="AH201" s="61"/>
      <c r="AI201" s="61" t="s">
        <v>1338</v>
      </c>
      <c r="AJ201" s="61"/>
      <c r="AK201" s="61" t="s">
        <v>370</v>
      </c>
      <c r="AL201" s="61" t="s">
        <v>1339</v>
      </c>
    </row>
    <row r="202" customFormat="false" ht="15" hidden="false" customHeight="true" outlineLevel="0" collapsed="false">
      <c r="A202" s="61" t="s">
        <v>1340</v>
      </c>
      <c r="B202" s="61" t="s">
        <v>1306</v>
      </c>
      <c r="C202" s="61" t="s">
        <v>1341</v>
      </c>
      <c r="D202" s="61" t="s">
        <v>684</v>
      </c>
      <c r="E202" s="61" t="s">
        <v>491</v>
      </c>
      <c r="F202" s="61" t="s">
        <v>355</v>
      </c>
      <c r="G202" s="61" t="s">
        <v>292</v>
      </c>
      <c r="H202" s="61" t="s">
        <v>221</v>
      </c>
      <c r="I202" s="58" t="n">
        <v>46341</v>
      </c>
      <c r="J202" s="58" t="n">
        <v>46402</v>
      </c>
      <c r="K202" s="58" t="n">
        <v>46357</v>
      </c>
      <c r="L202" s="58"/>
      <c r="M202" s="58"/>
      <c r="N202" s="58" t="n">
        <v>46419</v>
      </c>
      <c r="O202" s="58"/>
      <c r="P202" s="61" t="s">
        <v>355</v>
      </c>
      <c r="Q202" s="58"/>
      <c r="R202" s="61" t="s">
        <v>1342</v>
      </c>
      <c r="S202" s="62" t="n">
        <v>0</v>
      </c>
      <c r="T202" s="61" t="s">
        <v>522</v>
      </c>
      <c r="U202" s="61" t="s">
        <v>401</v>
      </c>
      <c r="V202" s="61" t="s">
        <v>622</v>
      </c>
      <c r="W202" s="61" t="s">
        <v>214</v>
      </c>
      <c r="X202" s="61"/>
      <c r="Y202" s="63" t="n">
        <v>0.56</v>
      </c>
      <c r="Z202" s="61" t="n">
        <v>1190</v>
      </c>
      <c r="AA202" s="61" t="n">
        <v>1390</v>
      </c>
      <c r="AB202" s="61" t="n">
        <v>27</v>
      </c>
      <c r="AC202" s="61" t="n">
        <v>31</v>
      </c>
      <c r="AD202" s="61"/>
      <c r="AE202" s="62" t="n">
        <v>34815</v>
      </c>
      <c r="AF202" s="62" t="n">
        <v>10485</v>
      </c>
      <c r="AG202" s="63" t="n">
        <v>0.82</v>
      </c>
      <c r="AH202" s="61"/>
      <c r="AI202" s="61" t="s">
        <v>1343</v>
      </c>
      <c r="AJ202" s="61"/>
      <c r="AK202" s="61" t="s">
        <v>370</v>
      </c>
      <c r="AL202" s="61" t="s">
        <v>1344</v>
      </c>
    </row>
    <row r="203" customFormat="false" ht="15" hidden="false" customHeight="true" outlineLevel="0" collapsed="false">
      <c r="A203" s="61" t="s">
        <v>1345</v>
      </c>
      <c r="B203" s="61" t="s">
        <v>1306</v>
      </c>
      <c r="C203" s="61" t="s">
        <v>1225</v>
      </c>
      <c r="D203" s="61" t="s">
        <v>684</v>
      </c>
      <c r="E203" s="61" t="s">
        <v>491</v>
      </c>
      <c r="F203" s="61" t="s">
        <v>355</v>
      </c>
      <c r="G203" s="61" t="s">
        <v>292</v>
      </c>
      <c r="H203" s="61" t="s">
        <v>221</v>
      </c>
      <c r="I203" s="58" t="n">
        <v>46327</v>
      </c>
      <c r="J203" s="58" t="n">
        <v>46402</v>
      </c>
      <c r="K203" s="58" t="n">
        <v>46341</v>
      </c>
      <c r="L203" s="58"/>
      <c r="M203" s="58"/>
      <c r="N203" s="58" t="n">
        <v>46402</v>
      </c>
      <c r="O203" s="58"/>
      <c r="P203" s="61" t="s">
        <v>355</v>
      </c>
      <c r="Q203" s="58"/>
      <c r="R203" s="61" t="s">
        <v>1346</v>
      </c>
      <c r="S203" s="62" t="n">
        <v>0</v>
      </c>
      <c r="T203" s="61" t="s">
        <v>522</v>
      </c>
      <c r="U203" s="61" t="s">
        <v>401</v>
      </c>
      <c r="V203" s="61"/>
      <c r="W203" s="61" t="s">
        <v>359</v>
      </c>
      <c r="X203" s="61"/>
      <c r="Y203" s="63" t="n">
        <v>0.52</v>
      </c>
      <c r="Z203" s="61"/>
      <c r="AA203" s="61"/>
      <c r="AB203" s="61" t="n">
        <v>28</v>
      </c>
      <c r="AC203" s="61" t="n">
        <v>32</v>
      </c>
      <c r="AD203" s="61"/>
      <c r="AE203" s="62" t="n">
        <v>31037</v>
      </c>
      <c r="AF203" s="62" t="n">
        <v>15770</v>
      </c>
      <c r="AG203" s="63" t="n">
        <v>0.81</v>
      </c>
      <c r="AH203" s="61"/>
      <c r="AI203" s="61" t="s">
        <v>1347</v>
      </c>
      <c r="AJ203" s="61"/>
      <c r="AK203" s="61" t="s">
        <v>370</v>
      </c>
      <c r="AL203" s="61" t="s">
        <v>1348</v>
      </c>
    </row>
    <row r="204" customFormat="false" ht="15" hidden="false" customHeight="true" outlineLevel="0" collapsed="false">
      <c r="A204" s="61" t="s">
        <v>1349</v>
      </c>
      <c r="B204" s="61" t="s">
        <v>1306</v>
      </c>
      <c r="C204" s="61" t="s">
        <v>1350</v>
      </c>
      <c r="D204" s="61" t="s">
        <v>813</v>
      </c>
      <c r="E204" s="61" t="s">
        <v>491</v>
      </c>
      <c r="F204" s="61" t="s">
        <v>355</v>
      </c>
      <c r="G204" s="61" t="s">
        <v>292</v>
      </c>
      <c r="H204" s="61" t="s">
        <v>221</v>
      </c>
      <c r="I204" s="58" t="n">
        <v>46327</v>
      </c>
      <c r="J204" s="58" t="n">
        <v>46402</v>
      </c>
      <c r="K204" s="58" t="n">
        <v>46341</v>
      </c>
      <c r="L204" s="58"/>
      <c r="M204" s="58"/>
      <c r="N204" s="58"/>
      <c r="O204" s="58"/>
      <c r="P204" s="61" t="s">
        <v>355</v>
      </c>
      <c r="Q204" s="58"/>
      <c r="R204" s="61"/>
      <c r="S204" s="62" t="n">
        <v>0</v>
      </c>
      <c r="T204" s="61" t="s">
        <v>522</v>
      </c>
      <c r="U204" s="61" t="s">
        <v>401</v>
      </c>
      <c r="V204" s="61"/>
      <c r="W204" s="61"/>
      <c r="X204" s="61"/>
      <c r="Y204" s="63" t="n">
        <v>0.48</v>
      </c>
      <c r="Z204" s="61" t="n">
        <v>1188</v>
      </c>
      <c r="AA204" s="61" t="n">
        <v>1433</v>
      </c>
      <c r="AB204" s="61" t="n">
        <v>26</v>
      </c>
      <c r="AC204" s="61" t="n">
        <v>31</v>
      </c>
      <c r="AD204" s="61"/>
      <c r="AE204" s="62" t="n">
        <v>23860</v>
      </c>
      <c r="AF204" s="62" t="n">
        <v>11364</v>
      </c>
      <c r="AG204" s="63" t="n">
        <v>0.82</v>
      </c>
      <c r="AH204" s="61"/>
      <c r="AI204" s="61" t="s">
        <v>1351</v>
      </c>
      <c r="AJ204" s="61"/>
      <c r="AK204" s="61" t="s">
        <v>432</v>
      </c>
      <c r="AL204" s="61" t="s">
        <v>1352</v>
      </c>
    </row>
    <row r="205" customFormat="false" ht="15" hidden="false" customHeight="true" outlineLevel="0" collapsed="false">
      <c r="A205" s="61" t="s">
        <v>1353</v>
      </c>
      <c r="B205" s="61" t="s">
        <v>1306</v>
      </c>
      <c r="C205" s="61" t="s">
        <v>790</v>
      </c>
      <c r="D205" s="61" t="s">
        <v>636</v>
      </c>
      <c r="E205" s="61" t="s">
        <v>491</v>
      </c>
      <c r="F205" s="61" t="s">
        <v>355</v>
      </c>
      <c r="G205" s="61" t="s">
        <v>399</v>
      </c>
      <c r="H205" s="61" t="s">
        <v>355</v>
      </c>
      <c r="I205" s="58"/>
      <c r="J205" s="58"/>
      <c r="K205" s="58"/>
      <c r="L205" s="58"/>
      <c r="M205" s="58"/>
      <c r="N205" s="58"/>
      <c r="O205" s="58"/>
      <c r="P205" s="61" t="s">
        <v>221</v>
      </c>
      <c r="Q205" s="58"/>
      <c r="R205" s="61"/>
      <c r="S205" s="62" t="n">
        <v>50</v>
      </c>
      <c r="T205" s="61" t="s">
        <v>703</v>
      </c>
      <c r="U205" s="61" t="s">
        <v>401</v>
      </c>
      <c r="V205" s="61"/>
      <c r="W205" s="61"/>
      <c r="X205" s="61"/>
      <c r="Y205" s="63" t="n">
        <v>0.65</v>
      </c>
      <c r="Z205" s="61" t="n">
        <v>1160</v>
      </c>
      <c r="AA205" s="61" t="n">
        <v>1380</v>
      </c>
      <c r="AB205" s="61" t="n">
        <v>24</v>
      </c>
      <c r="AC205" s="61" t="n">
        <v>30</v>
      </c>
      <c r="AD205" s="61"/>
      <c r="AE205" s="62" t="n">
        <v>42976</v>
      </c>
      <c r="AF205" s="62" t="n">
        <v>36238</v>
      </c>
      <c r="AG205" s="63" t="n">
        <v>0.64</v>
      </c>
      <c r="AH205" s="61"/>
      <c r="AI205" s="61" t="s">
        <v>1354</v>
      </c>
      <c r="AJ205" s="61"/>
      <c r="AK205" s="61" t="s">
        <v>432</v>
      </c>
      <c r="AL205" s="61" t="s">
        <v>1355</v>
      </c>
    </row>
    <row r="206" customFormat="false" ht="15" hidden="false" customHeight="true" outlineLevel="0" collapsed="false">
      <c r="A206" s="61" t="s">
        <v>1356</v>
      </c>
      <c r="B206" s="61" t="s">
        <v>1306</v>
      </c>
      <c r="C206" s="61" t="s">
        <v>683</v>
      </c>
      <c r="D206" s="61" t="s">
        <v>684</v>
      </c>
      <c r="E206" s="61" t="s">
        <v>491</v>
      </c>
      <c r="F206" s="61" t="s">
        <v>355</v>
      </c>
      <c r="G206" s="61" t="s">
        <v>1138</v>
      </c>
      <c r="H206" s="61" t="s">
        <v>221</v>
      </c>
      <c r="I206" s="58"/>
      <c r="J206" s="58"/>
      <c r="K206" s="58"/>
      <c r="L206" s="58"/>
      <c r="M206" s="58"/>
      <c r="N206" s="58"/>
      <c r="O206" s="58" t="n">
        <v>46341</v>
      </c>
      <c r="P206" s="61" t="s">
        <v>221</v>
      </c>
      <c r="Q206" s="58" t="n">
        <v>46402</v>
      </c>
      <c r="R206" s="61" t="s">
        <v>1357</v>
      </c>
      <c r="S206" s="62" t="n">
        <v>50</v>
      </c>
      <c r="T206" s="61" t="s">
        <v>703</v>
      </c>
      <c r="U206" s="61" t="s">
        <v>401</v>
      </c>
      <c r="V206" s="61" t="s">
        <v>1358</v>
      </c>
      <c r="W206" s="61"/>
      <c r="X206" s="61"/>
      <c r="Y206" s="63" t="n">
        <v>0.68</v>
      </c>
      <c r="Z206" s="61" t="n">
        <v>1110</v>
      </c>
      <c r="AA206" s="61" t="n">
        <v>1360</v>
      </c>
      <c r="AB206" s="61" t="n">
        <v>21</v>
      </c>
      <c r="AC206" s="61" t="n">
        <v>29</v>
      </c>
      <c r="AD206" s="61"/>
      <c r="AE206" s="62" t="n">
        <v>27695</v>
      </c>
      <c r="AF206" s="62" t="n">
        <v>20048</v>
      </c>
      <c r="AG206" s="63" t="n">
        <v>0.67</v>
      </c>
      <c r="AH206" s="61"/>
      <c r="AI206" s="61" t="s">
        <v>1359</v>
      </c>
      <c r="AJ206" s="61"/>
      <c r="AK206" s="61" t="s">
        <v>370</v>
      </c>
      <c r="AL206" s="61" t="s">
        <v>1360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I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8"/>
    <col collapsed="false" customWidth="true" hidden="false" outlineLevel="0" max="3" min="3" style="1" width="4"/>
    <col collapsed="false" customWidth="true" hidden="false" outlineLevel="0" max="4" min="4" style="1" width="80"/>
    <col collapsed="false" customWidth="true" hidden="false" outlineLevel="0" max="5" min="5" style="1" width="14"/>
    <col collapsed="false" customWidth="true" hidden="false" outlineLevel="0" max="6" min="6" style="1" width="16"/>
    <col collapsed="false" customWidth="true" hidden="false" outlineLevel="0" max="7" min="7" style="1" width="9"/>
    <col collapsed="false" customWidth="true" hidden="false" outlineLevel="0" max="8" min="8" style="1" width="20"/>
    <col collapsed="false" customWidth="true" hidden="false" outlineLevel="0" max="9" min="9" style="1" width="10"/>
  </cols>
  <sheetData>
    <row r="1" customFormat="false" ht="15" hidden="false" customHeight="true" outlineLevel="0" collapsed="false">
      <c r="A1" s="64" t="s">
        <v>1361</v>
      </c>
      <c r="B1" s="64" t="s">
        <v>50</v>
      </c>
      <c r="C1" s="64" t="s">
        <v>155</v>
      </c>
      <c r="D1" s="64" t="s">
        <v>210</v>
      </c>
      <c r="E1" s="64" t="s">
        <v>211</v>
      </c>
      <c r="F1" s="64" t="s">
        <v>212</v>
      </c>
      <c r="G1" s="64" t="s">
        <v>214</v>
      </c>
      <c r="H1" s="64" t="s">
        <v>213</v>
      </c>
      <c r="I1" s="64" t="s">
        <v>1362</v>
      </c>
    </row>
    <row r="2" customFormat="false" ht="15" hidden="false" customHeight="true" outlineLevel="0" collapsed="false">
      <c r="A2" s="65" t="s">
        <v>1363</v>
      </c>
      <c r="B2" s="65" t="s">
        <v>489</v>
      </c>
      <c r="C2" s="65" t="n">
        <v>1</v>
      </c>
      <c r="D2" s="66" t="s">
        <v>1364</v>
      </c>
      <c r="E2" s="65" t="s">
        <v>1365</v>
      </c>
      <c r="F2" s="65" t="s">
        <v>1366</v>
      </c>
      <c r="G2" s="65" t="s">
        <v>221</v>
      </c>
      <c r="H2" s="65" t="s">
        <v>1367</v>
      </c>
      <c r="I2" s="65" t="s">
        <v>1368</v>
      </c>
    </row>
    <row r="3" customFormat="false" ht="53.25" hidden="false" customHeight="true" outlineLevel="0" collapsed="false">
      <c r="A3" s="65" t="s">
        <v>1369</v>
      </c>
      <c r="B3" s="65" t="s">
        <v>489</v>
      </c>
      <c r="C3" s="65" t="n">
        <v>2</v>
      </c>
      <c r="D3" s="66" t="s">
        <v>1370</v>
      </c>
      <c r="E3" s="65" t="s">
        <v>1371</v>
      </c>
      <c r="F3" s="65" t="s">
        <v>1372</v>
      </c>
      <c r="G3" s="65" t="s">
        <v>221</v>
      </c>
      <c r="H3" s="65" t="s">
        <v>1373</v>
      </c>
      <c r="I3" s="65" t="s">
        <v>1368</v>
      </c>
    </row>
    <row r="4" customFormat="false" ht="32.25" hidden="false" customHeight="true" outlineLevel="0" collapsed="false">
      <c r="A4" s="65" t="s">
        <v>1374</v>
      </c>
      <c r="B4" s="65" t="s">
        <v>617</v>
      </c>
      <c r="C4" s="65" t="n">
        <v>1</v>
      </c>
      <c r="D4" s="66" t="s">
        <v>1375</v>
      </c>
      <c r="E4" s="65" t="s">
        <v>1376</v>
      </c>
      <c r="F4" s="65" t="s">
        <v>1372</v>
      </c>
      <c r="G4" s="65" t="s">
        <v>401</v>
      </c>
      <c r="H4" s="65" t="s">
        <v>1373</v>
      </c>
      <c r="I4" s="65" t="s">
        <v>1377</v>
      </c>
    </row>
    <row r="5" customFormat="false" ht="32.25" hidden="false" customHeight="true" outlineLevel="0" collapsed="false">
      <c r="A5" s="65" t="s">
        <v>1378</v>
      </c>
      <c r="B5" s="65" t="s">
        <v>617</v>
      </c>
      <c r="C5" s="65" t="n">
        <v>2</v>
      </c>
      <c r="D5" s="66" t="s">
        <v>1379</v>
      </c>
      <c r="E5" s="65" t="s">
        <v>1376</v>
      </c>
      <c r="F5" s="65" t="s">
        <v>1380</v>
      </c>
      <c r="G5" s="65" t="s">
        <v>401</v>
      </c>
      <c r="H5" s="65" t="s">
        <v>1367</v>
      </c>
      <c r="I5" s="65" t="s">
        <v>1377</v>
      </c>
    </row>
    <row r="6" customFormat="false" ht="21.75" hidden="false" customHeight="true" outlineLevel="0" collapsed="false">
      <c r="A6" s="65" t="s">
        <v>1381</v>
      </c>
      <c r="B6" s="65" t="s">
        <v>626</v>
      </c>
      <c r="C6" s="65" t="n">
        <v>1</v>
      </c>
      <c r="D6" s="66" t="s">
        <v>1382</v>
      </c>
      <c r="E6" s="65" t="s">
        <v>1383</v>
      </c>
      <c r="F6" s="65" t="s">
        <v>1372</v>
      </c>
      <c r="G6" s="65" t="s">
        <v>221</v>
      </c>
      <c r="H6" s="65" t="s">
        <v>1373</v>
      </c>
      <c r="I6" s="65" t="s">
        <v>1377</v>
      </c>
    </row>
    <row r="7" customFormat="false" ht="15" hidden="false" customHeight="true" outlineLevel="0" collapsed="false">
      <c r="A7" s="65" t="s">
        <v>1384</v>
      </c>
      <c r="B7" s="65" t="s">
        <v>652</v>
      </c>
      <c r="C7" s="65" t="n">
        <v>1</v>
      </c>
      <c r="D7" s="66" t="s">
        <v>1385</v>
      </c>
      <c r="E7" s="65"/>
      <c r="F7" s="65" t="s">
        <v>1380</v>
      </c>
      <c r="G7" s="65" t="s">
        <v>401</v>
      </c>
      <c r="H7" s="65" t="s">
        <v>1367</v>
      </c>
      <c r="I7" s="65" t="s">
        <v>1368</v>
      </c>
    </row>
    <row r="8" customFormat="false" ht="21.75" hidden="false" customHeight="true" outlineLevel="0" collapsed="false">
      <c r="A8" s="65" t="s">
        <v>1386</v>
      </c>
      <c r="B8" s="65" t="s">
        <v>769</v>
      </c>
      <c r="C8" s="65" t="n">
        <v>1</v>
      </c>
      <c r="D8" s="66" t="s">
        <v>1387</v>
      </c>
      <c r="E8" s="65"/>
      <c r="F8" s="65" t="s">
        <v>1380</v>
      </c>
      <c r="G8" s="65" t="s">
        <v>221</v>
      </c>
      <c r="H8" s="65" t="s">
        <v>1367</v>
      </c>
      <c r="I8" s="65" t="s">
        <v>1368</v>
      </c>
    </row>
    <row r="9" customFormat="false" ht="15" hidden="false" customHeight="true" outlineLevel="0" collapsed="false">
      <c r="A9" s="65" t="s">
        <v>1388</v>
      </c>
      <c r="B9" s="65" t="s">
        <v>850</v>
      </c>
      <c r="C9" s="65" t="n">
        <v>1</v>
      </c>
      <c r="D9" s="66" t="s">
        <v>1389</v>
      </c>
      <c r="E9" s="65" t="s">
        <v>1371</v>
      </c>
      <c r="F9" s="65" t="s">
        <v>1372</v>
      </c>
      <c r="G9" s="65" t="s">
        <v>221</v>
      </c>
      <c r="H9" s="65" t="s">
        <v>1373</v>
      </c>
      <c r="I9" s="65" t="s">
        <v>1368</v>
      </c>
    </row>
    <row r="10" customFormat="false" ht="21.75" hidden="false" customHeight="true" outlineLevel="0" collapsed="false">
      <c r="A10" s="65" t="s">
        <v>1390</v>
      </c>
      <c r="B10" s="65" t="s">
        <v>850</v>
      </c>
      <c r="C10" s="65" t="n">
        <v>2</v>
      </c>
      <c r="D10" s="66" t="s">
        <v>1391</v>
      </c>
      <c r="E10" s="65" t="s">
        <v>1371</v>
      </c>
      <c r="F10" s="65" t="s">
        <v>1372</v>
      </c>
      <c r="G10" s="65" t="s">
        <v>221</v>
      </c>
      <c r="H10" s="65" t="s">
        <v>1373</v>
      </c>
      <c r="I10" s="65" t="s">
        <v>1368</v>
      </c>
    </row>
    <row r="11" customFormat="false" ht="15" hidden="false" customHeight="true" outlineLevel="0" collapsed="false">
      <c r="A11" s="65" t="s">
        <v>1392</v>
      </c>
      <c r="B11" s="65" t="s">
        <v>850</v>
      </c>
      <c r="C11" s="65" t="n">
        <v>3</v>
      </c>
      <c r="D11" s="66" t="s">
        <v>1393</v>
      </c>
      <c r="E11" s="65" t="s">
        <v>1371</v>
      </c>
      <c r="F11" s="65" t="s">
        <v>1380</v>
      </c>
      <c r="G11" s="65" t="s">
        <v>221</v>
      </c>
      <c r="H11" s="65" t="s">
        <v>1367</v>
      </c>
      <c r="I11" s="65" t="s">
        <v>1368</v>
      </c>
    </row>
    <row r="12" customFormat="false" ht="15" hidden="false" customHeight="true" outlineLevel="0" collapsed="false">
      <c r="A12" s="65" t="s">
        <v>1394</v>
      </c>
      <c r="B12" s="65" t="s">
        <v>850</v>
      </c>
      <c r="C12" s="65" t="n">
        <v>4</v>
      </c>
      <c r="D12" s="66" t="s">
        <v>1395</v>
      </c>
      <c r="E12" s="65" t="s">
        <v>1371</v>
      </c>
      <c r="F12" s="65" t="s">
        <v>1396</v>
      </c>
      <c r="G12" s="65" t="s">
        <v>221</v>
      </c>
      <c r="H12" s="65" t="s">
        <v>1396</v>
      </c>
      <c r="I12" s="65" t="s">
        <v>1368</v>
      </c>
    </row>
    <row r="13" customFormat="false" ht="21.75" hidden="false" customHeight="true" outlineLevel="0" collapsed="false">
      <c r="A13" s="65" t="s">
        <v>1397</v>
      </c>
      <c r="B13" s="65" t="s">
        <v>850</v>
      </c>
      <c r="C13" s="65" t="n">
        <v>5</v>
      </c>
      <c r="D13" s="66" t="s">
        <v>1398</v>
      </c>
      <c r="E13" s="65" t="s">
        <v>1371</v>
      </c>
      <c r="F13" s="65" t="s">
        <v>1372</v>
      </c>
      <c r="G13" s="65" t="s">
        <v>221</v>
      </c>
      <c r="H13" s="65" t="s">
        <v>1373</v>
      </c>
      <c r="I13" s="65" t="s">
        <v>1368</v>
      </c>
    </row>
    <row r="14" customFormat="false" ht="21.75" hidden="false" customHeight="true" outlineLevel="0" collapsed="false">
      <c r="A14" s="65" t="s">
        <v>1399</v>
      </c>
      <c r="B14" s="65" t="s">
        <v>862</v>
      </c>
      <c r="C14" s="65" t="n">
        <v>1</v>
      </c>
      <c r="D14" s="66" t="s">
        <v>1400</v>
      </c>
      <c r="E14" s="65" t="s">
        <v>1401</v>
      </c>
      <c r="F14" s="65" t="s">
        <v>1366</v>
      </c>
      <c r="G14" s="65" t="s">
        <v>221</v>
      </c>
      <c r="H14" s="65" t="s">
        <v>1367</v>
      </c>
      <c r="I14" s="65" t="s">
        <v>1377</v>
      </c>
    </row>
    <row r="15" customFormat="false" ht="21.75" hidden="false" customHeight="true" outlineLevel="0" collapsed="false">
      <c r="A15" s="65" t="s">
        <v>1402</v>
      </c>
      <c r="B15" s="65" t="s">
        <v>862</v>
      </c>
      <c r="C15" s="65" t="n">
        <v>2</v>
      </c>
      <c r="D15" s="66" t="s">
        <v>1403</v>
      </c>
      <c r="E15" s="65" t="s">
        <v>1365</v>
      </c>
      <c r="F15" s="65" t="s">
        <v>1366</v>
      </c>
      <c r="G15" s="65" t="s">
        <v>221</v>
      </c>
      <c r="H15" s="65" t="s">
        <v>1367</v>
      </c>
      <c r="I15" s="65" t="s">
        <v>1377</v>
      </c>
    </row>
    <row r="16" customFormat="false" ht="42.75" hidden="false" customHeight="true" outlineLevel="0" collapsed="false">
      <c r="A16" s="65" t="s">
        <v>1404</v>
      </c>
      <c r="B16" s="65" t="s">
        <v>862</v>
      </c>
      <c r="C16" s="65" t="n">
        <v>3</v>
      </c>
      <c r="D16" s="66" t="s">
        <v>1405</v>
      </c>
      <c r="E16" s="65" t="s">
        <v>1406</v>
      </c>
      <c r="F16" s="65" t="s">
        <v>1396</v>
      </c>
      <c r="G16" s="65" t="s">
        <v>221</v>
      </c>
      <c r="H16" s="65" t="s">
        <v>1396</v>
      </c>
      <c r="I16" s="65" t="s">
        <v>1377</v>
      </c>
    </row>
    <row r="17" customFormat="false" ht="53.25" hidden="false" customHeight="true" outlineLevel="0" collapsed="false">
      <c r="A17" s="65" t="s">
        <v>1407</v>
      </c>
      <c r="B17" s="65" t="s">
        <v>862</v>
      </c>
      <c r="C17" s="65" t="n">
        <v>4</v>
      </c>
      <c r="D17" s="66" t="s">
        <v>1408</v>
      </c>
      <c r="E17" s="65" t="s">
        <v>1409</v>
      </c>
      <c r="F17" s="65" t="s">
        <v>1372</v>
      </c>
      <c r="G17" s="65" t="s">
        <v>221</v>
      </c>
      <c r="H17" s="65" t="s">
        <v>1373</v>
      </c>
      <c r="I17" s="65" t="s">
        <v>1377</v>
      </c>
    </row>
    <row r="18" customFormat="false" ht="21.75" hidden="false" customHeight="true" outlineLevel="0" collapsed="false">
      <c r="A18" s="65" t="s">
        <v>1410</v>
      </c>
      <c r="B18" s="65" t="s">
        <v>872</v>
      </c>
      <c r="C18" s="65" t="n">
        <v>1</v>
      </c>
      <c r="D18" s="66" t="s">
        <v>1411</v>
      </c>
      <c r="E18" s="65" t="s">
        <v>1412</v>
      </c>
      <c r="F18" s="65" t="s">
        <v>1372</v>
      </c>
      <c r="G18" s="65" t="s">
        <v>221</v>
      </c>
      <c r="H18" s="65" t="s">
        <v>1373</v>
      </c>
      <c r="I18" s="65" t="s">
        <v>1368</v>
      </c>
    </row>
    <row r="19" customFormat="false" ht="15" hidden="false" customHeight="true" outlineLevel="0" collapsed="false">
      <c r="A19" s="65" t="s">
        <v>1413</v>
      </c>
      <c r="B19" s="65" t="s">
        <v>872</v>
      </c>
      <c r="C19" s="65" t="n">
        <v>2</v>
      </c>
      <c r="D19" s="66" t="s">
        <v>1414</v>
      </c>
      <c r="E19" s="65" t="s">
        <v>1415</v>
      </c>
      <c r="F19" s="65" t="s">
        <v>1380</v>
      </c>
      <c r="G19" s="65" t="s">
        <v>221</v>
      </c>
      <c r="H19" s="65" t="s">
        <v>1367</v>
      </c>
      <c r="I19" s="65" t="s">
        <v>1368</v>
      </c>
    </row>
    <row r="20" customFormat="false" ht="21.75" hidden="false" customHeight="true" outlineLevel="0" collapsed="false">
      <c r="A20" s="65" t="s">
        <v>1416</v>
      </c>
      <c r="B20" s="65" t="s">
        <v>872</v>
      </c>
      <c r="C20" s="65" t="n">
        <v>3</v>
      </c>
      <c r="D20" s="66" t="s">
        <v>1417</v>
      </c>
      <c r="E20" s="65" t="s">
        <v>1418</v>
      </c>
      <c r="F20" s="65" t="s">
        <v>1396</v>
      </c>
      <c r="G20" s="65" t="s">
        <v>221</v>
      </c>
      <c r="H20" s="65" t="s">
        <v>1396</v>
      </c>
      <c r="I20" s="65" t="s">
        <v>1368</v>
      </c>
    </row>
    <row r="21" customFormat="false" ht="21.75" hidden="false" customHeight="true" outlineLevel="0" collapsed="false">
      <c r="A21" s="65" t="s">
        <v>1419</v>
      </c>
      <c r="B21" s="65" t="s">
        <v>872</v>
      </c>
      <c r="C21" s="65" t="n">
        <v>4</v>
      </c>
      <c r="D21" s="66" t="s">
        <v>1420</v>
      </c>
      <c r="E21" s="65" t="s">
        <v>1415</v>
      </c>
      <c r="F21" s="65" t="s">
        <v>1366</v>
      </c>
      <c r="G21" s="65" t="s">
        <v>221</v>
      </c>
      <c r="H21" s="65" t="s">
        <v>1367</v>
      </c>
      <c r="I21" s="65" t="s">
        <v>1368</v>
      </c>
    </row>
    <row r="22" customFormat="false" ht="21.75" hidden="false" customHeight="true" outlineLevel="0" collapsed="false">
      <c r="A22" s="65" t="s">
        <v>1421</v>
      </c>
      <c r="B22" s="65" t="s">
        <v>872</v>
      </c>
      <c r="C22" s="65" t="n">
        <v>5</v>
      </c>
      <c r="D22" s="66" t="s">
        <v>1422</v>
      </c>
      <c r="E22" s="65" t="s">
        <v>1415</v>
      </c>
      <c r="F22" s="65" t="s">
        <v>1366</v>
      </c>
      <c r="G22" s="65" t="s">
        <v>221</v>
      </c>
      <c r="H22" s="65" t="s">
        <v>1367</v>
      </c>
      <c r="I22" s="65" t="s">
        <v>1368</v>
      </c>
    </row>
    <row r="23" customFormat="false" ht="32.25" hidden="false" customHeight="true" outlineLevel="0" collapsed="false">
      <c r="A23" s="65" t="s">
        <v>1423</v>
      </c>
      <c r="B23" s="65" t="s">
        <v>881</v>
      </c>
      <c r="C23" s="65" t="n">
        <v>1</v>
      </c>
      <c r="D23" s="66" t="s">
        <v>1424</v>
      </c>
      <c r="E23" s="65" t="s">
        <v>1425</v>
      </c>
      <c r="F23" s="65" t="s">
        <v>1396</v>
      </c>
      <c r="G23" s="65" t="s">
        <v>221</v>
      </c>
      <c r="H23" s="65" t="s">
        <v>1396</v>
      </c>
      <c r="I23" s="65" t="s">
        <v>1368</v>
      </c>
    </row>
    <row r="24" customFormat="false" ht="32.25" hidden="false" customHeight="true" outlineLevel="0" collapsed="false">
      <c r="A24" s="65" t="s">
        <v>1426</v>
      </c>
      <c r="B24" s="65" t="s">
        <v>881</v>
      </c>
      <c r="C24" s="65" t="n">
        <v>2</v>
      </c>
      <c r="D24" s="66" t="s">
        <v>1427</v>
      </c>
      <c r="E24" s="65" t="s">
        <v>1371</v>
      </c>
      <c r="F24" s="65" t="s">
        <v>1372</v>
      </c>
      <c r="G24" s="65" t="s">
        <v>221</v>
      </c>
      <c r="H24" s="65" t="s">
        <v>1373</v>
      </c>
      <c r="I24" s="65" t="s">
        <v>1368</v>
      </c>
    </row>
    <row r="25" customFormat="false" ht="21.75" hidden="false" customHeight="true" outlineLevel="0" collapsed="false">
      <c r="A25" s="65" t="s">
        <v>1428</v>
      </c>
      <c r="B25" s="65" t="s">
        <v>881</v>
      </c>
      <c r="C25" s="65" t="n">
        <v>3</v>
      </c>
      <c r="D25" s="66" t="s">
        <v>1429</v>
      </c>
      <c r="E25" s="65" t="s">
        <v>1371</v>
      </c>
      <c r="F25" s="65" t="s">
        <v>1372</v>
      </c>
      <c r="G25" s="65" t="s">
        <v>221</v>
      </c>
      <c r="H25" s="65" t="s">
        <v>1373</v>
      </c>
      <c r="I25" s="65" t="s">
        <v>1368</v>
      </c>
    </row>
    <row r="26" customFormat="false" ht="21.75" hidden="false" customHeight="true" outlineLevel="0" collapsed="false">
      <c r="A26" s="65" t="s">
        <v>1430</v>
      </c>
      <c r="B26" s="65" t="s">
        <v>881</v>
      </c>
      <c r="C26" s="65" t="n">
        <v>4</v>
      </c>
      <c r="D26" s="66" t="s">
        <v>1431</v>
      </c>
      <c r="E26" s="65" t="s">
        <v>1371</v>
      </c>
      <c r="F26" s="65" t="s">
        <v>1372</v>
      </c>
      <c r="G26" s="65" t="s">
        <v>221</v>
      </c>
      <c r="H26" s="65" t="s">
        <v>1373</v>
      </c>
      <c r="I26" s="65" t="s">
        <v>1368</v>
      </c>
    </row>
    <row r="27" customFormat="false" ht="32.25" hidden="false" customHeight="true" outlineLevel="0" collapsed="false">
      <c r="A27" s="65" t="s">
        <v>1432</v>
      </c>
      <c r="B27" s="65" t="s">
        <v>881</v>
      </c>
      <c r="C27" s="65" t="n">
        <v>5</v>
      </c>
      <c r="D27" s="66" t="s">
        <v>1433</v>
      </c>
      <c r="E27" s="65" t="s">
        <v>1434</v>
      </c>
      <c r="F27" s="65" t="s">
        <v>1380</v>
      </c>
      <c r="G27" s="65" t="s">
        <v>221</v>
      </c>
      <c r="H27" s="65" t="s">
        <v>1367</v>
      </c>
      <c r="I27" s="65" t="s">
        <v>1368</v>
      </c>
    </row>
    <row r="28" customFormat="false" ht="15" hidden="false" customHeight="true" outlineLevel="0" collapsed="false">
      <c r="A28" s="65" t="s">
        <v>1435</v>
      </c>
      <c r="B28" s="65" t="s">
        <v>890</v>
      </c>
      <c r="C28" s="65" t="n">
        <v>1</v>
      </c>
      <c r="D28" s="66" t="s">
        <v>1436</v>
      </c>
      <c r="E28" s="65" t="s">
        <v>1437</v>
      </c>
      <c r="F28" s="65" t="s">
        <v>1372</v>
      </c>
      <c r="G28" s="65" t="s">
        <v>221</v>
      </c>
      <c r="H28" s="65" t="s">
        <v>1373</v>
      </c>
      <c r="I28" s="65" t="s">
        <v>1377</v>
      </c>
    </row>
    <row r="29" customFormat="false" ht="21.75" hidden="false" customHeight="true" outlineLevel="0" collapsed="false">
      <c r="A29" s="65" t="s">
        <v>1438</v>
      </c>
      <c r="B29" s="65" t="s">
        <v>890</v>
      </c>
      <c r="C29" s="65" t="n">
        <v>2</v>
      </c>
      <c r="D29" s="66" t="s">
        <v>1439</v>
      </c>
      <c r="E29" s="65" t="s">
        <v>1437</v>
      </c>
      <c r="F29" s="65" t="s">
        <v>1380</v>
      </c>
      <c r="G29" s="65" t="s">
        <v>221</v>
      </c>
      <c r="H29" s="65" t="s">
        <v>1367</v>
      </c>
      <c r="I29" s="65" t="s">
        <v>1377</v>
      </c>
    </row>
    <row r="30" customFormat="false" ht="32.25" hidden="false" customHeight="true" outlineLevel="0" collapsed="false">
      <c r="A30" s="65" t="s">
        <v>1440</v>
      </c>
      <c r="B30" s="65" t="s">
        <v>890</v>
      </c>
      <c r="C30" s="65" t="n">
        <v>3</v>
      </c>
      <c r="D30" s="66" t="s">
        <v>1441</v>
      </c>
      <c r="E30" s="65" t="s">
        <v>1365</v>
      </c>
      <c r="F30" s="65" t="s">
        <v>1366</v>
      </c>
      <c r="G30" s="65" t="s">
        <v>221</v>
      </c>
      <c r="H30" s="65" t="s">
        <v>1367</v>
      </c>
      <c r="I30" s="65" t="s">
        <v>1377</v>
      </c>
    </row>
    <row r="31" customFormat="false" ht="32.25" hidden="false" customHeight="true" outlineLevel="0" collapsed="false">
      <c r="A31" s="65" t="s">
        <v>1442</v>
      </c>
      <c r="B31" s="65" t="s">
        <v>890</v>
      </c>
      <c r="C31" s="65" t="n">
        <v>4</v>
      </c>
      <c r="D31" s="66" t="s">
        <v>1443</v>
      </c>
      <c r="E31" s="65" t="s">
        <v>1365</v>
      </c>
      <c r="F31" s="65" t="s">
        <v>1366</v>
      </c>
      <c r="G31" s="65" t="s">
        <v>221</v>
      </c>
      <c r="H31" s="65" t="s">
        <v>1367</v>
      </c>
      <c r="I31" s="65" t="s">
        <v>1377</v>
      </c>
    </row>
    <row r="32" customFormat="false" ht="42.75" hidden="false" customHeight="true" outlineLevel="0" collapsed="false">
      <c r="A32" s="65" t="s">
        <v>1444</v>
      </c>
      <c r="B32" s="65" t="s">
        <v>890</v>
      </c>
      <c r="C32" s="65" t="n">
        <v>5</v>
      </c>
      <c r="D32" s="66" t="s">
        <v>1445</v>
      </c>
      <c r="E32" s="65" t="s">
        <v>1365</v>
      </c>
      <c r="F32" s="65" t="s">
        <v>1366</v>
      </c>
      <c r="G32" s="65" t="s">
        <v>221</v>
      </c>
      <c r="H32" s="65" t="s">
        <v>1367</v>
      </c>
      <c r="I32" s="65" t="s">
        <v>1377</v>
      </c>
    </row>
    <row r="33" customFormat="false" ht="21.75" hidden="false" customHeight="true" outlineLevel="0" collapsed="false">
      <c r="A33" s="65" t="s">
        <v>1446</v>
      </c>
      <c r="B33" s="65" t="s">
        <v>897</v>
      </c>
      <c r="C33" s="65" t="n">
        <v>1</v>
      </c>
      <c r="D33" s="66" t="s">
        <v>1447</v>
      </c>
      <c r="E33" s="65" t="s">
        <v>1448</v>
      </c>
      <c r="F33" s="65" t="s">
        <v>1366</v>
      </c>
      <c r="G33" s="65" t="s">
        <v>221</v>
      </c>
      <c r="H33" s="65" t="s">
        <v>1367</v>
      </c>
      <c r="I33" s="65" t="s">
        <v>1368</v>
      </c>
    </row>
    <row r="34" customFormat="false" ht="21.75" hidden="false" customHeight="true" outlineLevel="0" collapsed="false">
      <c r="A34" s="65" t="s">
        <v>1449</v>
      </c>
      <c r="B34" s="65" t="s">
        <v>897</v>
      </c>
      <c r="C34" s="65" t="n">
        <v>2</v>
      </c>
      <c r="D34" s="66" t="s">
        <v>1450</v>
      </c>
      <c r="E34" s="65" t="s">
        <v>1448</v>
      </c>
      <c r="F34" s="65" t="s">
        <v>1372</v>
      </c>
      <c r="G34" s="65" t="s">
        <v>221</v>
      </c>
      <c r="H34" s="65" t="s">
        <v>1373</v>
      </c>
      <c r="I34" s="65" t="s">
        <v>1368</v>
      </c>
    </row>
    <row r="35" customFormat="false" ht="15" hidden="false" customHeight="true" outlineLevel="0" collapsed="false">
      <c r="A35" s="65" t="s">
        <v>1451</v>
      </c>
      <c r="B35" s="65" t="s">
        <v>897</v>
      </c>
      <c r="C35" s="65" t="n">
        <v>3</v>
      </c>
      <c r="D35" s="66" t="s">
        <v>1452</v>
      </c>
      <c r="E35" s="65" t="s">
        <v>1453</v>
      </c>
      <c r="F35" s="65" t="s">
        <v>1396</v>
      </c>
      <c r="G35" s="65" t="s">
        <v>221</v>
      </c>
      <c r="H35" s="65" t="s">
        <v>1396</v>
      </c>
      <c r="I35" s="65" t="s">
        <v>1368</v>
      </c>
    </row>
    <row r="36" customFormat="false" ht="15" hidden="false" customHeight="true" outlineLevel="0" collapsed="false">
      <c r="A36" s="65" t="s">
        <v>1454</v>
      </c>
      <c r="B36" s="65" t="s">
        <v>897</v>
      </c>
      <c r="C36" s="65" t="n">
        <v>4</v>
      </c>
      <c r="D36" s="66" t="s">
        <v>1455</v>
      </c>
      <c r="E36" s="65" t="s">
        <v>1453</v>
      </c>
      <c r="F36" s="65" t="s">
        <v>1396</v>
      </c>
      <c r="G36" s="65" t="s">
        <v>221</v>
      </c>
      <c r="H36" s="65" t="s">
        <v>1396</v>
      </c>
      <c r="I36" s="65" t="s">
        <v>1368</v>
      </c>
    </row>
    <row r="37" customFormat="false" ht="21.75" hidden="false" customHeight="true" outlineLevel="0" collapsed="false">
      <c r="A37" s="65" t="s">
        <v>1456</v>
      </c>
      <c r="B37" s="65" t="s">
        <v>905</v>
      </c>
      <c r="C37" s="65" t="n">
        <v>1</v>
      </c>
      <c r="D37" s="66" t="s">
        <v>1457</v>
      </c>
      <c r="E37" s="65" t="s">
        <v>1425</v>
      </c>
      <c r="F37" s="65" t="s">
        <v>1380</v>
      </c>
      <c r="G37" s="65" t="s">
        <v>221</v>
      </c>
      <c r="H37" s="65" t="s">
        <v>1367</v>
      </c>
      <c r="I37" s="65" t="s">
        <v>1368</v>
      </c>
    </row>
    <row r="38" customFormat="false" ht="32.25" hidden="false" customHeight="true" outlineLevel="0" collapsed="false">
      <c r="A38" s="65" t="s">
        <v>1458</v>
      </c>
      <c r="B38" s="65" t="s">
        <v>905</v>
      </c>
      <c r="C38" s="65" t="n">
        <v>2</v>
      </c>
      <c r="D38" s="66" t="s">
        <v>1459</v>
      </c>
      <c r="E38" s="65" t="s">
        <v>1415</v>
      </c>
      <c r="F38" s="65" t="s">
        <v>1372</v>
      </c>
      <c r="G38" s="65" t="s">
        <v>221</v>
      </c>
      <c r="H38" s="65" t="s">
        <v>1373</v>
      </c>
      <c r="I38" s="65" t="s">
        <v>1368</v>
      </c>
    </row>
    <row r="39" customFormat="false" ht="42.75" hidden="false" customHeight="true" outlineLevel="0" collapsed="false">
      <c r="A39" s="65" t="s">
        <v>1460</v>
      </c>
      <c r="B39" s="65" t="s">
        <v>905</v>
      </c>
      <c r="C39" s="65" t="n">
        <v>3</v>
      </c>
      <c r="D39" s="66" t="s">
        <v>1461</v>
      </c>
      <c r="E39" s="65" t="s">
        <v>1415</v>
      </c>
      <c r="F39" s="65" t="s">
        <v>1372</v>
      </c>
      <c r="G39" s="65" t="s">
        <v>221</v>
      </c>
      <c r="H39" s="65" t="s">
        <v>1373</v>
      </c>
      <c r="I39" s="65" t="s">
        <v>1368</v>
      </c>
    </row>
    <row r="40" customFormat="false" ht="21.75" hidden="false" customHeight="true" outlineLevel="0" collapsed="false">
      <c r="A40" s="65" t="s">
        <v>1462</v>
      </c>
      <c r="B40" s="65" t="s">
        <v>915</v>
      </c>
      <c r="C40" s="65" t="n">
        <v>1</v>
      </c>
      <c r="D40" s="66" t="s">
        <v>1463</v>
      </c>
      <c r="E40" s="65" t="s">
        <v>1464</v>
      </c>
      <c r="F40" s="65" t="s">
        <v>1372</v>
      </c>
      <c r="G40" s="65" t="s">
        <v>221</v>
      </c>
      <c r="H40" s="65" t="s">
        <v>1373</v>
      </c>
      <c r="I40" s="65" t="s">
        <v>1368</v>
      </c>
    </row>
    <row r="41" customFormat="false" ht="116.25" hidden="false" customHeight="true" outlineLevel="0" collapsed="false">
      <c r="A41" s="65" t="s">
        <v>1465</v>
      </c>
      <c r="B41" s="65" t="s">
        <v>915</v>
      </c>
      <c r="C41" s="65" t="n">
        <v>2</v>
      </c>
      <c r="D41" s="66" t="s">
        <v>1466</v>
      </c>
      <c r="E41" s="65" t="s">
        <v>1467</v>
      </c>
      <c r="F41" s="65" t="s">
        <v>1366</v>
      </c>
      <c r="G41" s="65" t="s">
        <v>221</v>
      </c>
      <c r="H41" s="65" t="s">
        <v>1367</v>
      </c>
      <c r="I41" s="65" t="s">
        <v>1368</v>
      </c>
    </row>
    <row r="42" customFormat="false" ht="42.75" hidden="false" customHeight="true" outlineLevel="0" collapsed="false">
      <c r="A42" s="65" t="s">
        <v>1468</v>
      </c>
      <c r="B42" s="65" t="s">
        <v>922</v>
      </c>
      <c r="C42" s="65" t="n">
        <v>1</v>
      </c>
      <c r="D42" s="66" t="s">
        <v>1469</v>
      </c>
      <c r="E42" s="65" t="s">
        <v>1418</v>
      </c>
      <c r="F42" s="65" t="s">
        <v>1396</v>
      </c>
      <c r="G42" s="65" t="s">
        <v>221</v>
      </c>
      <c r="H42" s="65" t="s">
        <v>1396</v>
      </c>
      <c r="I42" s="65" t="s">
        <v>1368</v>
      </c>
    </row>
    <row r="43" customFormat="false" ht="15" hidden="false" customHeight="true" outlineLevel="0" collapsed="false">
      <c r="A43" s="65" t="s">
        <v>1470</v>
      </c>
      <c r="B43" s="65" t="s">
        <v>922</v>
      </c>
      <c r="C43" s="65" t="n">
        <v>2</v>
      </c>
      <c r="D43" s="66" t="s">
        <v>1471</v>
      </c>
      <c r="E43" s="65" t="s">
        <v>1472</v>
      </c>
      <c r="F43" s="65" t="s">
        <v>1366</v>
      </c>
      <c r="G43" s="65" t="s">
        <v>221</v>
      </c>
      <c r="H43" s="65" t="s">
        <v>1367</v>
      </c>
      <c r="I43" s="65" t="s">
        <v>1368</v>
      </c>
    </row>
    <row r="44" customFormat="false" ht="21.75" hidden="false" customHeight="true" outlineLevel="0" collapsed="false">
      <c r="A44" s="65" t="s">
        <v>1473</v>
      </c>
      <c r="B44" s="65" t="s">
        <v>922</v>
      </c>
      <c r="C44" s="65" t="n">
        <v>3</v>
      </c>
      <c r="D44" s="66" t="s">
        <v>1474</v>
      </c>
      <c r="E44" s="65" t="s">
        <v>1472</v>
      </c>
      <c r="F44" s="65" t="s">
        <v>1372</v>
      </c>
      <c r="G44" s="65" t="s">
        <v>221</v>
      </c>
      <c r="H44" s="65" t="s">
        <v>1373</v>
      </c>
      <c r="I44" s="65" t="s">
        <v>1368</v>
      </c>
    </row>
    <row r="45" customFormat="false" ht="21.75" hidden="false" customHeight="true" outlineLevel="0" collapsed="false">
      <c r="A45" s="65" t="s">
        <v>1475</v>
      </c>
      <c r="B45" s="65" t="s">
        <v>922</v>
      </c>
      <c r="C45" s="65" t="n">
        <v>4</v>
      </c>
      <c r="D45" s="66" t="s">
        <v>1476</v>
      </c>
      <c r="E45" s="65" t="s">
        <v>1472</v>
      </c>
      <c r="F45" s="65" t="s">
        <v>1372</v>
      </c>
      <c r="G45" s="65" t="s">
        <v>221</v>
      </c>
      <c r="H45" s="65" t="s">
        <v>1373</v>
      </c>
      <c r="I45" s="65" t="s">
        <v>1368</v>
      </c>
    </row>
    <row r="46" customFormat="false" ht="15" hidden="false" customHeight="true" outlineLevel="0" collapsed="false">
      <c r="A46" s="65" t="s">
        <v>1477</v>
      </c>
      <c r="B46" s="65" t="s">
        <v>932</v>
      </c>
      <c r="C46" s="65" t="n">
        <v>1</v>
      </c>
      <c r="D46" s="66" t="s">
        <v>1478</v>
      </c>
      <c r="E46" s="65" t="s">
        <v>1425</v>
      </c>
      <c r="F46" s="65" t="s">
        <v>1366</v>
      </c>
      <c r="G46" s="65" t="s">
        <v>221</v>
      </c>
      <c r="H46" s="65" t="s">
        <v>1367</v>
      </c>
      <c r="I46" s="65" t="s">
        <v>1368</v>
      </c>
    </row>
    <row r="47" customFormat="false" ht="32.25" hidden="false" customHeight="true" outlineLevel="0" collapsed="false">
      <c r="A47" s="65" t="s">
        <v>1479</v>
      </c>
      <c r="B47" s="65" t="s">
        <v>932</v>
      </c>
      <c r="C47" s="65" t="n">
        <v>2</v>
      </c>
      <c r="D47" s="66" t="s">
        <v>1480</v>
      </c>
      <c r="E47" s="65" t="s">
        <v>1481</v>
      </c>
      <c r="F47" s="65" t="s">
        <v>1372</v>
      </c>
      <c r="G47" s="65" t="s">
        <v>221</v>
      </c>
      <c r="H47" s="65" t="s">
        <v>1373</v>
      </c>
      <c r="I47" s="65" t="s">
        <v>1368</v>
      </c>
    </row>
    <row r="48" customFormat="false" ht="21.75" hidden="false" customHeight="true" outlineLevel="0" collapsed="false">
      <c r="A48" s="65" t="s">
        <v>1482</v>
      </c>
      <c r="B48" s="65" t="s">
        <v>932</v>
      </c>
      <c r="C48" s="65" t="n">
        <v>3</v>
      </c>
      <c r="D48" s="66" t="s">
        <v>1483</v>
      </c>
      <c r="E48" s="65" t="s">
        <v>1481</v>
      </c>
      <c r="F48" s="65" t="s">
        <v>1380</v>
      </c>
      <c r="G48" s="65" t="s">
        <v>221</v>
      </c>
      <c r="H48" s="65" t="s">
        <v>1367</v>
      </c>
      <c r="I48" s="65" t="s">
        <v>1368</v>
      </c>
    </row>
    <row r="49" customFormat="false" ht="15" hidden="false" customHeight="true" outlineLevel="0" collapsed="false">
      <c r="A49" s="65" t="s">
        <v>1484</v>
      </c>
      <c r="B49" s="65" t="s">
        <v>932</v>
      </c>
      <c r="C49" s="65" t="n">
        <v>4</v>
      </c>
      <c r="D49" s="66" t="s">
        <v>1485</v>
      </c>
      <c r="E49" s="65" t="s">
        <v>1481</v>
      </c>
      <c r="F49" s="65" t="s">
        <v>1372</v>
      </c>
      <c r="G49" s="65" t="s">
        <v>221</v>
      </c>
      <c r="H49" s="65" t="s">
        <v>1373</v>
      </c>
      <c r="I49" s="65" t="s">
        <v>1368</v>
      </c>
    </row>
    <row r="50" customFormat="false" ht="42.75" hidden="false" customHeight="true" outlineLevel="0" collapsed="false">
      <c r="A50" s="65" t="s">
        <v>1486</v>
      </c>
      <c r="B50" s="65" t="s">
        <v>932</v>
      </c>
      <c r="C50" s="65" t="n">
        <v>5</v>
      </c>
      <c r="D50" s="66" t="s">
        <v>1487</v>
      </c>
      <c r="E50" s="65" t="s">
        <v>1488</v>
      </c>
      <c r="F50" s="65" t="s">
        <v>1396</v>
      </c>
      <c r="G50" s="65" t="s">
        <v>221</v>
      </c>
      <c r="H50" s="65" t="s">
        <v>1396</v>
      </c>
      <c r="I50" s="65" t="s">
        <v>1368</v>
      </c>
    </row>
    <row r="51" customFormat="false" ht="21.75" hidden="false" customHeight="true" outlineLevel="0" collapsed="false">
      <c r="A51" s="65" t="s">
        <v>1489</v>
      </c>
      <c r="B51" s="65" t="s">
        <v>939</v>
      </c>
      <c r="C51" s="65" t="n">
        <v>1</v>
      </c>
      <c r="D51" s="66" t="s">
        <v>1490</v>
      </c>
      <c r="E51" s="65" t="s">
        <v>1415</v>
      </c>
      <c r="F51" s="65" t="s">
        <v>1380</v>
      </c>
      <c r="G51" s="65" t="s">
        <v>221</v>
      </c>
      <c r="H51" s="65" t="s">
        <v>1367</v>
      </c>
      <c r="I51" s="65" t="s">
        <v>1377</v>
      </c>
    </row>
    <row r="52" customFormat="false" ht="21.75" hidden="false" customHeight="true" outlineLevel="0" collapsed="false">
      <c r="A52" s="65" t="s">
        <v>1491</v>
      </c>
      <c r="B52" s="65" t="s">
        <v>939</v>
      </c>
      <c r="C52" s="65" t="n">
        <v>2</v>
      </c>
      <c r="D52" s="66" t="s">
        <v>1492</v>
      </c>
      <c r="E52" s="65" t="s">
        <v>1415</v>
      </c>
      <c r="F52" s="65" t="s">
        <v>1372</v>
      </c>
      <c r="G52" s="65" t="s">
        <v>221</v>
      </c>
      <c r="H52" s="65" t="s">
        <v>1373</v>
      </c>
      <c r="I52" s="65" t="s">
        <v>1377</v>
      </c>
    </row>
    <row r="53" customFormat="false" ht="21.75" hidden="false" customHeight="true" outlineLevel="0" collapsed="false">
      <c r="A53" s="65" t="s">
        <v>1493</v>
      </c>
      <c r="B53" s="65" t="s">
        <v>969</v>
      </c>
      <c r="C53" s="65" t="n">
        <v>1</v>
      </c>
      <c r="D53" s="66" t="s">
        <v>1494</v>
      </c>
      <c r="E53" s="65" t="s">
        <v>1495</v>
      </c>
      <c r="F53" s="65" t="s">
        <v>1380</v>
      </c>
      <c r="G53" s="65" t="s">
        <v>221</v>
      </c>
      <c r="H53" s="65" t="s">
        <v>1367</v>
      </c>
      <c r="I53" s="65" t="s">
        <v>1368</v>
      </c>
    </row>
    <row r="54" customFormat="false" ht="21.75" hidden="false" customHeight="true" outlineLevel="0" collapsed="false">
      <c r="A54" s="65" t="s">
        <v>1496</v>
      </c>
      <c r="B54" s="65" t="s">
        <v>969</v>
      </c>
      <c r="C54" s="65" t="n">
        <v>2</v>
      </c>
      <c r="D54" s="66" t="s">
        <v>1497</v>
      </c>
      <c r="E54" s="65" t="s">
        <v>1495</v>
      </c>
      <c r="F54" s="65" t="s">
        <v>1366</v>
      </c>
      <c r="G54" s="65" t="s">
        <v>221</v>
      </c>
      <c r="H54" s="65" t="s">
        <v>1367</v>
      </c>
      <c r="I54" s="65" t="s">
        <v>1368</v>
      </c>
    </row>
    <row r="55" customFormat="false" ht="42.75" hidden="false" customHeight="true" outlineLevel="0" collapsed="false">
      <c r="A55" s="65" t="s">
        <v>1498</v>
      </c>
      <c r="B55" s="65" t="s">
        <v>975</v>
      </c>
      <c r="C55" s="65" t="n">
        <v>1</v>
      </c>
      <c r="D55" s="66" t="s">
        <v>1499</v>
      </c>
      <c r="E55" s="65" t="s">
        <v>1464</v>
      </c>
      <c r="F55" s="65" t="s">
        <v>1372</v>
      </c>
      <c r="G55" s="65" t="s">
        <v>221</v>
      </c>
      <c r="H55" s="65" t="s">
        <v>1373</v>
      </c>
      <c r="I55" s="65" t="s">
        <v>1368</v>
      </c>
    </row>
    <row r="56" customFormat="false" ht="42.75" hidden="false" customHeight="true" outlineLevel="0" collapsed="false">
      <c r="A56" s="65" t="s">
        <v>1500</v>
      </c>
      <c r="B56" s="65" t="s">
        <v>989</v>
      </c>
      <c r="C56" s="65" t="n">
        <v>1</v>
      </c>
      <c r="D56" s="66" t="s">
        <v>1501</v>
      </c>
      <c r="E56" s="65" t="s">
        <v>1415</v>
      </c>
      <c r="F56" s="65" t="s">
        <v>1372</v>
      </c>
      <c r="G56" s="65" t="s">
        <v>221</v>
      </c>
      <c r="H56" s="65" t="s">
        <v>1373</v>
      </c>
      <c r="I56" s="65" t="s">
        <v>1377</v>
      </c>
    </row>
    <row r="57" customFormat="false" ht="32.25" hidden="false" customHeight="true" outlineLevel="0" collapsed="false">
      <c r="A57" s="65" t="s">
        <v>1502</v>
      </c>
      <c r="B57" s="65" t="s">
        <v>989</v>
      </c>
      <c r="C57" s="65" t="n">
        <v>2</v>
      </c>
      <c r="D57" s="66" t="s">
        <v>1503</v>
      </c>
      <c r="E57" s="65" t="s">
        <v>1415</v>
      </c>
      <c r="F57" s="65" t="s">
        <v>1366</v>
      </c>
      <c r="G57" s="65" t="s">
        <v>221</v>
      </c>
      <c r="H57" s="65" t="s">
        <v>1367</v>
      </c>
      <c r="I57" s="65" t="s">
        <v>1377</v>
      </c>
    </row>
    <row r="58" customFormat="false" ht="21.75" hidden="false" customHeight="true" outlineLevel="0" collapsed="false">
      <c r="A58" s="65" t="s">
        <v>1504</v>
      </c>
      <c r="B58" s="65" t="s">
        <v>1019</v>
      </c>
      <c r="C58" s="65" t="n">
        <v>1</v>
      </c>
      <c r="D58" s="66" t="s">
        <v>1505</v>
      </c>
      <c r="E58" s="65" t="s">
        <v>1415</v>
      </c>
      <c r="F58" s="65" t="s">
        <v>1380</v>
      </c>
      <c r="G58" s="65" t="s">
        <v>221</v>
      </c>
      <c r="H58" s="65" t="s">
        <v>1367</v>
      </c>
      <c r="I58" s="65" t="s">
        <v>1368</v>
      </c>
    </row>
    <row r="59" customFormat="false" ht="15" hidden="false" customHeight="true" outlineLevel="0" collapsed="false">
      <c r="A59" s="65" t="s">
        <v>1506</v>
      </c>
      <c r="B59" s="65" t="s">
        <v>1040</v>
      </c>
      <c r="C59" s="65" t="n">
        <v>1</v>
      </c>
      <c r="D59" s="66" t="s">
        <v>1507</v>
      </c>
      <c r="E59" s="65" t="s">
        <v>1508</v>
      </c>
      <c r="F59" s="65" t="s">
        <v>1366</v>
      </c>
      <c r="G59" s="65" t="s">
        <v>221</v>
      </c>
      <c r="H59" s="65" t="s">
        <v>1367</v>
      </c>
      <c r="I59" s="65" t="s">
        <v>1377</v>
      </c>
    </row>
    <row r="60" customFormat="false" ht="32.25" hidden="false" customHeight="true" outlineLevel="0" collapsed="false">
      <c r="A60" s="65" t="s">
        <v>1509</v>
      </c>
      <c r="B60" s="65" t="s">
        <v>1040</v>
      </c>
      <c r="C60" s="65" t="n">
        <v>2</v>
      </c>
      <c r="D60" s="66" t="s">
        <v>1510</v>
      </c>
      <c r="E60" s="65" t="s">
        <v>1511</v>
      </c>
      <c r="F60" s="65" t="s">
        <v>1380</v>
      </c>
      <c r="G60" s="65" t="s">
        <v>221</v>
      </c>
      <c r="H60" s="65" t="s">
        <v>1367</v>
      </c>
      <c r="I60" s="65" t="s">
        <v>1377</v>
      </c>
    </row>
    <row r="61" customFormat="false" ht="21.75" hidden="false" customHeight="true" outlineLevel="0" collapsed="false">
      <c r="A61" s="65" t="s">
        <v>1512</v>
      </c>
      <c r="B61" s="65" t="s">
        <v>1083</v>
      </c>
      <c r="C61" s="65" t="n">
        <v>1</v>
      </c>
      <c r="D61" s="66" t="s">
        <v>1513</v>
      </c>
      <c r="E61" s="65" t="s">
        <v>1472</v>
      </c>
      <c r="F61" s="65" t="s">
        <v>1372</v>
      </c>
      <c r="G61" s="65" t="s">
        <v>221</v>
      </c>
      <c r="H61" s="65" t="s">
        <v>1373</v>
      </c>
      <c r="I61" s="65" t="s">
        <v>1368</v>
      </c>
    </row>
    <row r="62" customFormat="false" ht="15" hidden="false" customHeight="true" outlineLevel="0" collapsed="false">
      <c r="A62" s="65" t="s">
        <v>1514</v>
      </c>
      <c r="B62" s="65" t="s">
        <v>1083</v>
      </c>
      <c r="C62" s="65" t="n">
        <v>2</v>
      </c>
      <c r="D62" s="66" t="s">
        <v>1515</v>
      </c>
      <c r="E62" s="65" t="s">
        <v>1415</v>
      </c>
      <c r="F62" s="65" t="s">
        <v>1516</v>
      </c>
      <c r="G62" s="65" t="s">
        <v>401</v>
      </c>
      <c r="H62" s="65" t="s">
        <v>1396</v>
      </c>
      <c r="I62" s="65" t="s">
        <v>1368</v>
      </c>
    </row>
    <row r="63" customFormat="false" ht="21.75" hidden="false" customHeight="true" outlineLevel="0" collapsed="false">
      <c r="A63" s="65" t="s">
        <v>1517</v>
      </c>
      <c r="B63" s="65" t="s">
        <v>1162</v>
      </c>
      <c r="C63" s="65" t="n">
        <v>1</v>
      </c>
      <c r="D63" s="66" t="s">
        <v>1518</v>
      </c>
      <c r="E63" s="65" t="s">
        <v>1415</v>
      </c>
      <c r="F63" s="65" t="s">
        <v>1380</v>
      </c>
      <c r="G63" s="65" t="s">
        <v>221</v>
      </c>
      <c r="H63" s="65" t="s">
        <v>1367</v>
      </c>
      <c r="I63" s="65" t="s">
        <v>1368</v>
      </c>
    </row>
    <row r="64" customFormat="false" ht="21.75" hidden="false" customHeight="true" outlineLevel="0" collapsed="false">
      <c r="A64" s="65" t="s">
        <v>1519</v>
      </c>
      <c r="B64" s="65" t="s">
        <v>1162</v>
      </c>
      <c r="C64" s="65" t="n">
        <v>2</v>
      </c>
      <c r="D64" s="66" t="s">
        <v>1520</v>
      </c>
      <c r="E64" s="65" t="s">
        <v>1415</v>
      </c>
      <c r="F64" s="65" t="s">
        <v>1380</v>
      </c>
      <c r="G64" s="65" t="s">
        <v>401</v>
      </c>
      <c r="H64" s="65" t="s">
        <v>1367</v>
      </c>
      <c r="I64" s="65" t="s">
        <v>1368</v>
      </c>
    </row>
    <row r="65" customFormat="false" ht="32.25" hidden="false" customHeight="true" outlineLevel="0" collapsed="false">
      <c r="A65" s="65" t="s">
        <v>1521</v>
      </c>
      <c r="B65" s="65" t="s">
        <v>1162</v>
      </c>
      <c r="C65" s="65" t="n">
        <v>3</v>
      </c>
      <c r="D65" s="66" t="s">
        <v>1522</v>
      </c>
      <c r="E65" s="65" t="s">
        <v>1523</v>
      </c>
      <c r="F65" s="65" t="s">
        <v>1366</v>
      </c>
      <c r="G65" s="65" t="s">
        <v>401</v>
      </c>
      <c r="H65" s="65" t="s">
        <v>1367</v>
      </c>
      <c r="I65" s="65" t="s">
        <v>1368</v>
      </c>
    </row>
    <row r="66" customFormat="false" ht="21.75" hidden="false" customHeight="true" outlineLevel="0" collapsed="false">
      <c r="A66" s="65" t="s">
        <v>1524</v>
      </c>
      <c r="B66" s="65" t="s">
        <v>1183</v>
      </c>
      <c r="C66" s="65" t="n">
        <v>1</v>
      </c>
      <c r="D66" s="66" t="s">
        <v>1525</v>
      </c>
      <c r="E66" s="65" t="s">
        <v>1526</v>
      </c>
      <c r="F66" s="65" t="s">
        <v>1372</v>
      </c>
      <c r="G66" s="65" t="s">
        <v>221</v>
      </c>
      <c r="H66" s="65" t="s">
        <v>1373</v>
      </c>
      <c r="I66" s="65" t="s">
        <v>1368</v>
      </c>
    </row>
    <row r="67" customFormat="false" ht="32.25" hidden="false" customHeight="true" outlineLevel="0" collapsed="false">
      <c r="A67" s="65" t="s">
        <v>1527</v>
      </c>
      <c r="B67" s="65" t="s">
        <v>1183</v>
      </c>
      <c r="C67" s="65" t="n">
        <v>2</v>
      </c>
      <c r="D67" s="66" t="s">
        <v>1528</v>
      </c>
      <c r="E67" s="65" t="s">
        <v>1526</v>
      </c>
      <c r="F67" s="65" t="s">
        <v>1372</v>
      </c>
      <c r="G67" s="65" t="s">
        <v>221</v>
      </c>
      <c r="H67" s="65" t="s">
        <v>1373</v>
      </c>
      <c r="I67" s="65" t="s">
        <v>1368</v>
      </c>
    </row>
    <row r="68" customFormat="false" ht="32.25" hidden="false" customHeight="true" outlineLevel="0" collapsed="false">
      <c r="A68" s="65" t="s">
        <v>1529</v>
      </c>
      <c r="B68" s="65" t="s">
        <v>1183</v>
      </c>
      <c r="C68" s="65" t="n">
        <v>3</v>
      </c>
      <c r="D68" s="66" t="s">
        <v>1530</v>
      </c>
      <c r="E68" s="65" t="s">
        <v>1526</v>
      </c>
      <c r="F68" s="65" t="s">
        <v>1372</v>
      </c>
      <c r="G68" s="65" t="s">
        <v>221</v>
      </c>
      <c r="H68" s="65" t="s">
        <v>1373</v>
      </c>
      <c r="I68" s="65" t="s">
        <v>1368</v>
      </c>
    </row>
    <row r="69" customFormat="false" ht="21.75" hidden="false" customHeight="true" outlineLevel="0" collapsed="false">
      <c r="A69" s="65" t="s">
        <v>1531</v>
      </c>
      <c r="B69" s="65" t="s">
        <v>1183</v>
      </c>
      <c r="C69" s="65" t="n">
        <v>4</v>
      </c>
      <c r="D69" s="66" t="s">
        <v>1532</v>
      </c>
      <c r="E69" s="65" t="s">
        <v>1526</v>
      </c>
      <c r="F69" s="65" t="s">
        <v>1396</v>
      </c>
      <c r="G69" s="65" t="s">
        <v>221</v>
      </c>
      <c r="H69" s="65" t="s">
        <v>1396</v>
      </c>
      <c r="I69" s="65" t="s">
        <v>1368</v>
      </c>
    </row>
    <row r="70" customFormat="false" ht="21.75" hidden="false" customHeight="true" outlineLevel="0" collapsed="false">
      <c r="A70" s="65" t="s">
        <v>1533</v>
      </c>
      <c r="B70" s="65" t="s">
        <v>1189</v>
      </c>
      <c r="C70" s="65" t="n">
        <v>1</v>
      </c>
      <c r="D70" s="66" t="s">
        <v>1534</v>
      </c>
      <c r="E70" s="65" t="s">
        <v>1535</v>
      </c>
      <c r="F70" s="65" t="s">
        <v>1380</v>
      </c>
      <c r="G70" s="65" t="s">
        <v>401</v>
      </c>
      <c r="H70" s="65" t="s">
        <v>1367</v>
      </c>
      <c r="I70" s="65" t="s">
        <v>1368</v>
      </c>
    </row>
    <row r="71" customFormat="false" ht="15" hidden="false" customHeight="true" outlineLevel="0" collapsed="false">
      <c r="A71" s="65" t="s">
        <v>1536</v>
      </c>
      <c r="B71" s="65" t="s">
        <v>1189</v>
      </c>
      <c r="C71" s="65" t="n">
        <v>2</v>
      </c>
      <c r="D71" s="66" t="s">
        <v>1537</v>
      </c>
      <c r="E71" s="65" t="s">
        <v>1535</v>
      </c>
      <c r="F71" s="65" t="s">
        <v>1366</v>
      </c>
      <c r="G71" s="65" t="s">
        <v>401</v>
      </c>
      <c r="H71" s="65" t="s">
        <v>1367</v>
      </c>
      <c r="I71" s="65" t="s">
        <v>1368</v>
      </c>
    </row>
    <row r="72" customFormat="false" ht="15" hidden="false" customHeight="true" outlineLevel="0" collapsed="false">
      <c r="A72" s="65" t="s">
        <v>1538</v>
      </c>
      <c r="B72" s="65" t="s">
        <v>1189</v>
      </c>
      <c r="C72" s="65" t="n">
        <v>3</v>
      </c>
      <c r="D72" s="66" t="s">
        <v>1539</v>
      </c>
      <c r="E72" s="65" t="s">
        <v>1535</v>
      </c>
      <c r="F72" s="65" t="s">
        <v>1372</v>
      </c>
      <c r="G72" s="65" t="s">
        <v>401</v>
      </c>
      <c r="H72" s="65" t="s">
        <v>1373</v>
      </c>
      <c r="I72" s="65" t="s">
        <v>1368</v>
      </c>
    </row>
    <row r="73" customFormat="false" ht="15" hidden="false" customHeight="true" outlineLevel="0" collapsed="false">
      <c r="A73" s="65" t="s">
        <v>1540</v>
      </c>
      <c r="B73" s="65" t="s">
        <v>1189</v>
      </c>
      <c r="C73" s="65" t="n">
        <v>4</v>
      </c>
      <c r="D73" s="66" t="s">
        <v>1541</v>
      </c>
      <c r="E73" s="65" t="s">
        <v>1535</v>
      </c>
      <c r="F73" s="65" t="s">
        <v>1380</v>
      </c>
      <c r="G73" s="65" t="s">
        <v>401</v>
      </c>
      <c r="H73" s="65" t="s">
        <v>1367</v>
      </c>
      <c r="I73" s="65" t="s">
        <v>1368</v>
      </c>
    </row>
    <row r="74" customFormat="false" ht="21.75" hidden="false" customHeight="true" outlineLevel="0" collapsed="false">
      <c r="A74" s="65" t="s">
        <v>1542</v>
      </c>
      <c r="B74" s="65" t="s">
        <v>1189</v>
      </c>
      <c r="C74" s="65" t="n">
        <v>5</v>
      </c>
      <c r="D74" s="66" t="s">
        <v>1543</v>
      </c>
      <c r="E74" s="65" t="s">
        <v>1544</v>
      </c>
      <c r="F74" s="65" t="s">
        <v>1372</v>
      </c>
      <c r="G74" s="65" t="s">
        <v>401</v>
      </c>
      <c r="H74" s="65" t="s">
        <v>1373</v>
      </c>
      <c r="I74" s="65" t="s">
        <v>1368</v>
      </c>
    </row>
    <row r="75" customFormat="false" ht="15" hidden="false" customHeight="true" outlineLevel="0" collapsed="false">
      <c r="A75" s="65" t="s">
        <v>1545</v>
      </c>
      <c r="B75" s="65" t="s">
        <v>1245</v>
      </c>
      <c r="C75" s="65" t="n">
        <v>1</v>
      </c>
      <c r="D75" s="66" t="s">
        <v>1546</v>
      </c>
      <c r="E75" s="65" t="s">
        <v>1547</v>
      </c>
      <c r="F75" s="65" t="s">
        <v>1380</v>
      </c>
      <c r="G75" s="65" t="s">
        <v>221</v>
      </c>
      <c r="H75" s="65" t="s">
        <v>1367</v>
      </c>
      <c r="I75" s="65" t="s">
        <v>1377</v>
      </c>
    </row>
    <row r="76" customFormat="false" ht="21.75" hidden="false" customHeight="true" outlineLevel="0" collapsed="false">
      <c r="A76" s="65" t="s">
        <v>1548</v>
      </c>
      <c r="B76" s="65" t="s">
        <v>1245</v>
      </c>
      <c r="C76" s="65" t="n">
        <v>2</v>
      </c>
      <c r="D76" s="66" t="s">
        <v>1549</v>
      </c>
      <c r="E76" s="65" t="s">
        <v>1547</v>
      </c>
      <c r="F76" s="65" t="s">
        <v>1372</v>
      </c>
      <c r="G76" s="65" t="s">
        <v>221</v>
      </c>
      <c r="H76" s="65" t="s">
        <v>1373</v>
      </c>
      <c r="I76" s="65" t="s">
        <v>1377</v>
      </c>
    </row>
    <row r="77" customFormat="false" ht="21.75" hidden="false" customHeight="true" outlineLevel="0" collapsed="false">
      <c r="A77" s="65" t="s">
        <v>1550</v>
      </c>
      <c r="B77" s="65" t="s">
        <v>1245</v>
      </c>
      <c r="C77" s="65" t="n">
        <v>3</v>
      </c>
      <c r="D77" s="66" t="s">
        <v>1551</v>
      </c>
      <c r="E77" s="65" t="s">
        <v>1547</v>
      </c>
      <c r="F77" s="65" t="s">
        <v>1516</v>
      </c>
      <c r="G77" s="65" t="s">
        <v>401</v>
      </c>
      <c r="H77" s="65" t="s">
        <v>1396</v>
      </c>
      <c r="I77" s="65" t="s">
        <v>1377</v>
      </c>
    </row>
    <row r="78" customFormat="false" ht="21.75" hidden="false" customHeight="true" outlineLevel="0" collapsed="false">
      <c r="A78" s="65" t="s">
        <v>1552</v>
      </c>
      <c r="B78" s="65" t="s">
        <v>1253</v>
      </c>
      <c r="C78" s="65" t="n">
        <v>1</v>
      </c>
      <c r="D78" s="66" t="s">
        <v>1553</v>
      </c>
      <c r="E78" s="65" t="s">
        <v>1554</v>
      </c>
      <c r="F78" s="65" t="s">
        <v>1372</v>
      </c>
      <c r="G78" s="65" t="s">
        <v>221</v>
      </c>
      <c r="H78" s="65" t="s">
        <v>1373</v>
      </c>
      <c r="I78" s="65" t="s">
        <v>1368</v>
      </c>
    </row>
    <row r="79" customFormat="false" ht="15" hidden="false" customHeight="true" outlineLevel="0" collapsed="false">
      <c r="A79" s="65" t="s">
        <v>1555</v>
      </c>
      <c r="B79" s="65" t="s">
        <v>1253</v>
      </c>
      <c r="C79" s="65" t="n">
        <v>2</v>
      </c>
      <c r="D79" s="66" t="s">
        <v>1556</v>
      </c>
      <c r="E79" s="65" t="s">
        <v>1415</v>
      </c>
      <c r="F79" s="65" t="s">
        <v>1372</v>
      </c>
      <c r="G79" s="65" t="s">
        <v>221</v>
      </c>
      <c r="H79" s="65" t="s">
        <v>1373</v>
      </c>
      <c r="I79" s="65" t="s">
        <v>1368</v>
      </c>
    </row>
    <row r="80" customFormat="false" ht="15" hidden="false" customHeight="true" outlineLevel="0" collapsed="false">
      <c r="A80" s="65" t="s">
        <v>1557</v>
      </c>
      <c r="B80" s="65" t="s">
        <v>1253</v>
      </c>
      <c r="C80" s="65" t="n">
        <v>3</v>
      </c>
      <c r="D80" s="66" t="s">
        <v>1558</v>
      </c>
      <c r="E80" s="65" t="s">
        <v>1559</v>
      </c>
      <c r="F80" s="65" t="s">
        <v>1396</v>
      </c>
      <c r="G80" s="65" t="s">
        <v>221</v>
      </c>
      <c r="H80" s="65" t="s">
        <v>1396</v>
      </c>
      <c r="I80" s="65" t="s">
        <v>1368</v>
      </c>
    </row>
    <row r="81" customFormat="false" ht="15" hidden="false" customHeight="true" outlineLevel="0" collapsed="false">
      <c r="A81" s="65" t="s">
        <v>1560</v>
      </c>
      <c r="B81" s="65" t="s">
        <v>1253</v>
      </c>
      <c r="C81" s="65" t="n">
        <v>4</v>
      </c>
      <c r="D81" s="66" t="s">
        <v>1561</v>
      </c>
      <c r="E81" s="65" t="s">
        <v>1559</v>
      </c>
      <c r="F81" s="65" t="s">
        <v>1366</v>
      </c>
      <c r="G81" s="65" t="s">
        <v>221</v>
      </c>
      <c r="H81" s="65" t="s">
        <v>1367</v>
      </c>
      <c r="I81" s="65" t="s">
        <v>1368</v>
      </c>
    </row>
    <row r="82" customFormat="false" ht="21.75" hidden="false" customHeight="true" outlineLevel="0" collapsed="false">
      <c r="A82" s="65" t="s">
        <v>1562</v>
      </c>
      <c r="B82" s="65" t="s">
        <v>1253</v>
      </c>
      <c r="C82" s="65" t="n">
        <v>5</v>
      </c>
      <c r="D82" s="66" t="s">
        <v>1563</v>
      </c>
      <c r="E82" s="65" t="s">
        <v>1564</v>
      </c>
      <c r="F82" s="65" t="s">
        <v>1380</v>
      </c>
      <c r="G82" s="65" t="s">
        <v>221</v>
      </c>
      <c r="H82" s="65" t="s">
        <v>1367</v>
      </c>
      <c r="I82" s="65" t="s">
        <v>1368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2026-10-01T22:00:58Z</dcterms:created>
  <dc:creator>openpyxl</dc:creator>
  <dc:description/>
  <dc:language>en-US</dc:language>
  <cp:lastModifiedBy/>
  <dcterms:modified xsi:type="dcterms:W3CDTF">2026-10-08T20:00:33Z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